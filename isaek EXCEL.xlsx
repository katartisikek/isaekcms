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Αυτό_το_βιβλίο_εργασίας" defaultThemeVersion="202300"/>
  <mc:AlternateContent xmlns:mc="http://schemas.openxmlformats.org/markup-compatibility/2006">
    <mc:Choice Requires="x15">
      <x15ac:absPath xmlns:x15ac="http://schemas.microsoft.com/office/spreadsheetml/2010/11/ac" url="Z:\A_ΙΣΑΕΚ ΓΡΑΜΜΑΤΕΙΑ\"/>
    </mc:Choice>
  </mc:AlternateContent>
  <xr:revisionPtr revIDLastSave="0" documentId="13_ncr:1_{802C22D3-5F53-47AE-B964-D5B70B7B0E26}" xr6:coauthVersionLast="47" xr6:coauthVersionMax="47" xr10:uidLastSave="{00000000-0000-0000-0000-000000000000}"/>
  <bookViews>
    <workbookView xWindow="19080" yWindow="-120" windowWidth="29040" windowHeight="15840" tabRatio="608" firstSheet="3" activeTab="6" xr2:uid="{4B8AFF73-8C11-4709-AA02-990E1240E9F4}"/>
  </bookViews>
  <sheets>
    <sheet name="(ΒΑΘΜΟΛΟΓΙΕΣ 2026Α)" sheetId="66" r:id="rId1"/>
    <sheet name="ΠΕΡΙΕΧΟΜΕΝΑ - ΕΞΗΓΗΣΗ EXCEL " sheetId="12" r:id="rId2"/>
    <sheet name="ΟΔΗΓΙΕΣ ΕΡΓΑΣΙΑΣ" sheetId="68" r:id="rId3"/>
    <sheet name="ΘΕΜΑΤΑ ΠΡΟΣ ΕΠΙΛΥΣΗ" sheetId="4" r:id="rId4"/>
    <sheet name="ΕΝΗΜΕΡΩΣΗ ΚΑΤΑΣΤΑΣΗΣ Κ.ΚΑΘΑΡΑΚΗ" sheetId="71" r:id="rId5"/>
    <sheet name="ΕΚΔΗΛΩΣΕΙΣ ΕΝΔΙΑΦΕΡΟΝΤΟΣ" sheetId="38" r:id="rId6"/>
    <sheet name="ΚΑΤΑΣΤΑΣΗ ΣΠΟΥΔΑ ΚΑΙ ΕΚΠΑΙΔ" sheetId="51" r:id="rId7"/>
    <sheet name="ECLASS" sheetId="52" r:id="rId8"/>
    <sheet name="ΠΡΟΤΥΠΟ ΕΓΓΡΑΦΗΣ USER ECLASS " sheetId="69" r:id="rId9"/>
    <sheet name="AMADEUS" sheetId="56" r:id="rId10"/>
    <sheet name="ΧΡΗΣΙΜΑ ΤΗΛΕΦΩΝΑ" sheetId="32" r:id="rId11"/>
    <sheet name="ΜΑΘΗΜΑΤΑ ΕΞΑΜΗΝΩΝ" sheetId="35" r:id="rId12"/>
    <sheet name="ΑΠΟΥΣΙΕΣ ΕΞΑΜΗΝΩΝ" sheetId="50" r:id="rId13"/>
    <sheet name="ΠΛΗΡΟΦΟΡΙΕΣ ΓΙΑ ΕΝΗΜΕΡΩΣΗ" sheetId="27" r:id="rId14"/>
    <sheet name="ΠΡΟΩΘΗΣΗ" sheetId="55" r:id="rId15"/>
    <sheet name="ΒΙΒΛΙΟ ΩΡΕΣ ΕΚΠΑΙΔΕΥΤΩΝ ΓΙΑ ΑΝΤ" sheetId="47" r:id="rId16"/>
    <sheet name="ΠΗΓΑΣΟΣ - ΕΠΙΚΟΙΝΩΝΙΑ" sheetId="57" r:id="rId17"/>
    <sheet name="ΠΡΟΧΕΙΡΟ" sheetId="42" r:id="rId18"/>
    <sheet name="2025Α" sheetId="54" r:id="rId19"/>
    <sheet name="2025Β-2026Α" sheetId="67" r:id="rId20"/>
    <sheet name="ΒΑΘΜΟΛΟΓΙΕΣ ΠΡΟΧΕΙΡΟ" sheetId="59" r:id="rId21"/>
  </sheets>
  <definedNames>
    <definedName name="_xlnm._FilterDatabase" localSheetId="0" hidden="1">'(ΒΑΘΜΟΛΟΓΙΕΣ 2026Α)'!$A$1:$A$733</definedName>
    <definedName name="_xlnm._FilterDatabase" localSheetId="20" hidden="1">'ΒΑΘΜΟΛΟΓΙΕΣ ΠΡΟΧΕΙΡΟ'!$A$354:$D$398</definedName>
    <definedName name="_xlnm._FilterDatabase" localSheetId="3" hidden="1">'ΘΕΜΑΤΑ ΠΡΟΣ ΕΠΙΛΥΣΗ'!$A$1:$F$346</definedName>
    <definedName name="_xlnm._FilterDatabase" localSheetId="11" hidden="1">'ΜΑΘΗΜΑΤΑ ΕΞΑΜΗΝΩΝ'!$A$2:$E$64</definedName>
    <definedName name="_xlnm._FilterDatabase" localSheetId="1" hidden="1">'ΠΕΡΙΕΧΟΜΕΝΑ - ΕΞΗΓΗΣΗ EXCEL '!$A$1:$C$1</definedName>
    <definedName name="_xlnm._FilterDatabase" localSheetId="16" hidden="1">'ΠΗΓΑΣΟΣ - ΕΠΙΚΟΙΝΩΝΙΑ'!$A$13:$D$123</definedName>
    <definedName name="_xlnm._FilterDatabase" localSheetId="10" hidden="1">'ΧΡΗΣΙΜΑ ΤΗΛΕΦΩΝΑ'!$A$12:$H$57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2" i="51" l="1"/>
  <c r="I132" i="51"/>
  <c r="L10" i="38"/>
  <c r="L7" i="38"/>
  <c r="C9" i="71"/>
  <c r="B8" i="71"/>
  <c r="B7" i="71"/>
  <c r="B6" i="71"/>
  <c r="B3" i="71"/>
  <c r="B4" i="71"/>
  <c r="B2" i="71"/>
  <c r="B5" i="71"/>
  <c r="BE3" i="67"/>
  <c r="BF3" i="67"/>
  <c r="BG3" i="67"/>
  <c r="BE4" i="67"/>
  <c r="BE5" i="67"/>
  <c r="BF5" i="67"/>
  <c r="BE6" i="67"/>
  <c r="BF7" i="67"/>
  <c r="BG7" i="67"/>
  <c r="BE11" i="67"/>
  <c r="AI33" i="67"/>
  <c r="AI32" i="67"/>
  <c r="AI31" i="67"/>
  <c r="AN40" i="51"/>
  <c r="AN39" i="51"/>
  <c r="AN38" i="51"/>
  <c r="CU5" i="55"/>
  <c r="CV5" i="55"/>
  <c r="CU6" i="55"/>
  <c r="CV6" i="55"/>
  <c r="CU7" i="55"/>
  <c r="CV7" i="55"/>
  <c r="CU8" i="55"/>
  <c r="CV8" i="55"/>
  <c r="CU9" i="55"/>
  <c r="CV9" i="55"/>
  <c r="CU10" i="55"/>
  <c r="CV10" i="55"/>
  <c r="CU11" i="55"/>
  <c r="CV11" i="55"/>
  <c r="CU12" i="55"/>
  <c r="CV12" i="55"/>
  <c r="CU13" i="55"/>
  <c r="CV13" i="55"/>
  <c r="CU14" i="55"/>
  <c r="CV14" i="55"/>
  <c r="CU15" i="55"/>
  <c r="CV15" i="55"/>
  <c r="CU16" i="55"/>
  <c r="CV16" i="55"/>
  <c r="CU17" i="55"/>
  <c r="CV17" i="55"/>
  <c r="CU18" i="55"/>
  <c r="CV18" i="55"/>
  <c r="CU19" i="55"/>
  <c r="CV19" i="55"/>
  <c r="CU20" i="55"/>
  <c r="CV20" i="55"/>
  <c r="CU21" i="55"/>
  <c r="CV21" i="55"/>
  <c r="CU22" i="55"/>
  <c r="CV22" i="55"/>
  <c r="CU23" i="55"/>
  <c r="CV23" i="55"/>
  <c r="CU24" i="55"/>
  <c r="CV24" i="55"/>
  <c r="CU25" i="55"/>
  <c r="CV25" i="55"/>
  <c r="CU26" i="55"/>
  <c r="CV26" i="55"/>
  <c r="CU27" i="55"/>
  <c r="CV27" i="55"/>
  <c r="CU28" i="55"/>
  <c r="CV28" i="55"/>
  <c r="CU29" i="55"/>
  <c r="CV29" i="55"/>
  <c r="CU30" i="55"/>
  <c r="CV30" i="55"/>
  <c r="CU31" i="55"/>
  <c r="CV31" i="55"/>
  <c r="CU32" i="55"/>
  <c r="CV32" i="55"/>
  <c r="AN88" i="55"/>
  <c r="AG88" i="55" a="1"/>
  <c r="AN87" i="55"/>
  <c r="AG87" i="55" a="1"/>
  <c r="AN86" i="55"/>
  <c r="AG86" i="55" a="1"/>
  <c r="AN85" i="55"/>
  <c r="AG85" i="55" a="1"/>
  <c r="AN84" i="55"/>
  <c r="AG84" i="55" a="1"/>
  <c r="AN83" i="55"/>
  <c r="AG83" i="55" a="1"/>
  <c r="AN82" i="55"/>
  <c r="AG82" i="55" a="1"/>
  <c r="AN81" i="55"/>
  <c r="AG81" i="55" a="1"/>
  <c r="AN80" i="55"/>
  <c r="AG80" i="55" a="1"/>
  <c r="AN79" i="55"/>
  <c r="AG79" i="55" a="1"/>
  <c r="AN78" i="55"/>
  <c r="AG78" i="55" a="1"/>
  <c r="AN77" i="55"/>
  <c r="AG77" i="55" a="1"/>
  <c r="AN76" i="55"/>
  <c r="AG76" i="55" a="1"/>
  <c r="AN75" i="55"/>
  <c r="AG75" i="55" a="1"/>
  <c r="AN74" i="55"/>
  <c r="AG74" i="55" a="1"/>
  <c r="AN73" i="55"/>
  <c r="AG73" i="55" a="1"/>
  <c r="AN72" i="55"/>
  <c r="AG72" i="55" a="1"/>
  <c r="AN71" i="55"/>
  <c r="AG71" i="55" a="1"/>
  <c r="AN70" i="55"/>
  <c r="AG70" i="55" a="1"/>
  <c r="AN69" i="55"/>
  <c r="AG69" i="55" a="1"/>
  <c r="AN68" i="55"/>
  <c r="AG68" i="55" a="1"/>
  <c r="AN67" i="55"/>
  <c r="AG67" i="55" a="1"/>
  <c r="AN66" i="55"/>
  <c r="AG66" i="55" a="1"/>
  <c r="AN65" i="55"/>
  <c r="AG65" i="55" a="1"/>
  <c r="AN64" i="55"/>
  <c r="AG64" i="55" a="1"/>
  <c r="AN63" i="55"/>
  <c r="AG63" i="55" a="1"/>
  <c r="AN62" i="55"/>
  <c r="AG62" i="55" a="1"/>
  <c r="AN61" i="55"/>
  <c r="AG61" i="55" a="1"/>
  <c r="AN60" i="55"/>
  <c r="AG60" i="55" a="1"/>
  <c r="AN59" i="55"/>
  <c r="AG59" i="55" a="1"/>
  <c r="AN58" i="55"/>
  <c r="AG58" i="55" a="1"/>
  <c r="AN57" i="55"/>
  <c r="AG57" i="55" a="1"/>
  <c r="AN56" i="55"/>
  <c r="AG56" i="55" a="1"/>
  <c r="AN55" i="55"/>
  <c r="AG55" i="55" a="1"/>
  <c r="AN54" i="55"/>
  <c r="AG54" i="55" a="1"/>
  <c r="AN53" i="55"/>
  <c r="AG53" i="55" a="1"/>
  <c r="AN52" i="55"/>
  <c r="AG52" i="55" a="1"/>
  <c r="AN51" i="55"/>
  <c r="AG51" i="55" a="1"/>
  <c r="AN50" i="55"/>
  <c r="AG50" i="55" a="1"/>
  <c r="AN49" i="55"/>
  <c r="AG49" i="55" a="1"/>
  <c r="AN48" i="55"/>
  <c r="AG48" i="55" a="1"/>
  <c r="AN47" i="55"/>
  <c r="AG47" i="55" a="1"/>
  <c r="AN46" i="55"/>
  <c r="AG46" i="55" a="1"/>
  <c r="AN45" i="55"/>
  <c r="AG45" i="55" a="1"/>
  <c r="AN44" i="55"/>
  <c r="AG44" i="55" a="1"/>
  <c r="AN43" i="55"/>
  <c r="AG43" i="55" a="1"/>
  <c r="AN42" i="55"/>
  <c r="AG42" i="55" a="1"/>
  <c r="AN41" i="55"/>
  <c r="AG41" i="55" a="1"/>
  <c r="AN40" i="55"/>
  <c r="AG40" i="55" a="1"/>
  <c r="AN39" i="55"/>
  <c r="AG39" i="55" a="1"/>
  <c r="AN38" i="55"/>
  <c r="AG38" i="55" a="1"/>
  <c r="AN37" i="55"/>
  <c r="AG37" i="55" a="1"/>
  <c r="AN36" i="55"/>
  <c r="AG36" i="55" a="1"/>
  <c r="AN35" i="55"/>
  <c r="AG35" i="55" a="1"/>
  <c r="AN34" i="55"/>
  <c r="AG34" i="55" a="1"/>
  <c r="AN33" i="55"/>
  <c r="AG33" i="55" a="1"/>
  <c r="AN32" i="55"/>
  <c r="AG32" i="55" a="1"/>
  <c r="AN31" i="55"/>
  <c r="AG31" i="55" a="1"/>
  <c r="AN30" i="55"/>
  <c r="AG30" i="55" a="1"/>
  <c r="AN29" i="55"/>
  <c r="AG29" i="55" a="1"/>
  <c r="AN28" i="55"/>
  <c r="AG28" i="55" a="1"/>
  <c r="AN27" i="55"/>
  <c r="AG27" i="55" a="1"/>
  <c r="AN26" i="55"/>
  <c r="AG26" i="55" a="1"/>
  <c r="AN25" i="55"/>
  <c r="AG25" i="55" a="1"/>
  <c r="AN24" i="55"/>
  <c r="AG24" i="55" a="1"/>
  <c r="AN23" i="55"/>
  <c r="AG23" i="55" a="1"/>
  <c r="AN22" i="55"/>
  <c r="AG22" i="55" a="1"/>
  <c r="AN21" i="55"/>
  <c r="AG21" i="55" a="1"/>
  <c r="AN20" i="55"/>
  <c r="AG20" i="55" a="1"/>
  <c r="AN19" i="55"/>
  <c r="AG19" i="55" a="1"/>
  <c r="AN18" i="55"/>
  <c r="AG18" i="55" a="1"/>
  <c r="BH17" i="55"/>
  <c r="AN17" i="55"/>
  <c r="AG17" i="55" a="1"/>
  <c r="BH16" i="55"/>
  <c r="AN16" i="55"/>
  <c r="AG16" i="55" a="1"/>
  <c r="BH15" i="55"/>
  <c r="AN15" i="55"/>
  <c r="AG15" i="55" a="1"/>
  <c r="AR14" i="55"/>
  <c r="AQ14" i="55"/>
  <c r="AN14" i="55"/>
  <c r="AG14" i="55" a="1"/>
  <c r="AA14" i="55"/>
  <c r="AR13" i="55"/>
  <c r="AQ13" i="55"/>
  <c r="AN13" i="55"/>
  <c r="AG13" i="55" a="1"/>
  <c r="AA13" i="55"/>
  <c r="CN12" i="55"/>
  <c r="BZ12" i="55"/>
  <c r="BY12" i="55"/>
  <c r="AR12" i="55"/>
  <c r="AQ12" i="55"/>
  <c r="AN12" i="55"/>
  <c r="AG12" i="55" a="1"/>
  <c r="AA12" i="55"/>
  <c r="CM11" i="55"/>
  <c r="AN11" i="55"/>
  <c r="AG11" i="55" a="1"/>
  <c r="AA11" i="55"/>
  <c r="CM10" i="55"/>
  <c r="AN10" i="55"/>
  <c r="AG10" i="55" a="1"/>
  <c r="CM9" i="55"/>
  <c r="BZ9" i="55"/>
  <c r="BY9" i="55"/>
  <c r="AR9" i="55"/>
  <c r="AQ9" i="55"/>
  <c r="AN9" i="55"/>
  <c r="AG9" i="55" a="1"/>
  <c r="AA9" i="55"/>
  <c r="CM8" i="55"/>
  <c r="AR8" i="55"/>
  <c r="AQ8" i="55"/>
  <c r="AN8" i="55"/>
  <c r="AG8" i="55" a="1"/>
  <c r="AA8" i="55"/>
  <c r="CM7" i="55"/>
  <c r="BZ7" i="55"/>
  <c r="BY7" i="55"/>
  <c r="AR7" i="55"/>
  <c r="AQ7" i="55"/>
  <c r="AN7" i="55"/>
  <c r="AG7" i="55" a="1"/>
  <c r="AA7" i="55"/>
  <c r="CM6" i="55"/>
  <c r="BZ6" i="55"/>
  <c r="BY6" i="55"/>
  <c r="AR6" i="55"/>
  <c r="AQ6" i="55"/>
  <c r="AN6" i="55"/>
  <c r="AG6" i="55" a="1"/>
  <c r="AA6" i="55"/>
  <c r="CM5" i="55"/>
  <c r="AR5" i="55"/>
  <c r="AQ5" i="55"/>
  <c r="AN5" i="55"/>
  <c r="AG5" i="55" a="1"/>
  <c r="AA5" i="55"/>
  <c r="CM4" i="55"/>
  <c r="BV4" i="55"/>
  <c r="AN4" i="55"/>
  <c r="AG4" i="55" a="1"/>
  <c r="AA4" i="55"/>
  <c r="CM3" i="55"/>
  <c r="BV3" i="55"/>
  <c r="AR3" i="55"/>
  <c r="AQ3" i="55"/>
  <c r="AN3" i="55"/>
  <c r="AG3" i="55" a="1"/>
  <c r="AA3" i="55"/>
  <c r="F5" i="55"/>
  <c r="G5" i="55"/>
  <c r="F6" i="55"/>
  <c r="G6" i="55"/>
  <c r="F7" i="55"/>
  <c r="G7" i="55"/>
  <c r="F8" i="55"/>
  <c r="G8" i="55"/>
  <c r="F9" i="55"/>
  <c r="G9" i="55"/>
  <c r="F10" i="55"/>
  <c r="G10" i="55"/>
  <c r="F11" i="55"/>
  <c r="G11" i="55"/>
  <c r="F12" i="55"/>
  <c r="G12" i="55"/>
  <c r="F13" i="55"/>
  <c r="G13" i="55"/>
  <c r="F14" i="55"/>
  <c r="G14" i="55"/>
  <c r="F15" i="55"/>
  <c r="G15" i="55"/>
  <c r="F16" i="55"/>
  <c r="G16" i="55"/>
  <c r="F17" i="55"/>
  <c r="G17" i="55"/>
  <c r="F18" i="55"/>
  <c r="G18" i="55"/>
  <c r="F19" i="55"/>
  <c r="G19" i="55"/>
  <c r="F20" i="55"/>
  <c r="G20" i="55"/>
  <c r="F21" i="55"/>
  <c r="G21" i="55"/>
  <c r="F22" i="55"/>
  <c r="G22" i="55"/>
  <c r="F23" i="55"/>
  <c r="G23" i="55"/>
  <c r="F24" i="55"/>
  <c r="G24" i="55"/>
  <c r="F25" i="55"/>
  <c r="G25" i="55"/>
  <c r="F26" i="55"/>
  <c r="G26" i="55"/>
  <c r="F27" i="55"/>
  <c r="G27" i="55"/>
  <c r="F28" i="55"/>
  <c r="G28" i="55"/>
  <c r="F29" i="55"/>
  <c r="G29" i="55"/>
  <c r="F30" i="55"/>
  <c r="G30" i="55"/>
  <c r="F31" i="55"/>
  <c r="G31" i="55"/>
  <c r="F32" i="55"/>
  <c r="G32" i="55"/>
  <c r="F52" i="54"/>
  <c r="G52" i="54" s="1"/>
  <c r="N52" i="54"/>
  <c r="F53" i="54"/>
  <c r="G53" i="54" s="1"/>
  <c r="N53" i="54"/>
  <c r="F54" i="54"/>
  <c r="G54" i="54" s="1"/>
  <c r="N54" i="54"/>
  <c r="F55" i="54"/>
  <c r="G55" i="54" s="1"/>
  <c r="N55" i="54"/>
  <c r="F56" i="54"/>
  <c r="G56" i="54" s="1"/>
  <c r="N56" i="54"/>
  <c r="F57" i="54"/>
  <c r="G57" i="54" s="1"/>
  <c r="N57" i="54"/>
  <c r="F58" i="54"/>
  <c r="G58" i="54" s="1"/>
  <c r="N58" i="54"/>
  <c r="F59" i="54"/>
  <c r="G59" i="54" s="1"/>
  <c r="N59" i="54"/>
  <c r="F60" i="54"/>
  <c r="G60" i="54" s="1"/>
  <c r="N60" i="54"/>
  <c r="F61" i="54"/>
  <c r="G61" i="54" s="1"/>
  <c r="N61" i="54"/>
  <c r="F62" i="54"/>
  <c r="G62" i="54" s="1"/>
  <c r="N62" i="54"/>
  <c r="F63" i="54"/>
  <c r="G63" i="54" s="1"/>
  <c r="N63" i="54"/>
  <c r="F64" i="54"/>
  <c r="G64" i="54" s="1"/>
  <c r="N64" i="54"/>
  <c r="KP104" i="54"/>
  <c r="KO104" i="54"/>
  <c r="KN104" i="54"/>
  <c r="KM104" i="54"/>
  <c r="KL104" i="54"/>
  <c r="KK104" i="54"/>
  <c r="KJ104" i="54"/>
  <c r="KI104" i="54"/>
  <c r="KP100" i="54"/>
  <c r="KO100" i="54"/>
  <c r="KN100" i="54"/>
  <c r="KM100" i="54"/>
  <c r="KL100" i="54"/>
  <c r="KK100" i="54"/>
  <c r="KJ100" i="54"/>
  <c r="KI100" i="54"/>
  <c r="KP99" i="54"/>
  <c r="KO99" i="54"/>
  <c r="KN99" i="54"/>
  <c r="KM99" i="54"/>
  <c r="KL99" i="54"/>
  <c r="KK99" i="54"/>
  <c r="KJ99" i="54"/>
  <c r="KI99" i="54"/>
  <c r="KP98" i="54"/>
  <c r="KO98" i="54"/>
  <c r="KN98" i="54"/>
  <c r="KM98" i="54"/>
  <c r="KL98" i="54"/>
  <c r="KK98" i="54"/>
  <c r="KJ98" i="54"/>
  <c r="KI98" i="54"/>
  <c r="KP97" i="54"/>
  <c r="KO97" i="54"/>
  <c r="KN97" i="54"/>
  <c r="KM97" i="54"/>
  <c r="KL97" i="54"/>
  <c r="KK97" i="54"/>
  <c r="KJ97" i="54"/>
  <c r="KI97" i="54"/>
  <c r="KP96" i="54"/>
  <c r="KO96" i="54"/>
  <c r="KN96" i="54"/>
  <c r="KM96" i="54"/>
  <c r="KL96" i="54"/>
  <c r="KK96" i="54"/>
  <c r="KJ96" i="54"/>
  <c r="KI96" i="54"/>
  <c r="KP92" i="54"/>
  <c r="KO92" i="54"/>
  <c r="KN92" i="54"/>
  <c r="KM92" i="54"/>
  <c r="KL92" i="54"/>
  <c r="KK92" i="54"/>
  <c r="KJ92" i="54"/>
  <c r="KI92" i="54"/>
  <c r="KP91" i="54"/>
  <c r="KO91" i="54"/>
  <c r="KN91" i="54"/>
  <c r="KM91" i="54"/>
  <c r="KL91" i="54"/>
  <c r="KK91" i="54"/>
  <c r="KJ91" i="54"/>
  <c r="KI91" i="54"/>
  <c r="KP90" i="54"/>
  <c r="KO90" i="54"/>
  <c r="KN90" i="54"/>
  <c r="KM90" i="54"/>
  <c r="KL90" i="54"/>
  <c r="KK90" i="54"/>
  <c r="KJ90" i="54"/>
  <c r="KI90" i="54"/>
  <c r="KP89" i="54"/>
  <c r="KO89" i="54"/>
  <c r="KN89" i="54"/>
  <c r="KM89" i="54"/>
  <c r="KL89" i="54"/>
  <c r="KK89" i="54"/>
  <c r="KJ89" i="54"/>
  <c r="KI89" i="54"/>
  <c r="KP88" i="54"/>
  <c r="KO88" i="54"/>
  <c r="KN88" i="54"/>
  <c r="KM88" i="54"/>
  <c r="KL88" i="54"/>
  <c r="KK88" i="54"/>
  <c r="KJ88" i="54"/>
  <c r="KI88" i="54"/>
  <c r="KP85" i="54"/>
  <c r="KO85" i="54"/>
  <c r="KN85" i="54"/>
  <c r="KM85" i="54"/>
  <c r="KL85" i="54"/>
  <c r="KK85" i="54"/>
  <c r="KJ85" i="54"/>
  <c r="KI85" i="54"/>
  <c r="KP84" i="54"/>
  <c r="KO84" i="54"/>
  <c r="KN84" i="54"/>
  <c r="KM84" i="54"/>
  <c r="KL84" i="54"/>
  <c r="KK84" i="54"/>
  <c r="KJ84" i="54"/>
  <c r="KI84" i="54"/>
  <c r="KP83" i="54"/>
  <c r="KO83" i="54"/>
  <c r="KN83" i="54"/>
  <c r="KM83" i="54"/>
  <c r="KL83" i="54"/>
  <c r="KK83" i="54"/>
  <c r="KJ83" i="54"/>
  <c r="KI83" i="54"/>
  <c r="KP82" i="54"/>
  <c r="KO82" i="54"/>
  <c r="KN82" i="54"/>
  <c r="KM82" i="54"/>
  <c r="KL82" i="54"/>
  <c r="KK82" i="54"/>
  <c r="KJ82" i="54"/>
  <c r="KI82" i="54"/>
  <c r="KP81" i="54"/>
  <c r="KO81" i="54"/>
  <c r="KN81" i="54"/>
  <c r="KM81" i="54"/>
  <c r="KL81" i="54"/>
  <c r="KK81" i="54"/>
  <c r="KJ81" i="54"/>
  <c r="KI81" i="54"/>
  <c r="KP78" i="54"/>
  <c r="KO78" i="54"/>
  <c r="KN78" i="54"/>
  <c r="KM78" i="54"/>
  <c r="KL78" i="54"/>
  <c r="KK78" i="54"/>
  <c r="KJ78" i="54"/>
  <c r="KI78" i="54"/>
  <c r="KP77" i="54"/>
  <c r="KO77" i="54"/>
  <c r="KN77" i="54"/>
  <c r="KM77" i="54"/>
  <c r="KL77" i="54"/>
  <c r="KK77" i="54"/>
  <c r="KJ77" i="54"/>
  <c r="KI77" i="54"/>
  <c r="KP76" i="54"/>
  <c r="KO76" i="54"/>
  <c r="KN76" i="54"/>
  <c r="KM76" i="54"/>
  <c r="KL76" i="54"/>
  <c r="KK76" i="54"/>
  <c r="KJ76" i="54"/>
  <c r="KI76" i="54"/>
  <c r="KP75" i="54"/>
  <c r="KO75" i="54"/>
  <c r="KN75" i="54"/>
  <c r="KM75" i="54"/>
  <c r="KL75" i="54"/>
  <c r="KK75" i="54"/>
  <c r="KJ75" i="54"/>
  <c r="KI75" i="54"/>
  <c r="KP74" i="54"/>
  <c r="KO74" i="54"/>
  <c r="KN74" i="54"/>
  <c r="KM74" i="54"/>
  <c r="KL74" i="54"/>
  <c r="KK74" i="54"/>
  <c r="KJ74" i="54"/>
  <c r="KI74" i="54"/>
  <c r="KP71" i="54"/>
  <c r="KO71" i="54"/>
  <c r="KN71" i="54"/>
  <c r="KM71" i="54"/>
  <c r="KL71" i="54"/>
  <c r="KK71" i="54"/>
  <c r="KJ71" i="54"/>
  <c r="KI71" i="54"/>
  <c r="KP70" i="54"/>
  <c r="KO70" i="54"/>
  <c r="KN70" i="54"/>
  <c r="KM70" i="54"/>
  <c r="KL70" i="54"/>
  <c r="KK70" i="54"/>
  <c r="KJ70" i="54"/>
  <c r="KI70" i="54"/>
  <c r="KP69" i="54"/>
  <c r="KO69" i="54"/>
  <c r="KN69" i="54"/>
  <c r="KM69" i="54"/>
  <c r="KL69" i="54"/>
  <c r="KK69" i="54"/>
  <c r="KJ69" i="54"/>
  <c r="KI69" i="54"/>
  <c r="KP68" i="54"/>
  <c r="KO68" i="54"/>
  <c r="KN68" i="54"/>
  <c r="KM68" i="54"/>
  <c r="KL68" i="54"/>
  <c r="KK68" i="54"/>
  <c r="KJ68" i="54"/>
  <c r="KI68" i="54"/>
  <c r="KP67" i="54"/>
  <c r="KO67" i="54"/>
  <c r="KN67" i="54"/>
  <c r="KM67" i="54"/>
  <c r="KL67" i="54"/>
  <c r="KK67" i="54"/>
  <c r="KJ67" i="54"/>
  <c r="KI67" i="54"/>
  <c r="KP64" i="54"/>
  <c r="KO64" i="54"/>
  <c r="KN64" i="54"/>
  <c r="KM64" i="54"/>
  <c r="KL64" i="54"/>
  <c r="KK64" i="54"/>
  <c r="KJ64" i="54"/>
  <c r="KI64" i="54"/>
  <c r="KP63" i="54"/>
  <c r="KO63" i="54"/>
  <c r="KN63" i="54"/>
  <c r="KM63" i="54"/>
  <c r="KL63" i="54"/>
  <c r="KK63" i="54"/>
  <c r="KJ63" i="54"/>
  <c r="KI63" i="54"/>
  <c r="KP62" i="54"/>
  <c r="KO62" i="54"/>
  <c r="KN62" i="54"/>
  <c r="KM62" i="54"/>
  <c r="KL62" i="54"/>
  <c r="KK62" i="54"/>
  <c r="KJ62" i="54"/>
  <c r="KI62" i="54"/>
  <c r="KP61" i="54"/>
  <c r="KO61" i="54"/>
  <c r="KN61" i="54"/>
  <c r="KM61" i="54"/>
  <c r="KL61" i="54"/>
  <c r="KK61" i="54"/>
  <c r="KJ61" i="54"/>
  <c r="KI61" i="54"/>
  <c r="KP60" i="54"/>
  <c r="KO60" i="54"/>
  <c r="KN60" i="54"/>
  <c r="KM60" i="54"/>
  <c r="KL60" i="54"/>
  <c r="KK60" i="54"/>
  <c r="KJ60" i="54"/>
  <c r="KI60" i="54"/>
  <c r="KP57" i="54"/>
  <c r="KO57" i="54"/>
  <c r="KN57" i="54"/>
  <c r="KM57" i="54"/>
  <c r="KL57" i="54"/>
  <c r="KK57" i="54"/>
  <c r="KJ57" i="54"/>
  <c r="KI57" i="54"/>
  <c r="KP56" i="54"/>
  <c r="KO56" i="54"/>
  <c r="KN56" i="54"/>
  <c r="KM56" i="54"/>
  <c r="KL56" i="54"/>
  <c r="KK56" i="54"/>
  <c r="KJ56" i="54"/>
  <c r="KI56" i="54"/>
  <c r="KP55" i="54"/>
  <c r="KO55" i="54"/>
  <c r="KN55" i="54"/>
  <c r="KM55" i="54"/>
  <c r="KL55" i="54"/>
  <c r="KK55" i="54"/>
  <c r="KJ55" i="54"/>
  <c r="KI55" i="54"/>
  <c r="KP54" i="54"/>
  <c r="KO54" i="54"/>
  <c r="KN54" i="54"/>
  <c r="KM54" i="54"/>
  <c r="KL54" i="54"/>
  <c r="KK54" i="54"/>
  <c r="KJ54" i="54"/>
  <c r="KI54" i="54"/>
  <c r="KP53" i="54"/>
  <c r="KO53" i="54"/>
  <c r="KN53" i="54"/>
  <c r="KM53" i="54"/>
  <c r="KL53" i="54"/>
  <c r="KK53" i="54"/>
  <c r="KJ53" i="54"/>
  <c r="KI53" i="54"/>
  <c r="KP50" i="54"/>
  <c r="KO50" i="54"/>
  <c r="KN50" i="54"/>
  <c r="KM50" i="54"/>
  <c r="KL50" i="54"/>
  <c r="KK50" i="54"/>
  <c r="KJ50" i="54"/>
  <c r="KI50" i="54"/>
  <c r="KP49" i="54"/>
  <c r="KO49" i="54"/>
  <c r="KN49" i="54"/>
  <c r="KM49" i="54"/>
  <c r="KL49" i="54"/>
  <c r="KK49" i="54"/>
  <c r="KJ49" i="54"/>
  <c r="KI49" i="54"/>
  <c r="KP48" i="54"/>
  <c r="KO48" i="54"/>
  <c r="KN48" i="54"/>
  <c r="KM48" i="54"/>
  <c r="KL48" i="54"/>
  <c r="KK48" i="54"/>
  <c r="KJ48" i="54"/>
  <c r="KI48" i="54"/>
  <c r="KP47" i="54"/>
  <c r="KO47" i="54"/>
  <c r="KN47" i="54"/>
  <c r="KM47" i="54"/>
  <c r="KL47" i="54"/>
  <c r="KK47" i="54"/>
  <c r="KJ47" i="54"/>
  <c r="KI47" i="54"/>
  <c r="KP46" i="54"/>
  <c r="KO46" i="54"/>
  <c r="KN46" i="54"/>
  <c r="KM46" i="54"/>
  <c r="KL46" i="54"/>
  <c r="KK46" i="54"/>
  <c r="KJ46" i="54"/>
  <c r="KI46" i="54"/>
  <c r="KP43" i="54"/>
  <c r="KO43" i="54"/>
  <c r="KN43" i="54"/>
  <c r="KM43" i="54"/>
  <c r="KL43" i="54"/>
  <c r="KK43" i="54"/>
  <c r="KJ43" i="54"/>
  <c r="KI43" i="54"/>
  <c r="KP42" i="54"/>
  <c r="KO42" i="54"/>
  <c r="KN42" i="54"/>
  <c r="KM42" i="54"/>
  <c r="KL42" i="54"/>
  <c r="KK42" i="54"/>
  <c r="KJ42" i="54"/>
  <c r="KI42" i="54"/>
  <c r="KP41" i="54"/>
  <c r="KO41" i="54"/>
  <c r="KN41" i="54"/>
  <c r="KM41" i="54"/>
  <c r="KL41" i="54"/>
  <c r="KK41" i="54"/>
  <c r="KJ41" i="54"/>
  <c r="KI41" i="54"/>
  <c r="KP40" i="54"/>
  <c r="KO40" i="54"/>
  <c r="KN40" i="54"/>
  <c r="KM40" i="54"/>
  <c r="KL40" i="54"/>
  <c r="KK40" i="54"/>
  <c r="KJ40" i="54"/>
  <c r="KI40" i="54"/>
  <c r="KP39" i="54"/>
  <c r="KO39" i="54"/>
  <c r="KN39" i="54"/>
  <c r="KM39" i="54"/>
  <c r="KL39" i="54"/>
  <c r="KK39" i="54"/>
  <c r="KJ39" i="54"/>
  <c r="KI39" i="54"/>
  <c r="KP36" i="54"/>
  <c r="KO36" i="54"/>
  <c r="KN36" i="54"/>
  <c r="KM36" i="54"/>
  <c r="KL36" i="54"/>
  <c r="KK36" i="54"/>
  <c r="KJ36" i="54"/>
  <c r="KI36" i="54"/>
  <c r="KP35" i="54"/>
  <c r="KO35" i="54"/>
  <c r="KN35" i="54"/>
  <c r="KM35" i="54"/>
  <c r="KL35" i="54"/>
  <c r="KK35" i="54"/>
  <c r="KJ35" i="54"/>
  <c r="KI35" i="54"/>
  <c r="KP34" i="54"/>
  <c r="KO34" i="54"/>
  <c r="KN34" i="54"/>
  <c r="KM34" i="54"/>
  <c r="KL34" i="54"/>
  <c r="KK34" i="54"/>
  <c r="KJ34" i="54"/>
  <c r="KI34" i="54"/>
  <c r="KP33" i="54"/>
  <c r="KO33" i="54"/>
  <c r="KN33" i="54"/>
  <c r="KM33" i="54"/>
  <c r="KL33" i="54"/>
  <c r="KK33" i="54"/>
  <c r="KJ33" i="54"/>
  <c r="KI33" i="54"/>
  <c r="KP32" i="54"/>
  <c r="KO32" i="54"/>
  <c r="KN32" i="54"/>
  <c r="KM32" i="54"/>
  <c r="KL32" i="54"/>
  <c r="KK32" i="54"/>
  <c r="KJ32" i="54"/>
  <c r="KI32" i="54"/>
  <c r="KP29" i="54"/>
  <c r="KO29" i="54"/>
  <c r="KN29" i="54"/>
  <c r="KM29" i="54"/>
  <c r="KL29" i="54"/>
  <c r="KK29" i="54"/>
  <c r="KJ29" i="54"/>
  <c r="KI29" i="54"/>
  <c r="KP28" i="54"/>
  <c r="KO28" i="54"/>
  <c r="KN28" i="54"/>
  <c r="KM28" i="54"/>
  <c r="KL28" i="54"/>
  <c r="KK28" i="54"/>
  <c r="KJ28" i="54"/>
  <c r="KI28" i="54"/>
  <c r="KP27" i="54"/>
  <c r="KO27" i="54"/>
  <c r="KN27" i="54"/>
  <c r="KM27" i="54"/>
  <c r="KL27" i="54"/>
  <c r="KK27" i="54"/>
  <c r="KJ27" i="54"/>
  <c r="KI27" i="54"/>
  <c r="KP26" i="54"/>
  <c r="KO26" i="54"/>
  <c r="KN26" i="54"/>
  <c r="KM26" i="54"/>
  <c r="KL26" i="54"/>
  <c r="KK26" i="54"/>
  <c r="KJ26" i="54"/>
  <c r="KI26" i="54"/>
  <c r="KP25" i="54"/>
  <c r="KO25" i="54"/>
  <c r="KN25" i="54"/>
  <c r="KM25" i="54"/>
  <c r="KL25" i="54"/>
  <c r="KK25" i="54"/>
  <c r="KJ25" i="54"/>
  <c r="KI25" i="54"/>
  <c r="KP22" i="54"/>
  <c r="KO22" i="54"/>
  <c r="KN22" i="54"/>
  <c r="KM22" i="54"/>
  <c r="KL22" i="54"/>
  <c r="KK22" i="54"/>
  <c r="KJ22" i="54"/>
  <c r="KI22" i="54"/>
  <c r="KP21" i="54"/>
  <c r="KO21" i="54"/>
  <c r="KN21" i="54"/>
  <c r="KM21" i="54"/>
  <c r="KL21" i="54"/>
  <c r="KK21" i="54"/>
  <c r="KJ21" i="54"/>
  <c r="KI21" i="54"/>
  <c r="KP20" i="54"/>
  <c r="KO20" i="54"/>
  <c r="KN20" i="54"/>
  <c r="KM20" i="54"/>
  <c r="KL20" i="54"/>
  <c r="KK20" i="54"/>
  <c r="KJ20" i="54"/>
  <c r="KI20" i="54"/>
  <c r="KP19" i="54"/>
  <c r="KO19" i="54"/>
  <c r="KN19" i="54"/>
  <c r="KM19" i="54"/>
  <c r="KL19" i="54"/>
  <c r="KK19" i="54"/>
  <c r="KJ19" i="54"/>
  <c r="KI19" i="54"/>
  <c r="KP18" i="54"/>
  <c r="KO18" i="54"/>
  <c r="KN18" i="54"/>
  <c r="KM18" i="54"/>
  <c r="KL18" i="54"/>
  <c r="KK18" i="54"/>
  <c r="KJ18" i="54"/>
  <c r="KI18" i="54"/>
  <c r="KP15" i="54"/>
  <c r="KO15" i="54"/>
  <c r="KN15" i="54"/>
  <c r="KM15" i="54"/>
  <c r="KL15" i="54"/>
  <c r="KK15" i="54"/>
  <c r="KJ15" i="54"/>
  <c r="KI15" i="54"/>
  <c r="KP14" i="54"/>
  <c r="KO14" i="54"/>
  <c r="KN14" i="54"/>
  <c r="KM14" i="54"/>
  <c r="KL14" i="54"/>
  <c r="KK14" i="54"/>
  <c r="KJ14" i="54"/>
  <c r="KI14" i="54"/>
  <c r="KP13" i="54"/>
  <c r="KO13" i="54"/>
  <c r="KN13" i="54"/>
  <c r="KM13" i="54"/>
  <c r="KL13" i="54"/>
  <c r="KK13" i="54"/>
  <c r="KJ13" i="54"/>
  <c r="KI13" i="54"/>
  <c r="KP12" i="54"/>
  <c r="KO12" i="54"/>
  <c r="KN12" i="54"/>
  <c r="KM12" i="54"/>
  <c r="KL12" i="54"/>
  <c r="KK12" i="54"/>
  <c r="KJ12" i="54"/>
  <c r="KI12" i="54"/>
  <c r="KP11" i="54"/>
  <c r="KO11" i="54"/>
  <c r="KN11" i="54"/>
  <c r="KM11" i="54"/>
  <c r="KL11" i="54"/>
  <c r="KK11" i="54"/>
  <c r="KJ11" i="54"/>
  <c r="KI11" i="54"/>
  <c r="KW8" i="54"/>
  <c r="KV8" i="54"/>
  <c r="KU8" i="54"/>
  <c r="KT8" i="54"/>
  <c r="KQ8" i="54"/>
  <c r="KP8" i="54"/>
  <c r="KO8" i="54"/>
  <c r="KL8" i="54"/>
  <c r="KK8" i="54"/>
  <c r="KJ8" i="54"/>
  <c r="KI8" i="54"/>
  <c r="KW7" i="54"/>
  <c r="KV7" i="54"/>
  <c r="KU7" i="54"/>
  <c r="KT7" i="54"/>
  <c r="KQ7" i="54"/>
  <c r="KP7" i="54"/>
  <c r="KO7" i="54"/>
  <c r="KL7" i="54"/>
  <c r="KK7" i="54"/>
  <c r="KJ7" i="54"/>
  <c r="KI7" i="54"/>
  <c r="KF7" i="54"/>
  <c r="KW6" i="54"/>
  <c r="KV6" i="54"/>
  <c r="KU6" i="54"/>
  <c r="KT6" i="54"/>
  <c r="KQ6" i="54"/>
  <c r="KP6" i="54"/>
  <c r="KO6" i="54"/>
  <c r="KL6" i="54"/>
  <c r="KK6" i="54"/>
  <c r="KJ6" i="54"/>
  <c r="KI6" i="54"/>
  <c r="KF6" i="54"/>
  <c r="KW5" i="54"/>
  <c r="KV5" i="54"/>
  <c r="KU5" i="54"/>
  <c r="KT5" i="54"/>
  <c r="KQ5" i="54"/>
  <c r="KP5" i="54"/>
  <c r="KO5" i="54"/>
  <c r="KL5" i="54"/>
  <c r="KK5" i="54"/>
  <c r="KJ5" i="54"/>
  <c r="KI5" i="54"/>
  <c r="KF5" i="54"/>
  <c r="KW4" i="54"/>
  <c r="KV4" i="54"/>
  <c r="KU4" i="54"/>
  <c r="KT4" i="54"/>
  <c r="KQ4" i="54"/>
  <c r="KP4" i="54"/>
  <c r="KO4" i="54"/>
  <c r="KL4" i="54"/>
  <c r="KK4" i="54"/>
  <c r="KJ4" i="54"/>
  <c r="KI4" i="54"/>
  <c r="KF4" i="54"/>
  <c r="KF3" i="54"/>
  <c r="KF2" i="54"/>
  <c r="JP140" i="54"/>
  <c r="JO140" i="54"/>
  <c r="JN140" i="54"/>
  <c r="JM140" i="54"/>
  <c r="JQ140" i="54" s="1"/>
  <c r="JL140" i="54"/>
  <c r="JK140" i="54"/>
  <c r="JJ140" i="54"/>
  <c r="JI140" i="54"/>
  <c r="JP139" i="54"/>
  <c r="JO139" i="54"/>
  <c r="JN139" i="54"/>
  <c r="JM139" i="54"/>
  <c r="JQ139" i="54" s="1"/>
  <c r="JL139" i="54"/>
  <c r="JK139" i="54"/>
  <c r="JJ139" i="54"/>
  <c r="JI139" i="54"/>
  <c r="JP138" i="54"/>
  <c r="JO138" i="54"/>
  <c r="JN138" i="54"/>
  <c r="JM138" i="54"/>
  <c r="JQ138" i="54" s="1"/>
  <c r="JL138" i="54"/>
  <c r="JK138" i="54"/>
  <c r="JJ138" i="54"/>
  <c r="JI138" i="54"/>
  <c r="JP137" i="54"/>
  <c r="JO137" i="54"/>
  <c r="JN137" i="54"/>
  <c r="JM137" i="54"/>
  <c r="JQ137" i="54" s="1"/>
  <c r="JL137" i="54"/>
  <c r="JK137" i="54"/>
  <c r="JJ137" i="54"/>
  <c r="JI137" i="54"/>
  <c r="JP136" i="54"/>
  <c r="JO136" i="54"/>
  <c r="JN136" i="54"/>
  <c r="JM136" i="54"/>
  <c r="JQ136" i="54" s="1"/>
  <c r="JL136" i="54"/>
  <c r="JK136" i="54"/>
  <c r="JJ136" i="54"/>
  <c r="JI136" i="54"/>
  <c r="JP132" i="54"/>
  <c r="JO132" i="54"/>
  <c r="JN132" i="54"/>
  <c r="JM132" i="54"/>
  <c r="JQ132" i="54" s="1"/>
  <c r="JL132" i="54"/>
  <c r="JK132" i="54"/>
  <c r="JJ132" i="54"/>
  <c r="JI132" i="54"/>
  <c r="JP131" i="54"/>
  <c r="JO131" i="54"/>
  <c r="JN131" i="54"/>
  <c r="JM131" i="54"/>
  <c r="JQ131" i="54" s="1"/>
  <c r="JL131" i="54"/>
  <c r="JK131" i="54"/>
  <c r="JJ131" i="54"/>
  <c r="JI131" i="54"/>
  <c r="JP130" i="54"/>
  <c r="JO130" i="54"/>
  <c r="JN130" i="54"/>
  <c r="JM130" i="54"/>
  <c r="JQ130" i="54" s="1"/>
  <c r="JL130" i="54"/>
  <c r="JK130" i="54"/>
  <c r="JJ130" i="54"/>
  <c r="JI130" i="54"/>
  <c r="JP129" i="54"/>
  <c r="JO129" i="54"/>
  <c r="JN129" i="54"/>
  <c r="JM129" i="54"/>
  <c r="JQ129" i="54" s="1"/>
  <c r="JL129" i="54"/>
  <c r="JK129" i="54"/>
  <c r="JJ129" i="54"/>
  <c r="JI129" i="54"/>
  <c r="JP128" i="54"/>
  <c r="JO128" i="54"/>
  <c r="JN128" i="54"/>
  <c r="JM128" i="54"/>
  <c r="JQ128" i="54" s="1"/>
  <c r="JL128" i="54"/>
  <c r="JK128" i="54"/>
  <c r="JJ128" i="54"/>
  <c r="JI128" i="54"/>
  <c r="JP124" i="54"/>
  <c r="JO124" i="54"/>
  <c r="JN124" i="54"/>
  <c r="JM124" i="54"/>
  <c r="JQ124" i="54" s="1"/>
  <c r="JL124" i="54"/>
  <c r="JK124" i="54"/>
  <c r="JJ124" i="54"/>
  <c r="JI124" i="54"/>
  <c r="JP123" i="54"/>
  <c r="JO123" i="54"/>
  <c r="JN123" i="54"/>
  <c r="JM123" i="54"/>
  <c r="JQ123" i="54" s="1"/>
  <c r="JL123" i="54"/>
  <c r="JK123" i="54"/>
  <c r="JJ123" i="54"/>
  <c r="JI123" i="54"/>
  <c r="JP122" i="54"/>
  <c r="JO122" i="54"/>
  <c r="JN122" i="54"/>
  <c r="JM122" i="54"/>
  <c r="JQ122" i="54" s="1"/>
  <c r="JL122" i="54"/>
  <c r="JK122" i="54"/>
  <c r="JJ122" i="54"/>
  <c r="JI122" i="54"/>
  <c r="JP121" i="54"/>
  <c r="JO121" i="54"/>
  <c r="JN121" i="54"/>
  <c r="JM121" i="54"/>
  <c r="JQ121" i="54" s="1"/>
  <c r="JL121" i="54"/>
  <c r="JK121" i="54"/>
  <c r="JJ121" i="54"/>
  <c r="JI121" i="54"/>
  <c r="JP120" i="54"/>
  <c r="JO120" i="54"/>
  <c r="JN120" i="54"/>
  <c r="JM120" i="54"/>
  <c r="JQ120" i="54" s="1"/>
  <c r="JL120" i="54"/>
  <c r="JK120" i="54"/>
  <c r="JJ120" i="54"/>
  <c r="JI120" i="54"/>
  <c r="JP116" i="54"/>
  <c r="JO116" i="54"/>
  <c r="JN116" i="54"/>
  <c r="JM116" i="54"/>
  <c r="JQ116" i="54" s="1"/>
  <c r="JL116" i="54"/>
  <c r="JK116" i="54"/>
  <c r="JJ116" i="54"/>
  <c r="JI116" i="54"/>
  <c r="JP115" i="54"/>
  <c r="JO115" i="54"/>
  <c r="JN115" i="54"/>
  <c r="JM115" i="54"/>
  <c r="JQ115" i="54" s="1"/>
  <c r="JL115" i="54"/>
  <c r="JK115" i="54"/>
  <c r="JJ115" i="54"/>
  <c r="JI115" i="54"/>
  <c r="JP114" i="54"/>
  <c r="JO114" i="54"/>
  <c r="JN114" i="54"/>
  <c r="JM114" i="54"/>
  <c r="JQ114" i="54" s="1"/>
  <c r="JL114" i="54"/>
  <c r="JK114" i="54"/>
  <c r="JJ114" i="54"/>
  <c r="JI114" i="54"/>
  <c r="JP113" i="54"/>
  <c r="JO113" i="54"/>
  <c r="JN113" i="54"/>
  <c r="JM113" i="54"/>
  <c r="JQ113" i="54" s="1"/>
  <c r="JL113" i="54"/>
  <c r="JK113" i="54"/>
  <c r="JJ113" i="54"/>
  <c r="JI113" i="54"/>
  <c r="JP112" i="54"/>
  <c r="JO112" i="54"/>
  <c r="JN112" i="54"/>
  <c r="JM112" i="54"/>
  <c r="JQ112" i="54" s="1"/>
  <c r="JL112" i="54"/>
  <c r="JK112" i="54"/>
  <c r="JJ112" i="54"/>
  <c r="JI112" i="54"/>
  <c r="JP108" i="54"/>
  <c r="JO108" i="54"/>
  <c r="JN108" i="54"/>
  <c r="JM108" i="54"/>
  <c r="JQ108" i="54" s="1"/>
  <c r="JL108" i="54"/>
  <c r="JK108" i="54"/>
  <c r="JJ108" i="54"/>
  <c r="JI108" i="54"/>
  <c r="JP107" i="54"/>
  <c r="JO107" i="54"/>
  <c r="JN107" i="54"/>
  <c r="JM107" i="54"/>
  <c r="JQ107" i="54" s="1"/>
  <c r="JL107" i="54"/>
  <c r="JK107" i="54"/>
  <c r="JJ107" i="54"/>
  <c r="JI107" i="54"/>
  <c r="JP106" i="54"/>
  <c r="JO106" i="54"/>
  <c r="JN106" i="54"/>
  <c r="JM106" i="54"/>
  <c r="JQ106" i="54" s="1"/>
  <c r="JL106" i="54"/>
  <c r="JK106" i="54"/>
  <c r="JJ106" i="54"/>
  <c r="JI106" i="54"/>
  <c r="JP105" i="54"/>
  <c r="JO105" i="54"/>
  <c r="JN105" i="54"/>
  <c r="JM105" i="54"/>
  <c r="JQ105" i="54" s="1"/>
  <c r="JL105" i="54"/>
  <c r="JK105" i="54"/>
  <c r="JJ105" i="54"/>
  <c r="JI105" i="54"/>
  <c r="JP104" i="54"/>
  <c r="JO104" i="54"/>
  <c r="JN104" i="54"/>
  <c r="JM104" i="54"/>
  <c r="JQ104" i="54" s="1"/>
  <c r="JL104" i="54"/>
  <c r="JK104" i="54"/>
  <c r="JJ104" i="54"/>
  <c r="JI104" i="54"/>
  <c r="JP100" i="54"/>
  <c r="JO100" i="54"/>
  <c r="JN100" i="54"/>
  <c r="JM100" i="54"/>
  <c r="JQ100" i="54" s="1"/>
  <c r="JL100" i="54"/>
  <c r="JK100" i="54"/>
  <c r="JJ100" i="54"/>
  <c r="JI100" i="54"/>
  <c r="JP99" i="54"/>
  <c r="JO99" i="54"/>
  <c r="JN99" i="54"/>
  <c r="JM99" i="54"/>
  <c r="JQ99" i="54" s="1"/>
  <c r="JL99" i="54"/>
  <c r="JK99" i="54"/>
  <c r="JJ99" i="54"/>
  <c r="JI99" i="54"/>
  <c r="JP98" i="54"/>
  <c r="JO98" i="54"/>
  <c r="JN98" i="54"/>
  <c r="JM98" i="54"/>
  <c r="JQ98" i="54" s="1"/>
  <c r="JL98" i="54"/>
  <c r="JK98" i="54"/>
  <c r="JJ98" i="54"/>
  <c r="JI98" i="54"/>
  <c r="JP97" i="54"/>
  <c r="JO97" i="54"/>
  <c r="JN97" i="54"/>
  <c r="JM97" i="54"/>
  <c r="JQ97" i="54" s="1"/>
  <c r="JL97" i="54"/>
  <c r="JK97" i="54"/>
  <c r="JJ97" i="54"/>
  <c r="JI97" i="54"/>
  <c r="JP96" i="54"/>
  <c r="JO96" i="54"/>
  <c r="JN96" i="54"/>
  <c r="JM96" i="54"/>
  <c r="JQ96" i="54" s="1"/>
  <c r="JL96" i="54"/>
  <c r="JK96" i="54"/>
  <c r="JJ96" i="54"/>
  <c r="JI96" i="54"/>
  <c r="JP92" i="54"/>
  <c r="JO92" i="54"/>
  <c r="JN92" i="54"/>
  <c r="JM92" i="54"/>
  <c r="JQ92" i="54" s="1"/>
  <c r="JL92" i="54"/>
  <c r="JK92" i="54"/>
  <c r="JJ92" i="54"/>
  <c r="JI92" i="54"/>
  <c r="JP91" i="54"/>
  <c r="JO91" i="54"/>
  <c r="JN91" i="54"/>
  <c r="JM91" i="54"/>
  <c r="JQ91" i="54" s="1"/>
  <c r="JL91" i="54"/>
  <c r="JK91" i="54"/>
  <c r="JJ91" i="54"/>
  <c r="JI91" i="54"/>
  <c r="JP90" i="54"/>
  <c r="JO90" i="54"/>
  <c r="JN90" i="54"/>
  <c r="JM90" i="54"/>
  <c r="JQ90" i="54" s="1"/>
  <c r="JL90" i="54"/>
  <c r="JK90" i="54"/>
  <c r="JJ90" i="54"/>
  <c r="JI90" i="54"/>
  <c r="JP89" i="54"/>
  <c r="JO89" i="54"/>
  <c r="JN89" i="54"/>
  <c r="JM89" i="54"/>
  <c r="JQ89" i="54" s="1"/>
  <c r="JL89" i="54"/>
  <c r="JK89" i="54"/>
  <c r="JJ89" i="54"/>
  <c r="JI89" i="54"/>
  <c r="JP88" i="54"/>
  <c r="JO88" i="54"/>
  <c r="JN88" i="54"/>
  <c r="JM88" i="54"/>
  <c r="JQ88" i="54" s="1"/>
  <c r="JL88" i="54"/>
  <c r="JK88" i="54"/>
  <c r="JJ88" i="54"/>
  <c r="JI88" i="54"/>
  <c r="JP85" i="54"/>
  <c r="JO85" i="54"/>
  <c r="JN85" i="54"/>
  <c r="JM85" i="54"/>
  <c r="JQ85" i="54" s="1"/>
  <c r="JL85" i="54"/>
  <c r="JK85" i="54"/>
  <c r="JJ85" i="54"/>
  <c r="JI85" i="54"/>
  <c r="JP84" i="54"/>
  <c r="JO84" i="54"/>
  <c r="JN84" i="54"/>
  <c r="JM84" i="54"/>
  <c r="JQ84" i="54" s="1"/>
  <c r="JL84" i="54"/>
  <c r="JK84" i="54"/>
  <c r="JJ84" i="54"/>
  <c r="JI84" i="54"/>
  <c r="JP83" i="54"/>
  <c r="JO83" i="54"/>
  <c r="JN83" i="54"/>
  <c r="JM83" i="54"/>
  <c r="JQ83" i="54" s="1"/>
  <c r="JL83" i="54"/>
  <c r="JK83" i="54"/>
  <c r="JJ83" i="54"/>
  <c r="JI83" i="54"/>
  <c r="JP82" i="54"/>
  <c r="JO82" i="54"/>
  <c r="JN82" i="54"/>
  <c r="JM82" i="54"/>
  <c r="JQ82" i="54" s="1"/>
  <c r="JL82" i="54"/>
  <c r="JK82" i="54"/>
  <c r="JJ82" i="54"/>
  <c r="JI82" i="54"/>
  <c r="JP81" i="54"/>
  <c r="JO81" i="54"/>
  <c r="JN81" i="54"/>
  <c r="JM81" i="54"/>
  <c r="JQ81" i="54" s="1"/>
  <c r="JL81" i="54"/>
  <c r="JK81" i="54"/>
  <c r="JJ81" i="54"/>
  <c r="JI81" i="54"/>
  <c r="JP78" i="54"/>
  <c r="JO78" i="54"/>
  <c r="JN78" i="54"/>
  <c r="JM78" i="54"/>
  <c r="JQ78" i="54" s="1"/>
  <c r="JL78" i="54"/>
  <c r="JK78" i="54"/>
  <c r="JJ78" i="54"/>
  <c r="JI78" i="54"/>
  <c r="JP77" i="54"/>
  <c r="JO77" i="54"/>
  <c r="JN77" i="54"/>
  <c r="JM77" i="54"/>
  <c r="JQ77" i="54" s="1"/>
  <c r="JL77" i="54"/>
  <c r="JK77" i="54"/>
  <c r="JJ77" i="54"/>
  <c r="JI77" i="54"/>
  <c r="JP76" i="54"/>
  <c r="JO76" i="54"/>
  <c r="JN76" i="54"/>
  <c r="JM76" i="54"/>
  <c r="JQ76" i="54" s="1"/>
  <c r="JL76" i="54"/>
  <c r="JK76" i="54"/>
  <c r="JJ76" i="54"/>
  <c r="JI76" i="54"/>
  <c r="JP75" i="54"/>
  <c r="JO75" i="54"/>
  <c r="JN75" i="54"/>
  <c r="JM75" i="54"/>
  <c r="JQ75" i="54" s="1"/>
  <c r="JL75" i="54"/>
  <c r="JK75" i="54"/>
  <c r="JJ75" i="54"/>
  <c r="JI75" i="54"/>
  <c r="JP74" i="54"/>
  <c r="JO74" i="54"/>
  <c r="JN74" i="54"/>
  <c r="JM74" i="54"/>
  <c r="JQ74" i="54" s="1"/>
  <c r="JL74" i="54"/>
  <c r="JK74" i="54"/>
  <c r="JJ74" i="54"/>
  <c r="JI74" i="54"/>
  <c r="JP71" i="54"/>
  <c r="JO71" i="54"/>
  <c r="JN71" i="54"/>
  <c r="JM71" i="54"/>
  <c r="JQ71" i="54" s="1"/>
  <c r="JL71" i="54"/>
  <c r="JK71" i="54"/>
  <c r="JJ71" i="54"/>
  <c r="JI71" i="54"/>
  <c r="JP70" i="54"/>
  <c r="JO70" i="54"/>
  <c r="JN70" i="54"/>
  <c r="JM70" i="54"/>
  <c r="JQ70" i="54" s="1"/>
  <c r="JL70" i="54"/>
  <c r="JK70" i="54"/>
  <c r="JJ70" i="54"/>
  <c r="JI70" i="54"/>
  <c r="JP69" i="54"/>
  <c r="JO69" i="54"/>
  <c r="JN69" i="54"/>
  <c r="JM69" i="54"/>
  <c r="JQ69" i="54" s="1"/>
  <c r="JL69" i="54"/>
  <c r="JK69" i="54"/>
  <c r="JJ69" i="54"/>
  <c r="JI69" i="54"/>
  <c r="JP68" i="54"/>
  <c r="JO68" i="54"/>
  <c r="JN68" i="54"/>
  <c r="JM68" i="54"/>
  <c r="JQ68" i="54" s="1"/>
  <c r="JL68" i="54"/>
  <c r="JK68" i="54"/>
  <c r="JJ68" i="54"/>
  <c r="JI68" i="54"/>
  <c r="JP67" i="54"/>
  <c r="JO67" i="54"/>
  <c r="JN67" i="54"/>
  <c r="JM67" i="54"/>
  <c r="JQ67" i="54" s="1"/>
  <c r="JL67" i="54"/>
  <c r="JK67" i="54"/>
  <c r="JJ67" i="54"/>
  <c r="JI67" i="54"/>
  <c r="JP64" i="54"/>
  <c r="JO64" i="54"/>
  <c r="JN64" i="54"/>
  <c r="JM64" i="54"/>
  <c r="JQ64" i="54" s="1"/>
  <c r="JL64" i="54"/>
  <c r="JK64" i="54"/>
  <c r="JJ64" i="54"/>
  <c r="JI64" i="54"/>
  <c r="JP63" i="54"/>
  <c r="JO63" i="54"/>
  <c r="JN63" i="54"/>
  <c r="JM63" i="54"/>
  <c r="JQ63" i="54" s="1"/>
  <c r="JL63" i="54"/>
  <c r="JK63" i="54"/>
  <c r="JJ63" i="54"/>
  <c r="JI63" i="54"/>
  <c r="JP62" i="54"/>
  <c r="JO62" i="54"/>
  <c r="JN62" i="54"/>
  <c r="JM62" i="54"/>
  <c r="JQ62" i="54" s="1"/>
  <c r="JL62" i="54"/>
  <c r="JK62" i="54"/>
  <c r="JJ62" i="54"/>
  <c r="JI62" i="54"/>
  <c r="JP61" i="54"/>
  <c r="JO61" i="54"/>
  <c r="JN61" i="54"/>
  <c r="JM61" i="54"/>
  <c r="JQ61" i="54" s="1"/>
  <c r="JL61" i="54"/>
  <c r="JK61" i="54"/>
  <c r="JJ61" i="54"/>
  <c r="JI61" i="54"/>
  <c r="JP60" i="54"/>
  <c r="JO60" i="54"/>
  <c r="JN60" i="54"/>
  <c r="JM60" i="54"/>
  <c r="JQ60" i="54" s="1"/>
  <c r="JL60" i="54"/>
  <c r="JK60" i="54"/>
  <c r="JJ60" i="54"/>
  <c r="JI60" i="54"/>
  <c r="JP57" i="54"/>
  <c r="JO57" i="54"/>
  <c r="JN57" i="54"/>
  <c r="JM57" i="54"/>
  <c r="JQ57" i="54" s="1"/>
  <c r="JL57" i="54"/>
  <c r="JK57" i="54"/>
  <c r="JJ57" i="54"/>
  <c r="JI57" i="54"/>
  <c r="JP56" i="54"/>
  <c r="JO56" i="54"/>
  <c r="JN56" i="54"/>
  <c r="JM56" i="54"/>
  <c r="JQ56" i="54" s="1"/>
  <c r="JL56" i="54"/>
  <c r="JK56" i="54"/>
  <c r="JJ56" i="54"/>
  <c r="JI56" i="54"/>
  <c r="JP55" i="54"/>
  <c r="JO55" i="54"/>
  <c r="JN55" i="54"/>
  <c r="JM55" i="54"/>
  <c r="JQ55" i="54" s="1"/>
  <c r="JL55" i="54"/>
  <c r="JK55" i="54"/>
  <c r="JJ55" i="54"/>
  <c r="JI55" i="54"/>
  <c r="JP54" i="54"/>
  <c r="JO54" i="54"/>
  <c r="JN54" i="54"/>
  <c r="JM54" i="54"/>
  <c r="JQ54" i="54" s="1"/>
  <c r="JL54" i="54"/>
  <c r="JK54" i="54"/>
  <c r="JJ54" i="54"/>
  <c r="JI54" i="54"/>
  <c r="JP53" i="54"/>
  <c r="JO53" i="54"/>
  <c r="JN53" i="54"/>
  <c r="JM53" i="54"/>
  <c r="JQ53" i="54" s="1"/>
  <c r="JL53" i="54"/>
  <c r="JK53" i="54"/>
  <c r="JJ53" i="54"/>
  <c r="JI53" i="54"/>
  <c r="JP50" i="54"/>
  <c r="JO50" i="54"/>
  <c r="JN50" i="54"/>
  <c r="JM50" i="54"/>
  <c r="JQ50" i="54" s="1"/>
  <c r="JL50" i="54"/>
  <c r="JK50" i="54"/>
  <c r="JJ50" i="54"/>
  <c r="JI50" i="54"/>
  <c r="JP49" i="54"/>
  <c r="JO49" i="54"/>
  <c r="JN49" i="54"/>
  <c r="JM49" i="54"/>
  <c r="JQ49" i="54" s="1"/>
  <c r="JL49" i="54"/>
  <c r="JK49" i="54"/>
  <c r="JJ49" i="54"/>
  <c r="JI49" i="54"/>
  <c r="JP48" i="54"/>
  <c r="JO48" i="54"/>
  <c r="JN48" i="54"/>
  <c r="JM48" i="54"/>
  <c r="JQ48" i="54" s="1"/>
  <c r="JL48" i="54"/>
  <c r="JK48" i="54"/>
  <c r="JJ48" i="54"/>
  <c r="JI48" i="54"/>
  <c r="JP47" i="54"/>
  <c r="JO47" i="54"/>
  <c r="JN47" i="54"/>
  <c r="JM47" i="54"/>
  <c r="JQ47" i="54" s="1"/>
  <c r="JL47" i="54"/>
  <c r="JK47" i="54"/>
  <c r="JJ47" i="54"/>
  <c r="JI47" i="54"/>
  <c r="JP46" i="54"/>
  <c r="JO46" i="54"/>
  <c r="JN46" i="54"/>
  <c r="JM46" i="54"/>
  <c r="JQ46" i="54" s="1"/>
  <c r="JL46" i="54"/>
  <c r="JK46" i="54"/>
  <c r="JJ46" i="54"/>
  <c r="JI46" i="54"/>
  <c r="JP43" i="54"/>
  <c r="JO43" i="54"/>
  <c r="JN43" i="54"/>
  <c r="JM43" i="54"/>
  <c r="JQ43" i="54" s="1"/>
  <c r="JL43" i="54"/>
  <c r="JK43" i="54"/>
  <c r="JJ43" i="54"/>
  <c r="JI43" i="54"/>
  <c r="JP42" i="54"/>
  <c r="JO42" i="54"/>
  <c r="JN42" i="54"/>
  <c r="JM42" i="54"/>
  <c r="JQ42" i="54" s="1"/>
  <c r="JL42" i="54"/>
  <c r="JK42" i="54"/>
  <c r="JJ42" i="54"/>
  <c r="JI42" i="54"/>
  <c r="JP41" i="54"/>
  <c r="JO41" i="54"/>
  <c r="JN41" i="54"/>
  <c r="JM41" i="54"/>
  <c r="JQ41" i="54" s="1"/>
  <c r="JL41" i="54"/>
  <c r="JK41" i="54"/>
  <c r="JJ41" i="54"/>
  <c r="JI41" i="54"/>
  <c r="JP40" i="54"/>
  <c r="JO40" i="54"/>
  <c r="JN40" i="54"/>
  <c r="JM40" i="54"/>
  <c r="JQ40" i="54" s="1"/>
  <c r="JL40" i="54"/>
  <c r="JK40" i="54"/>
  <c r="JJ40" i="54"/>
  <c r="JI40" i="54"/>
  <c r="JP39" i="54"/>
  <c r="JO39" i="54"/>
  <c r="JN39" i="54"/>
  <c r="JM39" i="54"/>
  <c r="JQ39" i="54" s="1"/>
  <c r="JL39" i="54"/>
  <c r="JK39" i="54"/>
  <c r="JJ39" i="54"/>
  <c r="JI39" i="54"/>
  <c r="JP36" i="54"/>
  <c r="JO36" i="54"/>
  <c r="JN36" i="54"/>
  <c r="JM36" i="54"/>
  <c r="JQ36" i="54" s="1"/>
  <c r="JL36" i="54"/>
  <c r="JK36" i="54"/>
  <c r="JJ36" i="54"/>
  <c r="JI36" i="54"/>
  <c r="JP35" i="54"/>
  <c r="JO35" i="54"/>
  <c r="JN35" i="54"/>
  <c r="JM35" i="54"/>
  <c r="JQ35" i="54" s="1"/>
  <c r="JL35" i="54"/>
  <c r="JK35" i="54"/>
  <c r="JJ35" i="54"/>
  <c r="JI35" i="54"/>
  <c r="JP34" i="54"/>
  <c r="JO34" i="54"/>
  <c r="JN34" i="54"/>
  <c r="JM34" i="54"/>
  <c r="JQ34" i="54" s="1"/>
  <c r="JL34" i="54"/>
  <c r="JK34" i="54"/>
  <c r="JJ34" i="54"/>
  <c r="JI34" i="54"/>
  <c r="JP33" i="54"/>
  <c r="JO33" i="54"/>
  <c r="JN33" i="54"/>
  <c r="JM33" i="54"/>
  <c r="JQ33" i="54" s="1"/>
  <c r="JL33" i="54"/>
  <c r="JK33" i="54"/>
  <c r="JJ33" i="54"/>
  <c r="JI33" i="54"/>
  <c r="JP32" i="54"/>
  <c r="JO32" i="54"/>
  <c r="JN32" i="54"/>
  <c r="JM32" i="54"/>
  <c r="JQ32" i="54" s="1"/>
  <c r="JL32" i="54"/>
  <c r="JK32" i="54"/>
  <c r="JJ32" i="54"/>
  <c r="JI32" i="54"/>
  <c r="JP29" i="54"/>
  <c r="JO29" i="54"/>
  <c r="JN29" i="54"/>
  <c r="JM29" i="54"/>
  <c r="JQ29" i="54" s="1"/>
  <c r="JL29" i="54"/>
  <c r="JK29" i="54"/>
  <c r="JJ29" i="54"/>
  <c r="JI29" i="54"/>
  <c r="JP28" i="54"/>
  <c r="JO28" i="54"/>
  <c r="JN28" i="54"/>
  <c r="JM28" i="54"/>
  <c r="JQ28" i="54" s="1"/>
  <c r="JL28" i="54"/>
  <c r="JK28" i="54"/>
  <c r="JJ28" i="54"/>
  <c r="JI28" i="54"/>
  <c r="JP27" i="54"/>
  <c r="JO27" i="54"/>
  <c r="JN27" i="54"/>
  <c r="JM27" i="54"/>
  <c r="JQ27" i="54" s="1"/>
  <c r="JL27" i="54"/>
  <c r="JK27" i="54"/>
  <c r="JJ27" i="54"/>
  <c r="JI27" i="54"/>
  <c r="JP26" i="54"/>
  <c r="JO26" i="54"/>
  <c r="JN26" i="54"/>
  <c r="JM26" i="54"/>
  <c r="JQ26" i="54" s="1"/>
  <c r="JL26" i="54"/>
  <c r="JK26" i="54"/>
  <c r="JJ26" i="54"/>
  <c r="JI26" i="54"/>
  <c r="JP25" i="54"/>
  <c r="JO25" i="54"/>
  <c r="JN25" i="54"/>
  <c r="JM25" i="54"/>
  <c r="JQ25" i="54" s="1"/>
  <c r="JL25" i="54"/>
  <c r="JK25" i="54"/>
  <c r="JJ25" i="54"/>
  <c r="JI25" i="54"/>
  <c r="JP22" i="54"/>
  <c r="JO22" i="54"/>
  <c r="JN22" i="54"/>
  <c r="JM22" i="54"/>
  <c r="JQ22" i="54" s="1"/>
  <c r="JL22" i="54"/>
  <c r="JK22" i="54"/>
  <c r="JJ22" i="54"/>
  <c r="JI22" i="54"/>
  <c r="JP21" i="54"/>
  <c r="JO21" i="54"/>
  <c r="JN21" i="54"/>
  <c r="JM21" i="54"/>
  <c r="JQ21" i="54" s="1"/>
  <c r="JL21" i="54"/>
  <c r="JK21" i="54"/>
  <c r="JJ21" i="54"/>
  <c r="JI21" i="54"/>
  <c r="JP20" i="54"/>
  <c r="JO20" i="54"/>
  <c r="JN20" i="54"/>
  <c r="JM20" i="54"/>
  <c r="JQ20" i="54" s="1"/>
  <c r="JL20" i="54"/>
  <c r="JK20" i="54"/>
  <c r="JJ20" i="54"/>
  <c r="JI20" i="54"/>
  <c r="JP19" i="54"/>
  <c r="JO19" i="54"/>
  <c r="JN19" i="54"/>
  <c r="JM19" i="54"/>
  <c r="JQ19" i="54" s="1"/>
  <c r="JL19" i="54"/>
  <c r="JK19" i="54"/>
  <c r="JJ19" i="54"/>
  <c r="JI19" i="54"/>
  <c r="JP18" i="54"/>
  <c r="JO18" i="54"/>
  <c r="JN18" i="54"/>
  <c r="JM18" i="54"/>
  <c r="JQ18" i="54" s="1"/>
  <c r="JL18" i="54"/>
  <c r="JK18" i="54"/>
  <c r="JJ18" i="54"/>
  <c r="JI18" i="54"/>
  <c r="JP15" i="54"/>
  <c r="JO15" i="54"/>
  <c r="JN15" i="54"/>
  <c r="JM15" i="54"/>
  <c r="JQ15" i="54" s="1"/>
  <c r="JL15" i="54"/>
  <c r="JK15" i="54"/>
  <c r="JJ15" i="54"/>
  <c r="JI15" i="54"/>
  <c r="JP14" i="54"/>
  <c r="JO14" i="54"/>
  <c r="JN14" i="54"/>
  <c r="JM14" i="54"/>
  <c r="JQ14" i="54" s="1"/>
  <c r="JL14" i="54"/>
  <c r="JK14" i="54"/>
  <c r="JJ14" i="54"/>
  <c r="JI14" i="54"/>
  <c r="JP13" i="54"/>
  <c r="JO13" i="54"/>
  <c r="JN13" i="54"/>
  <c r="JM13" i="54"/>
  <c r="JQ13" i="54" s="1"/>
  <c r="JL13" i="54"/>
  <c r="JK13" i="54"/>
  <c r="JJ13" i="54"/>
  <c r="JI13" i="54"/>
  <c r="JP12" i="54"/>
  <c r="JO12" i="54"/>
  <c r="JN12" i="54"/>
  <c r="JM12" i="54"/>
  <c r="JQ12" i="54" s="1"/>
  <c r="JL12" i="54"/>
  <c r="JK12" i="54"/>
  <c r="JJ12" i="54"/>
  <c r="JI12" i="54"/>
  <c r="JP11" i="54"/>
  <c r="JO11" i="54"/>
  <c r="JN11" i="54"/>
  <c r="JM11" i="54"/>
  <c r="JQ11" i="54" s="1"/>
  <c r="JL11" i="54"/>
  <c r="JK11" i="54"/>
  <c r="JJ11" i="54"/>
  <c r="JI11" i="54"/>
  <c r="JW8" i="54"/>
  <c r="JV8" i="54"/>
  <c r="JU8" i="54"/>
  <c r="JT8" i="54"/>
  <c r="JX8" i="54" s="1"/>
  <c r="JQ8" i="54"/>
  <c r="JP8" i="54"/>
  <c r="JO8" i="54"/>
  <c r="JR8" i="54" s="1"/>
  <c r="JL8" i="54"/>
  <c r="JK8" i="54"/>
  <c r="JJ8" i="54"/>
  <c r="JI8" i="54"/>
  <c r="JM8" i="54" s="1"/>
  <c r="JW7" i="54"/>
  <c r="JV7" i="54"/>
  <c r="JU7" i="54"/>
  <c r="JT7" i="54"/>
  <c r="JX7" i="54" s="1"/>
  <c r="JQ7" i="54"/>
  <c r="JP7" i="54"/>
  <c r="JO7" i="54"/>
  <c r="JR7" i="54" s="1"/>
  <c r="JL7" i="54"/>
  <c r="JK7" i="54"/>
  <c r="JJ7" i="54"/>
  <c r="JI7" i="54"/>
  <c r="JM7" i="54" s="1"/>
  <c r="JW6" i="54"/>
  <c r="JV6" i="54"/>
  <c r="JU6" i="54"/>
  <c r="JT6" i="54"/>
  <c r="JX6" i="54" s="1"/>
  <c r="JQ6" i="54"/>
  <c r="JP6" i="54"/>
  <c r="JO6" i="54"/>
  <c r="JR6" i="54" s="1"/>
  <c r="JL6" i="54"/>
  <c r="JK6" i="54"/>
  <c r="JJ6" i="54"/>
  <c r="JI6" i="54"/>
  <c r="JM6" i="54" s="1"/>
  <c r="JW5" i="54"/>
  <c r="JV5" i="54"/>
  <c r="JU5" i="54"/>
  <c r="JT5" i="54"/>
  <c r="JX5" i="54" s="1"/>
  <c r="JQ5" i="54"/>
  <c r="JP5" i="54"/>
  <c r="JO5" i="54"/>
  <c r="JR5" i="54" s="1"/>
  <c r="JL5" i="54"/>
  <c r="JK5" i="54"/>
  <c r="JJ5" i="54"/>
  <c r="JI5" i="54"/>
  <c r="JM5" i="54" s="1"/>
  <c r="JW4" i="54"/>
  <c r="JV4" i="54"/>
  <c r="JU4" i="54"/>
  <c r="JT4" i="54"/>
  <c r="JX4" i="54" s="1"/>
  <c r="JQ4" i="54"/>
  <c r="JP4" i="54"/>
  <c r="JO4" i="54"/>
  <c r="JR4" i="54" s="1"/>
  <c r="JL4" i="54"/>
  <c r="JK4" i="54"/>
  <c r="JJ4" i="54"/>
  <c r="JI4" i="54"/>
  <c r="JM4" i="54" s="1"/>
  <c r="GU140" i="54"/>
  <c r="GT140" i="54"/>
  <c r="GS140" i="54"/>
  <c r="GR140" i="54"/>
  <c r="GQ140" i="54"/>
  <c r="GP140" i="54"/>
  <c r="GO140" i="54"/>
  <c r="GN140" i="54"/>
  <c r="GU139" i="54"/>
  <c r="GT139" i="54"/>
  <c r="GS139" i="54"/>
  <c r="GR139" i="54"/>
  <c r="GQ139" i="54"/>
  <c r="GP139" i="54"/>
  <c r="GO139" i="54"/>
  <c r="GN139" i="54"/>
  <c r="GU138" i="54"/>
  <c r="GT138" i="54"/>
  <c r="GS138" i="54"/>
  <c r="GR138" i="54"/>
  <c r="GQ138" i="54"/>
  <c r="GP138" i="54"/>
  <c r="GO138" i="54"/>
  <c r="GN138" i="54"/>
  <c r="GU137" i="54"/>
  <c r="GT137" i="54"/>
  <c r="GS137" i="54"/>
  <c r="GR137" i="54"/>
  <c r="GQ137" i="54"/>
  <c r="GP137" i="54"/>
  <c r="GO137" i="54"/>
  <c r="GN137" i="54"/>
  <c r="GU136" i="54"/>
  <c r="GT136" i="54"/>
  <c r="GS136" i="54"/>
  <c r="GR136" i="54"/>
  <c r="GQ136" i="54"/>
  <c r="GP136" i="54"/>
  <c r="GO136" i="54"/>
  <c r="GN136" i="54"/>
  <c r="GU132" i="54"/>
  <c r="GT132" i="54"/>
  <c r="GS132" i="54"/>
  <c r="GR132" i="54"/>
  <c r="GQ132" i="54"/>
  <c r="GP132" i="54"/>
  <c r="GO132" i="54"/>
  <c r="GN132" i="54"/>
  <c r="GU131" i="54"/>
  <c r="GT131" i="54"/>
  <c r="GS131" i="54"/>
  <c r="GR131" i="54"/>
  <c r="GQ131" i="54"/>
  <c r="GP131" i="54"/>
  <c r="GO131" i="54"/>
  <c r="GN131" i="54"/>
  <c r="GU130" i="54"/>
  <c r="GT130" i="54"/>
  <c r="GS130" i="54"/>
  <c r="GR130" i="54"/>
  <c r="GQ130" i="54"/>
  <c r="GP130" i="54"/>
  <c r="GO130" i="54"/>
  <c r="GN130" i="54"/>
  <c r="GU129" i="54"/>
  <c r="GT129" i="54"/>
  <c r="GS129" i="54"/>
  <c r="GR129" i="54"/>
  <c r="GQ129" i="54"/>
  <c r="GP129" i="54"/>
  <c r="GO129" i="54"/>
  <c r="GN129" i="54"/>
  <c r="GU128" i="54"/>
  <c r="GT128" i="54"/>
  <c r="GS128" i="54"/>
  <c r="GR128" i="54"/>
  <c r="GQ128" i="54"/>
  <c r="GP128" i="54"/>
  <c r="GO128" i="54"/>
  <c r="GN128" i="54"/>
  <c r="GU124" i="54"/>
  <c r="GT124" i="54"/>
  <c r="GS124" i="54"/>
  <c r="GR124" i="54"/>
  <c r="GQ124" i="54"/>
  <c r="GP124" i="54"/>
  <c r="GO124" i="54"/>
  <c r="GN124" i="54"/>
  <c r="GU123" i="54"/>
  <c r="GT123" i="54"/>
  <c r="GS123" i="54"/>
  <c r="GR123" i="54"/>
  <c r="GQ123" i="54"/>
  <c r="GP123" i="54"/>
  <c r="GO123" i="54"/>
  <c r="GN123" i="54"/>
  <c r="GU122" i="54"/>
  <c r="GT122" i="54"/>
  <c r="GS122" i="54"/>
  <c r="GR122" i="54"/>
  <c r="GQ122" i="54"/>
  <c r="GP122" i="54"/>
  <c r="GO122" i="54"/>
  <c r="GN122" i="54"/>
  <c r="GU121" i="54"/>
  <c r="GT121" i="54"/>
  <c r="GS121" i="54"/>
  <c r="GR121" i="54"/>
  <c r="GQ121" i="54"/>
  <c r="GP121" i="54"/>
  <c r="GO121" i="54"/>
  <c r="GN121" i="54"/>
  <c r="GU120" i="54"/>
  <c r="GT120" i="54"/>
  <c r="GS120" i="54"/>
  <c r="GR120" i="54"/>
  <c r="GQ120" i="54"/>
  <c r="GP120" i="54"/>
  <c r="GO120" i="54"/>
  <c r="GN120" i="54"/>
  <c r="GU116" i="54"/>
  <c r="GT116" i="54"/>
  <c r="GS116" i="54"/>
  <c r="GR116" i="54"/>
  <c r="GQ116" i="54"/>
  <c r="GP116" i="54"/>
  <c r="GO116" i="54"/>
  <c r="GN116" i="54"/>
  <c r="GU115" i="54"/>
  <c r="GT115" i="54"/>
  <c r="GS115" i="54"/>
  <c r="GR115" i="54"/>
  <c r="GQ115" i="54"/>
  <c r="GP115" i="54"/>
  <c r="GO115" i="54"/>
  <c r="GN115" i="54"/>
  <c r="GU114" i="54"/>
  <c r="GT114" i="54"/>
  <c r="GS114" i="54"/>
  <c r="GR114" i="54"/>
  <c r="GQ114" i="54"/>
  <c r="GP114" i="54"/>
  <c r="GO114" i="54"/>
  <c r="GN114" i="54"/>
  <c r="GU113" i="54"/>
  <c r="GT113" i="54"/>
  <c r="GS113" i="54"/>
  <c r="GR113" i="54"/>
  <c r="GQ113" i="54"/>
  <c r="GP113" i="54"/>
  <c r="GO113" i="54"/>
  <c r="GN113" i="54"/>
  <c r="GU112" i="54"/>
  <c r="GT112" i="54"/>
  <c r="GS112" i="54"/>
  <c r="GR112" i="54"/>
  <c r="GQ112" i="54"/>
  <c r="GP112" i="54"/>
  <c r="GO112" i="54"/>
  <c r="GN112" i="54"/>
  <c r="GU108" i="54"/>
  <c r="GT108" i="54"/>
  <c r="GS108" i="54"/>
  <c r="GR108" i="54"/>
  <c r="GQ108" i="54"/>
  <c r="GP108" i="54"/>
  <c r="GO108" i="54"/>
  <c r="GN108" i="54"/>
  <c r="GU107" i="54"/>
  <c r="GT107" i="54"/>
  <c r="GS107" i="54"/>
  <c r="GR107" i="54"/>
  <c r="GQ107" i="54"/>
  <c r="GP107" i="54"/>
  <c r="GO107" i="54"/>
  <c r="GN107" i="54"/>
  <c r="GU106" i="54"/>
  <c r="GT106" i="54"/>
  <c r="GS106" i="54"/>
  <c r="GR106" i="54"/>
  <c r="GQ106" i="54"/>
  <c r="GP106" i="54"/>
  <c r="GO106" i="54"/>
  <c r="GN106" i="54"/>
  <c r="GU105" i="54"/>
  <c r="GT105" i="54"/>
  <c r="GS105" i="54"/>
  <c r="GR105" i="54"/>
  <c r="GQ105" i="54"/>
  <c r="GP105" i="54"/>
  <c r="GO105" i="54"/>
  <c r="GN105" i="54"/>
  <c r="GU104" i="54"/>
  <c r="GT104" i="54"/>
  <c r="GS104" i="54"/>
  <c r="GR104" i="54"/>
  <c r="GQ104" i="54"/>
  <c r="GP104" i="54"/>
  <c r="GO104" i="54"/>
  <c r="GN104" i="54"/>
  <c r="GU100" i="54"/>
  <c r="GT100" i="54"/>
  <c r="GS100" i="54"/>
  <c r="GR100" i="54"/>
  <c r="GQ100" i="54"/>
  <c r="GP100" i="54"/>
  <c r="GO100" i="54"/>
  <c r="GN100" i="54"/>
  <c r="GU99" i="54"/>
  <c r="GT99" i="54"/>
  <c r="GS99" i="54"/>
  <c r="GR99" i="54"/>
  <c r="GQ99" i="54"/>
  <c r="GP99" i="54"/>
  <c r="GO99" i="54"/>
  <c r="GN99" i="54"/>
  <c r="GU98" i="54"/>
  <c r="GT98" i="54"/>
  <c r="GS98" i="54"/>
  <c r="GR98" i="54"/>
  <c r="GQ98" i="54"/>
  <c r="GP98" i="54"/>
  <c r="GO98" i="54"/>
  <c r="GN98" i="54"/>
  <c r="GU97" i="54"/>
  <c r="GT97" i="54"/>
  <c r="GS97" i="54"/>
  <c r="GR97" i="54"/>
  <c r="GQ97" i="54"/>
  <c r="GP97" i="54"/>
  <c r="GO97" i="54"/>
  <c r="GN97" i="54"/>
  <c r="GU96" i="54"/>
  <c r="GT96" i="54"/>
  <c r="GS96" i="54"/>
  <c r="GR96" i="54"/>
  <c r="GQ96" i="54"/>
  <c r="GP96" i="54"/>
  <c r="GO96" i="54"/>
  <c r="GN96" i="54"/>
  <c r="GU92" i="54"/>
  <c r="GT92" i="54"/>
  <c r="GS92" i="54"/>
  <c r="GR92" i="54"/>
  <c r="GQ92" i="54"/>
  <c r="GP92" i="54"/>
  <c r="GO92" i="54"/>
  <c r="GN92" i="54"/>
  <c r="GU91" i="54"/>
  <c r="GT91" i="54"/>
  <c r="GS91" i="54"/>
  <c r="GR91" i="54"/>
  <c r="GQ91" i="54"/>
  <c r="GP91" i="54"/>
  <c r="GO91" i="54"/>
  <c r="GN91" i="54"/>
  <c r="GU90" i="54"/>
  <c r="GT90" i="54"/>
  <c r="GS90" i="54"/>
  <c r="GR90" i="54"/>
  <c r="GQ90" i="54"/>
  <c r="GP90" i="54"/>
  <c r="GO90" i="54"/>
  <c r="GN90" i="54"/>
  <c r="GU89" i="54"/>
  <c r="GT89" i="54"/>
  <c r="GS89" i="54"/>
  <c r="GR89" i="54"/>
  <c r="GQ89" i="54"/>
  <c r="GP89" i="54"/>
  <c r="GO89" i="54"/>
  <c r="GN89" i="54"/>
  <c r="GU88" i="54"/>
  <c r="GT88" i="54"/>
  <c r="GS88" i="54"/>
  <c r="GR88" i="54"/>
  <c r="GQ88" i="54"/>
  <c r="GP88" i="54"/>
  <c r="GO88" i="54"/>
  <c r="GN88" i="54"/>
  <c r="GU85" i="54"/>
  <c r="GT85" i="54"/>
  <c r="GS85" i="54"/>
  <c r="GR85" i="54"/>
  <c r="GQ85" i="54"/>
  <c r="GP85" i="54"/>
  <c r="GO85" i="54"/>
  <c r="GN85" i="54"/>
  <c r="GU84" i="54"/>
  <c r="GT84" i="54"/>
  <c r="GS84" i="54"/>
  <c r="GR84" i="54"/>
  <c r="GQ84" i="54"/>
  <c r="GP84" i="54"/>
  <c r="GO84" i="54"/>
  <c r="GN84" i="54"/>
  <c r="GU83" i="54"/>
  <c r="GT83" i="54"/>
  <c r="GS83" i="54"/>
  <c r="GR83" i="54"/>
  <c r="GQ83" i="54"/>
  <c r="GP83" i="54"/>
  <c r="GO83" i="54"/>
  <c r="GN83" i="54"/>
  <c r="GU82" i="54"/>
  <c r="GT82" i="54"/>
  <c r="GS82" i="54"/>
  <c r="GR82" i="54"/>
  <c r="GQ82" i="54"/>
  <c r="GP82" i="54"/>
  <c r="GO82" i="54"/>
  <c r="GN82" i="54"/>
  <c r="GU81" i="54"/>
  <c r="GT81" i="54"/>
  <c r="GS81" i="54"/>
  <c r="GR81" i="54"/>
  <c r="GQ81" i="54"/>
  <c r="GP81" i="54"/>
  <c r="GO81" i="54"/>
  <c r="GN81" i="54"/>
  <c r="GU78" i="54"/>
  <c r="GT78" i="54"/>
  <c r="GS78" i="54"/>
  <c r="GR78" i="54"/>
  <c r="GQ78" i="54"/>
  <c r="GP78" i="54"/>
  <c r="GO78" i="54"/>
  <c r="GN78" i="54"/>
  <c r="GU77" i="54"/>
  <c r="GT77" i="54"/>
  <c r="GS77" i="54"/>
  <c r="GR77" i="54"/>
  <c r="GQ77" i="54"/>
  <c r="GP77" i="54"/>
  <c r="GO77" i="54"/>
  <c r="GN77" i="54"/>
  <c r="GU76" i="54"/>
  <c r="GT76" i="54"/>
  <c r="GS76" i="54"/>
  <c r="GR76" i="54"/>
  <c r="GQ76" i="54"/>
  <c r="GP76" i="54"/>
  <c r="GO76" i="54"/>
  <c r="GN76" i="54"/>
  <c r="GU75" i="54"/>
  <c r="GT75" i="54"/>
  <c r="GS75" i="54"/>
  <c r="GR75" i="54"/>
  <c r="GQ75" i="54"/>
  <c r="GP75" i="54"/>
  <c r="GO75" i="54"/>
  <c r="GN75" i="54"/>
  <c r="GU74" i="54"/>
  <c r="GT74" i="54"/>
  <c r="GS74" i="54"/>
  <c r="GR74" i="54"/>
  <c r="GQ74" i="54"/>
  <c r="GP74" i="54"/>
  <c r="GO74" i="54"/>
  <c r="GN74" i="54"/>
  <c r="GU71" i="54"/>
  <c r="GT71" i="54"/>
  <c r="GS71" i="54"/>
  <c r="GR71" i="54"/>
  <c r="GQ71" i="54"/>
  <c r="GP71" i="54"/>
  <c r="GO71" i="54"/>
  <c r="GN71" i="54"/>
  <c r="GU70" i="54"/>
  <c r="GT70" i="54"/>
  <c r="GS70" i="54"/>
  <c r="GR70" i="54"/>
  <c r="GQ70" i="54"/>
  <c r="GP70" i="54"/>
  <c r="GO70" i="54"/>
  <c r="GN70" i="54"/>
  <c r="GU69" i="54"/>
  <c r="GT69" i="54"/>
  <c r="GS69" i="54"/>
  <c r="GR69" i="54"/>
  <c r="GQ69" i="54"/>
  <c r="GP69" i="54"/>
  <c r="GO69" i="54"/>
  <c r="GN69" i="54"/>
  <c r="GU68" i="54"/>
  <c r="GT68" i="54"/>
  <c r="GS68" i="54"/>
  <c r="GR68" i="54"/>
  <c r="GQ68" i="54"/>
  <c r="GP68" i="54"/>
  <c r="GO68" i="54"/>
  <c r="GN68" i="54"/>
  <c r="GU67" i="54"/>
  <c r="GT67" i="54"/>
  <c r="GS67" i="54"/>
  <c r="GR67" i="54"/>
  <c r="GQ67" i="54"/>
  <c r="GP67" i="54"/>
  <c r="GO67" i="54"/>
  <c r="GN67" i="54"/>
  <c r="GU64" i="54"/>
  <c r="GT64" i="54"/>
  <c r="GS64" i="54"/>
  <c r="GR64" i="54"/>
  <c r="GQ64" i="54"/>
  <c r="GP64" i="54"/>
  <c r="GO64" i="54"/>
  <c r="GN64" i="54"/>
  <c r="GU63" i="54"/>
  <c r="GT63" i="54"/>
  <c r="GS63" i="54"/>
  <c r="GR63" i="54"/>
  <c r="GQ63" i="54"/>
  <c r="GP63" i="54"/>
  <c r="GO63" i="54"/>
  <c r="GN63" i="54"/>
  <c r="GU62" i="54"/>
  <c r="GT62" i="54"/>
  <c r="GS62" i="54"/>
  <c r="GR62" i="54"/>
  <c r="GQ62" i="54"/>
  <c r="GP62" i="54"/>
  <c r="GO62" i="54"/>
  <c r="GN62" i="54"/>
  <c r="GU61" i="54"/>
  <c r="GT61" i="54"/>
  <c r="GS61" i="54"/>
  <c r="GR61" i="54"/>
  <c r="GQ61" i="54"/>
  <c r="GP61" i="54"/>
  <c r="GO61" i="54"/>
  <c r="GN61" i="54"/>
  <c r="GU60" i="54"/>
  <c r="GT60" i="54"/>
  <c r="GS60" i="54"/>
  <c r="GR60" i="54"/>
  <c r="GQ60" i="54"/>
  <c r="GP60" i="54"/>
  <c r="GO60" i="54"/>
  <c r="GN60" i="54"/>
  <c r="GU57" i="54"/>
  <c r="GT57" i="54"/>
  <c r="GS57" i="54"/>
  <c r="GR57" i="54"/>
  <c r="GQ57" i="54"/>
  <c r="GP57" i="54"/>
  <c r="GO57" i="54"/>
  <c r="GN57" i="54"/>
  <c r="GU56" i="54"/>
  <c r="GT56" i="54"/>
  <c r="GS56" i="54"/>
  <c r="GR56" i="54"/>
  <c r="GQ56" i="54"/>
  <c r="GP56" i="54"/>
  <c r="GO56" i="54"/>
  <c r="GN56" i="54"/>
  <c r="GU55" i="54"/>
  <c r="GT55" i="54"/>
  <c r="GS55" i="54"/>
  <c r="GR55" i="54"/>
  <c r="GQ55" i="54"/>
  <c r="GP55" i="54"/>
  <c r="GO55" i="54"/>
  <c r="GN55" i="54"/>
  <c r="GU54" i="54"/>
  <c r="GT54" i="54"/>
  <c r="GS54" i="54"/>
  <c r="GR54" i="54"/>
  <c r="GQ54" i="54"/>
  <c r="GP54" i="54"/>
  <c r="GO54" i="54"/>
  <c r="GN54" i="54"/>
  <c r="GU53" i="54"/>
  <c r="GT53" i="54"/>
  <c r="GS53" i="54"/>
  <c r="GR53" i="54"/>
  <c r="GQ53" i="54"/>
  <c r="GP53" i="54"/>
  <c r="GO53" i="54"/>
  <c r="GN53" i="54"/>
  <c r="GU50" i="54"/>
  <c r="GT50" i="54"/>
  <c r="GS50" i="54"/>
  <c r="GR50" i="54"/>
  <c r="GQ50" i="54"/>
  <c r="GP50" i="54"/>
  <c r="GO50" i="54"/>
  <c r="GN50" i="54"/>
  <c r="GU49" i="54"/>
  <c r="GT49" i="54"/>
  <c r="GS49" i="54"/>
  <c r="GR49" i="54"/>
  <c r="GQ49" i="54"/>
  <c r="GP49" i="54"/>
  <c r="GO49" i="54"/>
  <c r="GN49" i="54"/>
  <c r="GU48" i="54"/>
  <c r="GT48" i="54"/>
  <c r="GS48" i="54"/>
  <c r="GR48" i="54"/>
  <c r="GQ48" i="54"/>
  <c r="GP48" i="54"/>
  <c r="GO48" i="54"/>
  <c r="GN48" i="54"/>
  <c r="GU47" i="54"/>
  <c r="GT47" i="54"/>
  <c r="GS47" i="54"/>
  <c r="GR47" i="54"/>
  <c r="GQ47" i="54"/>
  <c r="GP47" i="54"/>
  <c r="GO47" i="54"/>
  <c r="GN47" i="54"/>
  <c r="GU46" i="54"/>
  <c r="GT46" i="54"/>
  <c r="GS46" i="54"/>
  <c r="GR46" i="54"/>
  <c r="GQ46" i="54"/>
  <c r="GP46" i="54"/>
  <c r="GO46" i="54"/>
  <c r="GN46" i="54"/>
  <c r="GU43" i="54"/>
  <c r="GT43" i="54"/>
  <c r="GS43" i="54"/>
  <c r="GR43" i="54"/>
  <c r="GQ43" i="54"/>
  <c r="GP43" i="54"/>
  <c r="GO43" i="54"/>
  <c r="GN43" i="54"/>
  <c r="GU42" i="54"/>
  <c r="GT42" i="54"/>
  <c r="GS42" i="54"/>
  <c r="GR42" i="54"/>
  <c r="GQ42" i="54"/>
  <c r="GP42" i="54"/>
  <c r="GO42" i="54"/>
  <c r="GN42" i="54"/>
  <c r="GU41" i="54"/>
  <c r="GT41" i="54"/>
  <c r="GS41" i="54"/>
  <c r="GR41" i="54"/>
  <c r="GQ41" i="54"/>
  <c r="GP41" i="54"/>
  <c r="GO41" i="54"/>
  <c r="GN41" i="54"/>
  <c r="GU40" i="54"/>
  <c r="GT40" i="54"/>
  <c r="GS40" i="54"/>
  <c r="GR40" i="54"/>
  <c r="GQ40" i="54"/>
  <c r="GP40" i="54"/>
  <c r="GO40" i="54"/>
  <c r="GN40" i="54"/>
  <c r="GU39" i="54"/>
  <c r="GT39" i="54"/>
  <c r="GS39" i="54"/>
  <c r="GR39" i="54"/>
  <c r="GQ39" i="54"/>
  <c r="GP39" i="54"/>
  <c r="GO39" i="54"/>
  <c r="GN39" i="54"/>
  <c r="GU36" i="54"/>
  <c r="GT36" i="54"/>
  <c r="GS36" i="54"/>
  <c r="GR36" i="54"/>
  <c r="GQ36" i="54"/>
  <c r="GP36" i="54"/>
  <c r="GO36" i="54"/>
  <c r="GN36" i="54"/>
  <c r="GU35" i="54"/>
  <c r="GT35" i="54"/>
  <c r="GS35" i="54"/>
  <c r="GR35" i="54"/>
  <c r="GQ35" i="54"/>
  <c r="GP35" i="54"/>
  <c r="GO35" i="54"/>
  <c r="GN35" i="54"/>
  <c r="GU34" i="54"/>
  <c r="GT34" i="54"/>
  <c r="GS34" i="54"/>
  <c r="GR34" i="54"/>
  <c r="GQ34" i="54"/>
  <c r="GP34" i="54"/>
  <c r="GO34" i="54"/>
  <c r="GN34" i="54"/>
  <c r="GU33" i="54"/>
  <c r="GT33" i="54"/>
  <c r="GS33" i="54"/>
  <c r="GR33" i="54"/>
  <c r="GQ33" i="54"/>
  <c r="GP33" i="54"/>
  <c r="GO33" i="54"/>
  <c r="GN33" i="54"/>
  <c r="GU32" i="54"/>
  <c r="GT32" i="54"/>
  <c r="GS32" i="54"/>
  <c r="GR32" i="54"/>
  <c r="GQ32" i="54"/>
  <c r="GP32" i="54"/>
  <c r="GO32" i="54"/>
  <c r="GN32" i="54"/>
  <c r="GU29" i="54"/>
  <c r="GT29" i="54"/>
  <c r="GS29" i="54"/>
  <c r="GR29" i="54"/>
  <c r="GQ29" i="54"/>
  <c r="GP29" i="54"/>
  <c r="GO29" i="54"/>
  <c r="GN29" i="54"/>
  <c r="GU28" i="54"/>
  <c r="GT28" i="54"/>
  <c r="GS28" i="54"/>
  <c r="GR28" i="54"/>
  <c r="GQ28" i="54"/>
  <c r="GP28" i="54"/>
  <c r="GO28" i="54"/>
  <c r="GN28" i="54"/>
  <c r="GU27" i="54"/>
  <c r="GT27" i="54"/>
  <c r="GS27" i="54"/>
  <c r="GR27" i="54"/>
  <c r="GQ27" i="54"/>
  <c r="GP27" i="54"/>
  <c r="GO27" i="54"/>
  <c r="GN27" i="54"/>
  <c r="GU26" i="54"/>
  <c r="GT26" i="54"/>
  <c r="GS26" i="54"/>
  <c r="GR26" i="54"/>
  <c r="GQ26" i="54"/>
  <c r="GP26" i="54"/>
  <c r="GO26" i="54"/>
  <c r="GN26" i="54"/>
  <c r="GU25" i="54"/>
  <c r="GT25" i="54"/>
  <c r="GS25" i="54"/>
  <c r="GR25" i="54"/>
  <c r="GQ25" i="54"/>
  <c r="GP25" i="54"/>
  <c r="GO25" i="54"/>
  <c r="GN25" i="54"/>
  <c r="GU22" i="54"/>
  <c r="GT22" i="54"/>
  <c r="GS22" i="54"/>
  <c r="GR22" i="54"/>
  <c r="GQ22" i="54"/>
  <c r="GP22" i="54"/>
  <c r="GO22" i="54"/>
  <c r="GN22" i="54"/>
  <c r="GU21" i="54"/>
  <c r="GT21" i="54"/>
  <c r="GS21" i="54"/>
  <c r="GR21" i="54"/>
  <c r="GQ21" i="54"/>
  <c r="GP21" i="54"/>
  <c r="GO21" i="54"/>
  <c r="GN21" i="54"/>
  <c r="GU20" i="54"/>
  <c r="GT20" i="54"/>
  <c r="GS20" i="54"/>
  <c r="GR20" i="54"/>
  <c r="GQ20" i="54"/>
  <c r="GP20" i="54"/>
  <c r="GO20" i="54"/>
  <c r="GN20" i="54"/>
  <c r="GU19" i="54"/>
  <c r="GT19" i="54"/>
  <c r="GS19" i="54"/>
  <c r="GR19" i="54"/>
  <c r="GQ19" i="54"/>
  <c r="GP19" i="54"/>
  <c r="GO19" i="54"/>
  <c r="GN19" i="54"/>
  <c r="GU18" i="54"/>
  <c r="GT18" i="54"/>
  <c r="GS18" i="54"/>
  <c r="GR18" i="54"/>
  <c r="GQ18" i="54"/>
  <c r="GP18" i="54"/>
  <c r="GO18" i="54"/>
  <c r="GN18" i="54"/>
  <c r="GU15" i="54"/>
  <c r="GT15" i="54"/>
  <c r="GS15" i="54"/>
  <c r="GR15" i="54"/>
  <c r="GQ15" i="54"/>
  <c r="GP15" i="54"/>
  <c r="GO15" i="54"/>
  <c r="GN15" i="54"/>
  <c r="GU14" i="54"/>
  <c r="GT14" i="54"/>
  <c r="GS14" i="54"/>
  <c r="GR14" i="54"/>
  <c r="GQ14" i="54"/>
  <c r="GP14" i="54"/>
  <c r="GO14" i="54"/>
  <c r="GN14" i="54"/>
  <c r="GU13" i="54"/>
  <c r="GT13" i="54"/>
  <c r="GS13" i="54"/>
  <c r="GR13" i="54"/>
  <c r="GQ13" i="54"/>
  <c r="GP13" i="54"/>
  <c r="GO13" i="54"/>
  <c r="GN13" i="54"/>
  <c r="GU12" i="54"/>
  <c r="GT12" i="54"/>
  <c r="GS12" i="54"/>
  <c r="GR12" i="54"/>
  <c r="GQ12" i="54"/>
  <c r="GP12" i="54"/>
  <c r="GO12" i="54"/>
  <c r="GN12" i="54"/>
  <c r="GU11" i="54"/>
  <c r="GT11" i="54"/>
  <c r="GS11" i="54"/>
  <c r="GR11" i="54"/>
  <c r="GQ11" i="54"/>
  <c r="GP11" i="54"/>
  <c r="GO11" i="54"/>
  <c r="GN11" i="54"/>
  <c r="HB8" i="54"/>
  <c r="HA8" i="54"/>
  <c r="GZ8" i="54"/>
  <c r="GY8" i="54"/>
  <c r="GV8" i="54"/>
  <c r="GU8" i="54"/>
  <c r="GT8" i="54"/>
  <c r="GQ8" i="54"/>
  <c r="GP8" i="54"/>
  <c r="GO8" i="54"/>
  <c r="GN8" i="54"/>
  <c r="HB7" i="54"/>
  <c r="HA7" i="54"/>
  <c r="GZ7" i="54"/>
  <c r="GY7" i="54"/>
  <c r="GV7" i="54"/>
  <c r="GU7" i="54"/>
  <c r="GT7" i="54"/>
  <c r="GQ7" i="54"/>
  <c r="GP7" i="54"/>
  <c r="GO7" i="54"/>
  <c r="GN7" i="54"/>
  <c r="GK7" i="54"/>
  <c r="HB6" i="54"/>
  <c r="HA6" i="54"/>
  <c r="GZ6" i="54"/>
  <c r="GY6" i="54"/>
  <c r="GV6" i="54"/>
  <c r="GU6" i="54"/>
  <c r="GT6" i="54"/>
  <c r="GQ6" i="54"/>
  <c r="GP6" i="54"/>
  <c r="GO6" i="54"/>
  <c r="GN6" i="54"/>
  <c r="GK6" i="54"/>
  <c r="HB5" i="54"/>
  <c r="HA5" i="54"/>
  <c r="GZ5" i="54"/>
  <c r="GY5" i="54"/>
  <c r="GV5" i="54"/>
  <c r="GU5" i="54"/>
  <c r="GT5" i="54"/>
  <c r="GQ5" i="54"/>
  <c r="GP5" i="54"/>
  <c r="GO5" i="54"/>
  <c r="GN5" i="54"/>
  <c r="GK5" i="54"/>
  <c r="HB4" i="54"/>
  <c r="HA4" i="54"/>
  <c r="GZ4" i="54"/>
  <c r="GY4" i="54"/>
  <c r="GV4" i="54"/>
  <c r="GU4" i="54"/>
  <c r="GT4" i="54"/>
  <c r="GQ4" i="54"/>
  <c r="GP4" i="54"/>
  <c r="GO4" i="54"/>
  <c r="GN4" i="54"/>
  <c r="GK4" i="54"/>
  <c r="GK3" i="54"/>
  <c r="GK2" i="54"/>
  <c r="BE4" i="54"/>
  <c r="BF4" i="54"/>
  <c r="BG4" i="54"/>
  <c r="BI4" i="54"/>
  <c r="BJ4" i="54"/>
  <c r="BN4" i="54"/>
  <c r="BO4" i="54"/>
  <c r="BP4" i="54"/>
  <c r="BS4" i="54"/>
  <c r="BV4" i="54"/>
  <c r="BW4" i="54"/>
  <c r="BZ4" i="54"/>
  <c r="CC4" i="54"/>
  <c r="CD4" i="54"/>
  <c r="CE4" i="54"/>
  <c r="CF4" i="54"/>
  <c r="CG4" i="54"/>
  <c r="CL4" i="54"/>
  <c r="CM4" i="54"/>
  <c r="CN4" i="54"/>
  <c r="CO4" i="54"/>
  <c r="CP4" i="54"/>
  <c r="CS4" i="54"/>
  <c r="CT4" i="54"/>
  <c r="CV4" i="54"/>
  <c r="CW4" i="54"/>
  <c r="CX4" i="54"/>
  <c r="BD5" i="54"/>
  <c r="BE5" i="54"/>
  <c r="BF5" i="54"/>
  <c r="BG5" i="54"/>
  <c r="BI5" i="54"/>
  <c r="BJ5" i="54"/>
  <c r="BN5" i="54"/>
  <c r="BO5" i="54"/>
  <c r="BP5" i="54"/>
  <c r="BS5" i="54"/>
  <c r="BU5" i="54"/>
  <c r="BV5" i="54"/>
  <c r="BW5" i="54"/>
  <c r="BZ5" i="54"/>
  <c r="CC5" i="54"/>
  <c r="CD5" i="54"/>
  <c r="CE5" i="54"/>
  <c r="CG5" i="54"/>
  <c r="CH5" i="54"/>
  <c r="CI5" i="54"/>
  <c r="CM5" i="54"/>
  <c r="CN5" i="54"/>
  <c r="CO5" i="54"/>
  <c r="CP5" i="54"/>
  <c r="CT5" i="54"/>
  <c r="CU5" i="54"/>
  <c r="CV5" i="54"/>
  <c r="CW5" i="54"/>
  <c r="BD6" i="54"/>
  <c r="BE6" i="54"/>
  <c r="BF6" i="54"/>
  <c r="BG6" i="54"/>
  <c r="BI6" i="54"/>
  <c r="BO6" i="54"/>
  <c r="BP6" i="54"/>
  <c r="BR6" i="54"/>
  <c r="BS6" i="54"/>
  <c r="BT6" i="54"/>
  <c r="BU6" i="54"/>
  <c r="BV6" i="54"/>
  <c r="BW6" i="54"/>
  <c r="BX6" i="54"/>
  <c r="BY6" i="54"/>
  <c r="BZ6" i="54"/>
  <c r="CC6" i="54"/>
  <c r="CD6" i="54"/>
  <c r="CM6" i="54"/>
  <c r="CN6" i="54"/>
  <c r="CO6" i="54"/>
  <c r="CT6" i="54"/>
  <c r="CV6" i="54"/>
  <c r="CW6" i="54"/>
  <c r="BN7" i="54"/>
  <c r="BO7" i="54"/>
  <c r="BP7" i="54"/>
  <c r="BQ7" i="54"/>
  <c r="BR7" i="54"/>
  <c r="BS7" i="54"/>
  <c r="BT7" i="54"/>
  <c r="BU7" i="54"/>
  <c r="BV7" i="54"/>
  <c r="BW7" i="54"/>
  <c r="BX7" i="54"/>
  <c r="BY7" i="54"/>
  <c r="BZ7" i="54"/>
  <c r="CC7" i="54"/>
  <c r="CD7" i="54"/>
  <c r="CE7" i="54"/>
  <c r="CI7" i="54"/>
  <c r="CM7" i="54"/>
  <c r="CN7" i="54"/>
  <c r="CO7" i="54"/>
  <c r="CT7" i="54"/>
  <c r="CU7" i="54"/>
  <c r="CV7" i="54"/>
  <c r="CW7" i="54"/>
  <c r="CX7" i="54"/>
  <c r="BN8" i="54"/>
  <c r="BO8" i="54"/>
  <c r="BP8" i="54"/>
  <c r="BQ8" i="54"/>
  <c r="BR8" i="54"/>
  <c r="BS8" i="54"/>
  <c r="BT8" i="54"/>
  <c r="BU8" i="54"/>
  <c r="BV8" i="54"/>
  <c r="BW8" i="54"/>
  <c r="BY8" i="54"/>
  <c r="BZ8" i="54"/>
  <c r="CC8" i="54"/>
  <c r="CD8" i="54"/>
  <c r="CE8" i="54"/>
  <c r="CG8" i="54"/>
  <c r="CH8" i="54"/>
  <c r="CL8" i="54"/>
  <c r="CM8" i="54"/>
  <c r="CN8" i="54"/>
  <c r="CO8" i="54"/>
  <c r="CP8" i="54"/>
  <c r="CS8" i="54"/>
  <c r="CT8" i="54"/>
  <c r="CU8" i="54"/>
  <c r="CV8" i="54"/>
  <c r="CW8" i="54"/>
  <c r="CX8" i="54"/>
  <c r="BO9" i="54"/>
  <c r="BP9" i="54"/>
  <c r="BQ9" i="54"/>
  <c r="BR9" i="54"/>
  <c r="BS9" i="54"/>
  <c r="BT9" i="54"/>
  <c r="BU9" i="54"/>
  <c r="BV9" i="54"/>
  <c r="BW9" i="54"/>
  <c r="BX9" i="54"/>
  <c r="BZ9" i="54"/>
  <c r="CL9" i="54"/>
  <c r="CM9" i="54"/>
  <c r="CN9" i="54"/>
  <c r="CS9" i="54"/>
  <c r="CT9" i="54"/>
  <c r="CV9" i="54"/>
  <c r="CW9" i="54"/>
  <c r="BP10" i="54"/>
  <c r="BQ10" i="54"/>
  <c r="BR10" i="54"/>
  <c r="BS10" i="54"/>
  <c r="BT10" i="54"/>
  <c r="BU10" i="54"/>
  <c r="BV10" i="54"/>
  <c r="BW10" i="54"/>
  <c r="BX10" i="54"/>
  <c r="BZ10" i="54"/>
  <c r="N50" i="54"/>
  <c r="M50" i="54"/>
  <c r="P4" i="54"/>
  <c r="AH2" i="54"/>
  <c r="AH3" i="54"/>
  <c r="AH4" i="54"/>
  <c r="AH5" i="54"/>
  <c r="AH6" i="54"/>
  <c r="AH7" i="54"/>
  <c r="AH8" i="54"/>
  <c r="AH9" i="54"/>
  <c r="AH10" i="54"/>
  <c r="AH11" i="54"/>
  <c r="AH12" i="54"/>
  <c r="AH13" i="54"/>
  <c r="AH14" i="54"/>
  <c r="AH15" i="54"/>
  <c r="AH16" i="54"/>
  <c r="AH17" i="54"/>
  <c r="AG18" i="54"/>
  <c r="AH18" i="54" s="1"/>
  <c r="AH19" i="54"/>
  <c r="AG20" i="54"/>
  <c r="AH20" i="54" s="1"/>
  <c r="M132" i="51" l="1"/>
  <c r="A13" i="71"/>
  <c r="B9" i="71"/>
  <c r="BE7" i="67"/>
  <c r="BD11" i="67"/>
  <c r="BG11" i="67" s="1"/>
  <c r="HC4" i="54"/>
  <c r="HC5" i="54"/>
  <c r="HC6" i="54"/>
  <c r="HC7" i="54"/>
  <c r="GW8" i="54"/>
  <c r="KR8" i="54"/>
  <c r="GR8" i="54"/>
  <c r="GW4" i="54"/>
  <c r="GW5" i="54"/>
  <c r="KR5" i="54"/>
  <c r="KM6" i="54"/>
  <c r="KR6" i="54"/>
  <c r="KM7" i="54"/>
  <c r="DE5" i="55"/>
  <c r="CZ7" i="55"/>
  <c r="CZ5" i="55"/>
  <c r="DE7" i="55"/>
  <c r="DE6" i="55"/>
  <c r="DE4" i="55"/>
  <c r="CZ6" i="55"/>
  <c r="CZ4" i="55"/>
  <c r="P6" i="55"/>
  <c r="K6" i="55"/>
  <c r="K4" i="55"/>
  <c r="P7" i="55"/>
  <c r="P5" i="55"/>
  <c r="BY16" i="55"/>
  <c r="K7" i="55"/>
  <c r="K5" i="55"/>
  <c r="AQ15" i="55"/>
  <c r="AQ17" i="55"/>
  <c r="AQ16" i="55"/>
  <c r="BY17" i="55"/>
  <c r="BY15" i="55"/>
  <c r="P4" i="55"/>
  <c r="GR5" i="54"/>
  <c r="GR4" i="54"/>
  <c r="GR6" i="54"/>
  <c r="GR7" i="54"/>
  <c r="GW6" i="54"/>
  <c r="KR7" i="54"/>
  <c r="GW7" i="54"/>
  <c r="HC8" i="54"/>
  <c r="GV11" i="54"/>
  <c r="GV12" i="54"/>
  <c r="GV13" i="54"/>
  <c r="GV14" i="54"/>
  <c r="GV15" i="54"/>
  <c r="GV18" i="54"/>
  <c r="GV19" i="54"/>
  <c r="GV20" i="54"/>
  <c r="GV21" i="54"/>
  <c r="GV22" i="54"/>
  <c r="GV25" i="54"/>
  <c r="GV26" i="54"/>
  <c r="GV27" i="54"/>
  <c r="GV28" i="54"/>
  <c r="GV29" i="54"/>
  <c r="GV32" i="54"/>
  <c r="GV33" i="54"/>
  <c r="GV34" i="54"/>
  <c r="GV35" i="54"/>
  <c r="GV36" i="54"/>
  <c r="GV39" i="54"/>
  <c r="GV40" i="54"/>
  <c r="GV41" i="54"/>
  <c r="GV42" i="54"/>
  <c r="GV43" i="54"/>
  <c r="GV46" i="54"/>
  <c r="GV47" i="54"/>
  <c r="GV48" i="54"/>
  <c r="GV49" i="54"/>
  <c r="GV50" i="54"/>
  <c r="GV53" i="54"/>
  <c r="GV54" i="54"/>
  <c r="GV55" i="54"/>
  <c r="GV56" i="54"/>
  <c r="GV57" i="54"/>
  <c r="GV60" i="54"/>
  <c r="GV61" i="54"/>
  <c r="GV62" i="54"/>
  <c r="GV63" i="54"/>
  <c r="GV64" i="54"/>
  <c r="GV67" i="54"/>
  <c r="GV68" i="54"/>
  <c r="GV69" i="54"/>
  <c r="GV70" i="54"/>
  <c r="GV71" i="54"/>
  <c r="GV74" i="54"/>
  <c r="GV75" i="54"/>
  <c r="GV76" i="54"/>
  <c r="GV77" i="54"/>
  <c r="GV78" i="54"/>
  <c r="GV81" i="54"/>
  <c r="GV82" i="54"/>
  <c r="GV83" i="54"/>
  <c r="GV84" i="54"/>
  <c r="GV85" i="54"/>
  <c r="GV88" i="54"/>
  <c r="GV89" i="54"/>
  <c r="GV90" i="54"/>
  <c r="GV91" i="54"/>
  <c r="GV92" i="54"/>
  <c r="GV96" i="54"/>
  <c r="GV97" i="54"/>
  <c r="GV98" i="54"/>
  <c r="GV99" i="54"/>
  <c r="GV100" i="54"/>
  <c r="GV104" i="54"/>
  <c r="GV105" i="54"/>
  <c r="GV106" i="54"/>
  <c r="GV107" i="54"/>
  <c r="GV108" i="54"/>
  <c r="GV112" i="54"/>
  <c r="GV113" i="54"/>
  <c r="GV114" i="54"/>
  <c r="GV115" i="54"/>
  <c r="GV116" i="54"/>
  <c r="GV120" i="54"/>
  <c r="GV121" i="54"/>
  <c r="GV122" i="54"/>
  <c r="GV123" i="54"/>
  <c r="GV124" i="54"/>
  <c r="GV128" i="54"/>
  <c r="GV129" i="54"/>
  <c r="KR4" i="54"/>
  <c r="KX4" i="54"/>
  <c r="GV130" i="54"/>
  <c r="GV131" i="54"/>
  <c r="GV132" i="54"/>
  <c r="GV136" i="54"/>
  <c r="GV137" i="54"/>
  <c r="GV138" i="54"/>
  <c r="GV139" i="54"/>
  <c r="GV140" i="54"/>
  <c r="KM4" i="54"/>
  <c r="KM5" i="54"/>
  <c r="KX5" i="54"/>
  <c r="KX6" i="54"/>
  <c r="KX7" i="54"/>
  <c r="KM8" i="54"/>
  <c r="KX8" i="54"/>
  <c r="KQ11" i="54"/>
  <c r="KQ12" i="54"/>
  <c r="KQ13" i="54"/>
  <c r="KQ14" i="54"/>
  <c r="KQ15" i="54"/>
  <c r="KQ18" i="54"/>
  <c r="KQ19" i="54"/>
  <c r="KQ20" i="54"/>
  <c r="KQ21" i="54"/>
  <c r="KQ22" i="54"/>
  <c r="KQ25" i="54"/>
  <c r="KQ26" i="54"/>
  <c r="KQ27" i="54"/>
  <c r="KQ28" i="54"/>
  <c r="KQ29" i="54"/>
  <c r="KQ32" i="54"/>
  <c r="KQ33" i="54"/>
  <c r="KQ34" i="54"/>
  <c r="KQ35" i="54"/>
  <c r="KQ36" i="54"/>
  <c r="KQ39" i="54"/>
  <c r="KQ40" i="54"/>
  <c r="KQ41" i="54"/>
  <c r="KQ42" i="54"/>
  <c r="KQ43" i="54"/>
  <c r="KQ46" i="54"/>
  <c r="KQ47" i="54"/>
  <c r="KQ48" i="54"/>
  <c r="KQ49" i="54"/>
  <c r="KQ50" i="54"/>
  <c r="KQ53" i="54"/>
  <c r="KQ54" i="54"/>
  <c r="KQ55" i="54"/>
  <c r="KQ56" i="54"/>
  <c r="KQ57" i="54"/>
  <c r="KQ60" i="54"/>
  <c r="KQ61" i="54"/>
  <c r="KQ62" i="54"/>
  <c r="KQ63" i="54"/>
  <c r="KQ64" i="54"/>
  <c r="KQ67" i="54"/>
  <c r="KQ68" i="54"/>
  <c r="KQ69" i="54"/>
  <c r="KQ70" i="54"/>
  <c r="KQ71" i="54"/>
  <c r="KQ74" i="54"/>
  <c r="KQ75" i="54"/>
  <c r="KQ76" i="54"/>
  <c r="KQ77" i="54"/>
  <c r="KQ78" i="54"/>
  <c r="KQ81" i="54"/>
  <c r="KQ82" i="54"/>
  <c r="KQ83" i="54"/>
  <c r="KQ84" i="54"/>
  <c r="KQ85" i="54"/>
  <c r="KQ88" i="54"/>
  <c r="KQ89" i="54"/>
  <c r="KQ90" i="54"/>
  <c r="KQ91" i="54"/>
  <c r="KQ92" i="54"/>
  <c r="KQ96" i="54"/>
  <c r="KQ97" i="54"/>
  <c r="KQ98" i="54"/>
  <c r="KQ99" i="54"/>
  <c r="KQ100" i="54"/>
  <c r="KQ104" i="54"/>
  <c r="O50" i="54"/>
  <c r="P5" i="54" s="1"/>
  <c r="L8" i="38"/>
  <c r="L11" i="38"/>
  <c r="L9" i="38"/>
  <c r="L4" i="38"/>
  <c r="L3" i="38"/>
  <c r="J3" i="38"/>
  <c r="C13" i="71" l="1"/>
  <c r="M7" i="38"/>
  <c r="AB13" i="55"/>
  <c r="AB3" i="55"/>
  <c r="AB12" i="55"/>
  <c r="AB7" i="55"/>
  <c r="AB5" i="55"/>
  <c r="AB14" i="55"/>
  <c r="AB11" i="55"/>
  <c r="AB6" i="55"/>
  <c r="AB9" i="55"/>
  <c r="AB8" i="55"/>
  <c r="AB4" i="55"/>
  <c r="M9" i="38"/>
  <c r="M10" i="38"/>
  <c r="M11" i="38"/>
  <c r="M8" i="38"/>
  <c r="Z3" i="55" l="1"/>
  <c r="Z16" i="55"/>
  <c r="Z7" i="55"/>
  <c r="AB15" i="55"/>
  <c r="Z17" i="55"/>
  <c r="AS5" i="55"/>
  <c r="Z11" i="55"/>
  <c r="Z5" i="55"/>
  <c r="Z6" i="55"/>
  <c r="AS8" i="55"/>
  <c r="Z14" i="55"/>
  <c r="AS3" i="55"/>
  <c r="BJ7" i="55"/>
  <c r="CA9" i="55"/>
  <c r="Z13" i="55"/>
  <c r="AS7" i="55"/>
  <c r="Z8" i="55"/>
  <c r="Z4" i="55"/>
  <c r="Z15" i="55"/>
  <c r="AS14" i="55"/>
  <c r="AS9" i="55"/>
  <c r="AS13" i="55"/>
  <c r="CA7" i="55"/>
  <c r="BJ15" i="55"/>
  <c r="AS6" i="55"/>
  <c r="CA6" i="55"/>
  <c r="CA15" i="55"/>
  <c r="AS12" i="55"/>
  <c r="CA12" i="55"/>
  <c r="Z9" i="55"/>
  <c r="Z12" i="55"/>
  <c r="Z10" i="55"/>
  <c r="AS15" i="55"/>
  <c r="BJ8"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tc={19A589CD-D4BD-4DE0-8D6B-BAEB35117D1B}</author>
    <author>tc={5BDE1605-D6F8-4A41-B5ED-876199C3E689}</author>
    <author>tc={77A90ADE-98FF-4A2E-B6F6-C975AFEF3BC6}</author>
    <author>tc={FB08785F-9D46-4683-B550-50D114E0C6A3}</author>
    <author>tc={9D0AA5FD-14AB-4441-8D7B-B5107027B23C}</author>
    <author>tc={362C4CF2-408F-4E15-A857-AD0CE20EEE15}</author>
    <author>tc={7C9EAE0B-F887-4EA8-B0F5-850078E952ED}</author>
    <author>tc={46A2C59F-94D8-4F69-82E6-C32017ED5C63}</author>
    <author>tc={B2A8B14D-C796-4ACF-847A-41DC47A34DC0}</author>
    <author>tc={7C1D47A0-0C1B-4129-B267-E91D0594CCED}</author>
    <author>tc={68E48673-48A7-4523-9302-99ABD675B217}</author>
    <author>tc={374E2484-E134-4939-9345-09E7AC47F011}</author>
  </authors>
  <commentList>
    <comment ref="B56" authorId="0" shapeId="0" xr:uid="{2153EE59-4366-4486-9B5C-9F38297AA7F6}">
      <text>
        <r>
          <rPr>
            <b/>
            <sz val="9"/>
            <color indexed="81"/>
            <rFont val="Tahoma"/>
            <family val="2"/>
            <charset val="161"/>
          </rPr>
          <t>USER:</t>
        </r>
        <r>
          <rPr>
            <sz val="9"/>
            <color indexed="81"/>
            <rFont val="Tahoma"/>
            <family val="2"/>
            <charset val="161"/>
          </rPr>
          <t xml:space="preserve">
Για να ελεγξώ για σεμινάρια στην κάρτα μέλους. Παω στο ΛΑΖΑΡΟ πάω στο ΚΕΚ και αναζητο το excel που γράφει "ΜΕΛΗ KATARTISI PLUS - ΚΑΡΤΑΣ ΜΕΛΟΥΣ"</t>
        </r>
      </text>
    </comment>
    <comment ref="C56" authorId="1" shapeId="0" xr:uid="{19A589CD-D4BD-4DE0-8D6B-BAEB35117D1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USER:
Για να ελεγξώ για σεμινάρια στην κάρτα μέλους. Παω στο ΛΑΖΑΡΟ πάω στο ΚΕΚ και αναζητο το excel που γράφει "ΜΕΛΗ KATARTISI PLUS - ΚΑΡΤΑΣ ΜΕΛΟΥΣ"</t>
      </text>
    </comment>
    <comment ref="B121" authorId="2" shapeId="0" xr:uid="{5BDE1605-D6F8-4A41-B5ED-876199C3E68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Έχω ενημερώσει τους σπουδαστές και περιμένω εκδήλωση ενδιαφέροντος </t>
      </text>
    </comment>
    <comment ref="B122" authorId="3" shapeId="0" xr:uid="{77A90ADE-98FF-4A2E-B6F6-C975AFEF3BC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Έχω ενημερώσει τους σπουδαστές και περιμένω εκδήλωση ενδιαφέροντος για να επικοινωνήσω πίσω</t>
      </text>
    </comment>
    <comment ref="B164" authorId="4" shapeId="0" xr:uid="{FB08785F-9D46-4683-B550-50D114E0C6A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ΝΑ ΚΑΛΕΣΩ ΞΑΝΑ ΓΙΑΤΙ ΕΙΠΕ ΠΩΣ ΘΑ ΜΕ ΚΑΛΕΣΕΙ ΚΑΙ ΔΕΝ ΜΕ ΚΑΛΕΣΕ</t>
      </text>
    </comment>
    <comment ref="E178" authorId="5" shapeId="0" xr:uid="{9D0AA5FD-14AB-4441-8D7B-B5107027B23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Ήρθαν νωρίτερα τελικά στις 21/08, που έληξαν οι διακοπές τους</t>
      </text>
    </comment>
    <comment ref="A185" authorId="6" shapeId="0" xr:uid="{362C4CF2-408F-4E15-A857-AD0CE20EEE1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ΤΟ ΣΗΚΩΣΕ ΚΑΙ ΔΕΝ ΚΑΤΑΦΕΡΑ ΝΑ ΞΑΝΑ ΕΠΙΚΟΙΝΩΝΗΣΩ ΜΑΖΙ ΤΗΣ ΟΥΤΕ ΕΚΕΙΝΗ ΚΑΛΕΣΕ ΠΟΥ ΕΙΧΕ ΠΕΙ ΠΩΣ ΘΑ ΚΑΛΟΥΣΕ</t>
      </text>
    </comment>
    <comment ref="A189" authorId="7" shapeId="0" xr:uid="{7C9EAE0B-F887-4EA8-B0F5-850078E952E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ΕΤΟΙΜΑ ΤΑ ΣΤΟΙΧΕΙΑ ΤΩΝ ΦΡΟΝΤΙΣΤΗΡΙΩΝ ΚΑΙ Ο ΤΡΟΠΟΣΠΡΟΣΕΓΓΙΣΗΣ </t>
      </text>
    </comment>
    <comment ref="B198" authorId="8" shapeId="0" xr:uid="{46A2C59F-94D8-4F69-82E6-C32017ED5C6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ΤΟΝ ΕΧΕΙ ΕΝΗΜΕΡΩΣΕΙ Η ΓΡΑΜΜΑΤΕΑΣ ΤΟΝ ΥΠΕΥΘΥΝΟ ΟΠΟΤΕ ΑΝ ΤΟΝ ΕΝΔΙΑΦΕΡΕΙ ΛΕΕΙ ΘΑ ΕΠΙΚΟΙΝΩΝΗΣΕΙ ΕΚΕΙΝΟΣ ΜΑΖΙ ΜΑΣ ΜΑΛΛΟΝ Χ</t>
      </text>
    </comment>
    <comment ref="B227" authorId="9" shapeId="0" xr:uid="{B2A8B14D-C796-4ACF-847A-41DC47A34DC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ΤΟΝ ΚΑΛΕΣΕ ΚΑΙ Η ΝΑΤΑΣΑ 14/11/12025 ΚΑΙ ΕΙΠΕ ΠΩΣ ΘΑ ΕΡΘΕΙ ΣΗΜΕΡΑ ΟΠΟΤΕ ΑΝ ΔΕΝ ΕΧΕΙ ΦΤΙΑΞΕΙ ΑΚΟΜΑ,ΘΑ ΤΟΝ ΚΑΛΕΣΩ ΠΑΛΙ ΕΓΩ ΤΗΝ ΔΕΥΤΕΡΑ</t>
      </text>
    </comment>
    <comment ref="B235" authorId="10" shapeId="0" xr:uid="{7C1D47A0-0C1B-4129-B267-E91D0594CCE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ΟΣΟ ΠΙΟ ΓΡΗΓΟΡΑ ΓΙΝΕΤΑΙ ΘΑ ΕΡΘΕΙ ΜΠΟΡΕΙ ΛΕΕΙ ΚΑΙ ΣΑΒΒΑΤΟ, ΝΑ ΞΑΝΑ ΚΑΛΕΣΩ ΠΑΡΑΣΚΕΥΗ ΚΑΙ ΝΑ ΕΙΔΟΠΟΙΗΣΟΥΜΕ ΜΠΡΙΝΤΑΛΟ ΑΝ ΕΊΝΑΙ ΝΑ ΕΡΘΕΙ ΣΑΒΒΑΤΟ, ΓΙΑ ΝΑ ΤΟΥ ΑΝΟΙΞΕΙ</t>
      </text>
    </comment>
    <comment ref="B315" authorId="11" shapeId="0" xr:uid="{68E48673-48A7-4523-9302-99ABD675B21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ΤΗΝ ΚΑΛΕΣΑ ΑΡΓΟΤΕΡΑ ΚΑΙ ΤΟ ΣΗΚΩΣΕ, ΗΘΕΛΕ ΛΕΕΙ ΝΑ ΚΑΝΕΙ 4 ΩΡΟ ΤΩΡΑ ΣΤΗΝ ΤΟΥΡΙΣΤΙΚΗ ΣΕΖΟΝ ΚΑΙ ΜΕΤΑ ΟΚΤΑΩΡΟ ΚΑΙ Η ΕΛΕΝΗ ΕΊΝΑΙ ΕΝΤΑΞΕΙ ΜΕ ΑΥΤΌ ΚΑΙ ΤΗΣ ΕΔΩΣΑ ΤΑ ΣΤΟΙΧΕΙΑ ΤΗΣ ΚΑΣΣΙΑΣ ΚΑΙ ΘΑ ΣΥΝΝΕΝΟΗΘΟΥΝ</t>
      </text>
    </comment>
    <comment ref="B332" authorId="12" shapeId="0" xr:uid="{374E2484-E134-4939-9345-09E7AC47F01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ΕΠΕΙΔΗ ΔΕΝ ΜΠΟΡΟΥΣΕ ΚΑΝΕΝΑ ΔΙΑΚΟΣΜΗΤΙΚΟ ΓΡΑΦΕΙΟ, ΕΝΗΜΕΡΩΣΑ ΤΗΝ ΣΤΕΛΛΑ ΚΑΙ ΜΟΥ ΕΙΠΕ ΘΑ ΠΑΕΙ ΣΚ ΡΕΘΥΜΝΟ ΚΑΙ ΘΑ ΔΕΙ ΓΙΑ ΔΙΑΚΟΣΜΗΤΙΚΟ ΓΡΑΦΕΙΟ ΠΟΥ ΘΑ ΜΠΟΡΟΥΣΑΜΕ ΝΑ ΠΡΟΣΕΓΓΙΣΟΥΜΕ, ΑΛΛΙΩΣ ΘΑ ΞΕΚΙΝΗΣΟΥΜΕ ΤΑ ΑΡΧΙΤΕΚΤΟΝΙΚΑ ΓΡΑΦΕΙΑ ΣΤΟ ΡΕΘΥΜΝΟ ΝΑ ΠΟΥ ΕΧΕΙ ΠΕΡΙΣΣΟΤΕΡΑ Ο ΧΡΥΣΟΣ ΟΔΗΓΟΣ
Απάντηση:
    https://www.vrisko.gr/dir/arxitektones-arxitektonika-grafeia/rethymno/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tc={B2A8368E-0B92-452C-8642-0E788F05E57E}</author>
    <author>tc={9522B3D3-EA8D-45E2-AF70-A0BC73AB697B}</author>
    <author>tc={30529720-D5A7-4DA0-97E4-D079FD7CA7DD}</author>
  </authors>
  <commentList>
    <comment ref="B1" authorId="0" shapeId="0" xr:uid="{B2A8368E-0B92-452C-8642-0E788F05E57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Η ΚΑΤΑΣΤΑΣΗ ΓΙΑ ΕΓΓΡΑΦΕΣ ΠΡΩΤΟΥ ΕΤΟΥΣ ΕΝΗΜΕΡΩΝΕΤΕ ΑΥΤΟΜΑΤΑ ΑΠΌ ΤΟ ΦΥΛΛΟ ΚΑΤΑΣΤΑΣΗ ΣΠΟΥΔΑ ΚΑΙ ΕΚΠΑΙΔ</t>
      </text>
    </comment>
    <comment ref="C1" authorId="1" shapeId="0" xr:uid="{9522B3D3-EA8D-45E2-AF70-A0BC73AB697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ΕΠΕΙΔΗ ΟΙ ΕΓΓΡΑΦΕΣ ΔΕΥΤΕΡΟΥ ΕΤΟΥΣ ΕΊΝΑΙ ΛΙΓΕΣ ΑΝ ΑΛΛΑΞΕΙ Ο ΑΡΙΘΜΟΣ ΑΠΌ ΤΟ ΚΑΝΕΝΑΣ = 0, ΣΕ ΚΑΤΙ ΤΟ ΑΛΛΑΖΟΥΜΕ ΧΕΙΡΟΚΙΝΗΤΑ</t>
      </text>
    </comment>
    <comment ref="B13" authorId="2" shapeId="0" xr:uid="{30529720-D5A7-4DA0-97E4-D079FD7CA7D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Στους ήδη υπάρχοντες σπουδαστές, έχουμε 2 που είναι (1 από ζαχαροπλαστική - Λιουδάκη Ζαχαρένια και 1 από μαγειρική - Ανδρουλάκη Ρίτα) που θα παρακολουθούν μαθήματα του 2ου έτους όμως στον ΠΗΓΑΣΟ θα φαίνονται ως πρώτο έτος και θα περνάμε τους βαθμούς που έχουμε ήδη στο δεύτερο έτος.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tc={2078F3DD-4491-4FBA-8251-C709394664F8}</author>
    <author>tc={2C8AFFE3-4F63-47F4-9686-CA530E682CBD}</author>
    <author>tc={44C2921A-467F-422D-B3C5-D4755D67CDF2}</author>
  </authors>
  <commentList>
    <comment ref="A1" authorId="0" shapeId="0" xr:uid="{2078F3DD-4491-4FBA-8251-C709394664F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ΑΥΤΟΙ ΠΟΥ ΕΧΟΥΝ ΠΟΡΤΟΚΑΛΙ, ΕΝΔΙΑΦΕΡΟΝΤΑΙ ΓΙΑ ΌΤΑΝ ΕΧΟΥΜΕ ΝΈΟ ΤΜΗΜΑ</t>
      </text>
    </comment>
    <comment ref="I82" authorId="1" shapeId="0" xr:uid="{2C8AFFE3-4F63-47F4-9686-CA530E682CB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ΜΟΝΟ ΠΡΩΙ 13:00
Απάντηση:
    ΝΑ ΤΗΝ ΕΝΗΜΕΡΩΣΟΥΜΕ ΑΝ ΔΗΜΙΟΥΡΓΗΘΕΙ ΤΜΗΜΑ ΤΟΝ ΦΕΡΒΟΥΑΡΙΟ</t>
      </text>
    </comment>
    <comment ref="G83" authorId="2" shapeId="0" xr:uid="{44C2921A-467F-422D-B3C5-D4755D67CDF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ΤΗΛΕΦΩΝΟ ΜΑΜΑΣ - ΚΥΡΙΑΣ ΜΟΥΝΤΡΑΚΗ</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tc={A5FA7CF7-53DD-4E5A-A771-87768A551E5F}</author>
    <author>tc={1B588038-CED9-42DC-B321-8B1AEFA0E994}</author>
    <author>tc={A81F3B16-627C-429B-8B8C-D03F0E8B15D7}</author>
    <author>tc={C874968F-F312-48CF-BA91-1AAF0C3952E7}</author>
    <author>tc={D5B44167-0F2E-4892-AED1-3193B5C49CD9}</author>
    <author>tc={C40D7820-A8EB-4C75-AA67-533408949B66}</author>
    <author>tc={7BCFA0B2-5DEC-4DF3-9F4F-0AF3401F3320}</author>
    <author>tc={D73FC6E6-8AFE-44F1-9D4D-7E46DDC2DB39}</author>
    <author>tc={69B5200E-ED77-4E22-B556-29895AC80A87}</author>
    <author>tc={2E196208-8AF6-4E8C-884F-D49AF5CA648F}</author>
    <author>tc={3FD43C8B-3785-4810-A1E4-C5948F28D4D1}</author>
    <author>tc={9360F7FC-6AD3-4B10-925B-541466D121FA}</author>
    <author>tc={BA79EDA6-40A7-48E4-9484-37AFF469356E}</author>
    <author>tc={5D479518-2921-4418-B72A-4704CB960253}</author>
    <author>tc={2A32D02E-25CC-4F3F-B09A-78DEA35CF295}</author>
    <author>tc={BF8DE683-3DD5-4BB4-847C-92C7FC2B612B}</author>
    <author>tc={228BC192-F028-4E2A-8A14-C864AF36439F}</author>
    <author>tc={5B7779D8-19C6-42F5-BA75-E70049B9DBFD}</author>
    <author>tc={B8E0B622-7A18-483E-ADA4-886A5B2BD382}</author>
    <author>tc={84389E71-8991-45A3-86AD-ACB54633B2AC}</author>
    <author>tc={06DBE07E-3AAC-4563-B1C2-06E510F66CE5}</author>
    <author>tc={F8A8D2FE-887F-4033-80D9-9FF4EF36AB4C}</author>
    <author>tc={AF964163-492F-4587-A11B-B9899C5FB413}</author>
    <author>tc={EB849C01-FCC7-4781-94F3-B82BAA34A0BB}</author>
    <author>tc={F66CD8AD-D7AC-43D9-96F1-57B21FD32419}</author>
    <author>tc={8266FAEB-9CE4-48D5-A60E-C763FB80C192}</author>
    <author>tc={3EAC29B5-0F41-4671-B77A-5A82195E5F0E}</author>
    <author>tc={B56A30AD-10D6-46DC-AE7E-32B029896298}</author>
    <author>tc={616A3479-AD5B-40C5-97BB-A67B22DE3530}</author>
    <author>tc={27BF9E1E-D68A-4565-880E-F88742D0AD4A}</author>
    <author>tc={CD1F9F7D-0EE5-4B61-B5D1-0744E43C7B6B}</author>
    <author>tc={39BBF581-108C-422F-8374-967B57296869}</author>
    <author>tc={D8AEC5AF-1422-4F3B-B939-D5C83E56222E}</author>
    <author>tc={3F273639-5526-4E75-BDE6-38900EC9097C}</author>
    <author>tc={4DE4F169-5B80-4B92-A797-38D2F7FBE736}</author>
    <author>tc={224B4DD9-A3BA-4547-A983-3C8B77C307A9}</author>
    <author>tc={A811A336-68AE-48DF-993C-116E1756ABFA}</author>
    <author>tc={53470CA5-DB9A-44CB-85C8-D81C438E7E08}</author>
    <author>tc={71A089B9-B40A-4A54-8A01-63A1DEB9E1BE}</author>
    <author>tc={8A0A6184-A325-4C53-AB70-2A58CB627AC1}</author>
    <author>tc={B6249D17-472E-42BB-8045-7B63AAC6C225}</author>
    <author>tc={4A8BFFAD-8B70-4A41-A65B-8D32DA010791}</author>
    <author>tc={5B211F66-4E04-4EF8-BA55-47299FF1570F}</author>
    <author>tc={7F37781A-A2E0-4303-A8CA-2D9662B14764}</author>
    <author>tc={9AF21A5B-7501-4B71-8052-890267CA3118}</author>
    <author>tc={56A13B8A-179D-4E8A-B432-81728B32D110}</author>
    <author>tc={1ED9AE08-8709-4138-AE91-96FCD381FEBE}</author>
    <author>tc={B3069A9C-3497-434D-8B7B-FDA3275EA28A}</author>
    <author>tc={0A20586F-C39F-4CA5-A4BC-96757EB1B892}</author>
    <author>tc={833719EF-918A-4E07-AE7C-5B36ED11B7FA}</author>
    <author>tc={C3824F94-C64D-462B-85D7-EC8C810EEFEA}</author>
    <author>tc={B31423BE-66DC-4BFA-BFFE-746375E8E600}</author>
    <author>tc={B5F17E9E-611F-42D9-B8F3-6FBD58EAECAD}</author>
    <author>tc={2E33F5E7-5AE0-4AFC-8780-A6132ACE3E2B}</author>
  </authors>
  <commentList>
    <comment ref="E2" authorId="0" shapeId="0" xr:uid="{A5FA7CF7-53DD-4E5A-A771-87768A551E5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 ΑΡΙΘΜΟΣ ΜΗΤΡΩΟΥ ΕΜΦΑΝΙΖΕΤΑΙ ΌΤΑΝ ΕΝΑΣ ΜΑΘΗΤΗΣ ΠΕΡΑΣΤΕΙ ΜΕ ΤΑ ΣΤΟΙΧΕΙΑ ΤΟΥ. ΣΤΟ ΠΛΗΡΟΦΟΡΙΑΚΟ ΣΥΣΤΗΜΑ - ΠΗΓΑΣΟΣ</t>
      </text>
    </comment>
    <comment ref="A15" authorId="1" shapeId="0" xr:uid="{1B588038-CED9-42DC-B321-8B1AEFA0E99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ΈΧΕΙ ΠΑΡΕΙ ΠΙΝΑΚΙΔΑ</t>
      </text>
    </comment>
    <comment ref="D16" authorId="2" shapeId="0" xr:uid="{A81F3B16-627C-429B-8B8C-D03F0E8B15D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ΕΙΧΕ ΠΕΘΑΝΕΙ Η ΓΙΑΓΙΑ ΤΗΣ ΤΗΝ ΕΒΔΟΜΑΔΑ 19-23/01/2026 ΚΑΙ ΔΕΝ ΜΠΟΡΟΥΣΕ ΝΑ ΕΡΧΕΤΑΙ</t>
      </text>
    </comment>
    <comment ref="A17" authorId="3" shapeId="0" xr:uid="{C874968F-F312-48CF-BA91-1AAF0C3952E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D17" authorId="4" shapeId="0" xr:uid="{D5B44167-0F2E-4892-AED1-3193B5C49CD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ΔΟΥΛΕΥΕΙ ΚΑΙ ΔΕΝ ΤΟΝ ΑΦΗΝΟΥΝ ΝΑ ΦΥΓΕΙ ΑΠΌ ΤΗΝ ΔΟΥΛΕΙΑ
Απάντηση:
    ΕΙΜΑΣΤΕ ΕΝΗΜΕΡΟΙ ΓΙΑ ΤΙΣ ΑΠΟΥΣΙΕΣ</t>
      </text>
    </comment>
    <comment ref="F17" authorId="5" shapeId="0" xr:uid="{C40D7820-A8EB-4C75-AA67-533408949B6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saloustroua@gmail.com EMAIL ΜΑΜΑΣ - ΣΑΛΟΥΣΤΡΟΥ ΕΛΕΥΘΕΡΙΑ</t>
      </text>
    </comment>
    <comment ref="A18" authorId="6" shapeId="0" xr:uid="{7BCFA0B2-5DEC-4DF3-9F4F-0AF3401F332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D18" authorId="7" shapeId="0" xr:uid="{D73FC6E6-8AFE-44F1-9D4D-7E46DDC2DB3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ΠΗΓΕ ΣΤΗΝ ΑΘΗΝΑ ΤΗΝ ΕΒΔΟΜΑΔΑ 17-22, ΚΑΙ ΓΙΑ ΑΥΤΌ ΕΚΑΝΕ ΤΙΣ ΑΠΟΥΣΙΕΣ</t>
      </text>
    </comment>
    <comment ref="A19" authorId="8" shapeId="0" xr:uid="{69B5200E-ED77-4E22-B556-29895AC80A8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AM30" authorId="9" shapeId="0" xr:uid="{2E196208-8AF6-4E8C-884F-D49AF5CA648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m.fygetaki@gmail.com</t>
      </text>
    </comment>
    <comment ref="AM31" authorId="10" shapeId="0" xr:uid="{3FD43C8B-3785-4810-A1E4-C5948F28D4D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manbouch@yahoo.com</t>
      </text>
    </comment>
    <comment ref="AM32" authorId="11" shapeId="0" xr:uid="{9360F7FC-6AD3-4B10-925B-541466D121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eleftheriatzanaki@gmail.com</t>
      </text>
    </comment>
    <comment ref="AT32" authorId="12" shapeId="0" xr:uid="{BA79EDA6-40A7-48E4-9484-37AFF469356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ΚΑΝΟΝΙΣΑΜΕ ΜΕ ΤΗΝ ΤΖΑΝΑΚΗ ΝΑ ΒΑΛΕΙ 15 ΩΡΕΣ ΤΟΝ ΙΑΝΟΥΑΡΙΟ ΑΝΤΙΣ 20 ΠΟΥ ΕΒΑΛΕ, ΔΙΟΤΙ ΤΟΝ ΔΕΚΕΜΒΡΙΟ ΕΒΑΛΕ 20 ΩΡΕΣ ΑΝΤΙΣ 15 ΩΡΕΣ ΠΟΥ ΕΠΡΕΠΕ ΝΑ ΒΑΛΕΙ</t>
      </text>
    </comment>
    <comment ref="D41" authorId="13" shapeId="0" xr:uid="{5D479518-2921-4418-B72A-4704CB96025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ΠΥΡΟΣΒΕΣΤΗΣ ΚΑΙ ΠΟΛΛΕΣ ΦΟΡΕΣ ΕΧΕΙ ΥΠΗΡΕΣΙΑ ΚΑΙ ΓΙΑ ΑΥΤΌ ΔΕΝ ΠΡΟΛΑΒΕΝΕΙ ΝΑ ΜΠΕΙ ΝΑ ΠΑΡΑΚΟΛΟΥΘΗΣΕΙ.</t>
      </text>
    </comment>
    <comment ref="AM41" authorId="14" shapeId="0" xr:uid="{2A32D02E-25CC-4F3F-B09A-78DEA35CF29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m.fygetaki@gmail.com</t>
      </text>
    </comment>
    <comment ref="AM42" authorId="15" shapeId="0" xr:uid="{BF8DE683-3DD5-4BB4-847C-92C7FC2B612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manbouch@yahoo.com</t>
      </text>
    </comment>
    <comment ref="AM43" authorId="16" shapeId="0" xr:uid="{228BC192-F028-4E2A-8A14-C864AF36439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eleftheriatzanaki@gmail.com</t>
      </text>
    </comment>
    <comment ref="AT43" authorId="17" shapeId="0" xr:uid="{5B7779D8-19C6-42F5-BA75-E70049B9DBF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ΚΑΝΟΝΙΣΑΜΕ ΜΕ ΤΗΝ ΤΖΑΝΑΚΗ ΝΑ ΒΑΛΕΙ 15 ΩΡΕΣ ΤΟΝ ΙΑΝΟΥΑΡΙΟ ΑΝΤΙΣ 20 ΠΟΥ ΕΒΑΛΕ, ΔΙΟΤΙ ΤΟΝ ΔΕΚΕΜΒΡΙΟ ΕΒΑΛΕ 20 ΩΡΕΣ ΑΝΤΙΣ 15 ΩΡΕΣ ΠΟΥ ΕΠΡΕΠΕ ΝΑ ΒΑΛΕΙ</t>
      </text>
    </comment>
    <comment ref="D57" authorId="18" shapeId="0" xr:uid="{B8E0B622-7A18-483E-ADA4-886A5B2BD38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ΕΧΕΙ ΕΝΗΜΕΡΩΣΕΙ ΠΩΣ ΘΑ ΛΕΙΠΕΙ ΕΩΣ 11/11 ΓΙΑ ΕΚΤΑΚΤΕΣ ΔΟΥΛΕΙΕΣ ΕΚΤΟΣ ΗΡΑΚΛΕΙΟΥ ΚΑΙ ΔΕΝ ΘΑ ΜΠΟΡΕΙ ΝΑ ΠΑΡΑΚΟΛΟΥΘΕΙ</t>
      </text>
    </comment>
    <comment ref="G75" authorId="19" shapeId="0" xr:uid="{84389E71-8991-45A3-86AD-ACB54633B2A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6936130997 ΣΜΑΡΑΓΔΗ ΣΤΕΛΛΑ ΜΑΜΑ ΧΡΗΣΤΑΚΗΣ ΜΑΡΙΛΕΝΑ</t>
      </text>
    </comment>
    <comment ref="G77" authorId="20" shapeId="0" xr:uid="{06DBE07E-3AAC-4563-B1C2-06E510F66C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6936130997 ΣΜΑΡΑΓΔΗ ΣΤΕΛΛΑ ΜΑΜΑ ΧΡΗΣΤΑΚΗΣ ΜΑΡΙΛΕΝΑ</t>
      </text>
    </comment>
    <comment ref="D80" authorId="21" shapeId="0" xr:uid="{F8A8D2FE-887F-4033-80D9-9FF4EF36AB4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ΜΠΟΡΕΙ ΝΑ ΕΡΧΕΤΑΙ ΠΑΝΤΑ ΓΙΑΤΙ ΔΟΥΛΕΥΕΙ ΌΜΩΣ ΕΧΕΙ ΕΙΔΟΠΟΙΕΙΣΕΙ</t>
      </text>
    </comment>
    <comment ref="D81" authorId="22" shapeId="0" xr:uid="{AF964163-492F-4587-A11B-B9899C5FB41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ΘΑ ΜΕΙΝΕΙ ΑΛΛΑ ΗΤΑΝ ΑΡΡΩΣΤΗ ΚΑΙ ΓΙΑ ΜΙΑ ΕΒΔΟΜΑΔΑ ΕΠΙΣΗΣ ΕΝΗΜΕΡΩΣΕ 08-12/12/2025 ΌΤΙ ΔΕΝ ΘΑ ΜΠΟΡΕΣΕΙ ΝΑ ΕΡΧΕΤΑΙ</t>
      </text>
    </comment>
    <comment ref="D87" authorId="23" shapeId="0" xr:uid="{EB849C01-FCC7-4781-94F3-B82BAA34A0B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ΣΤΗΝ ΑΘΗΝΑ 15-19/12/2025 ΟΠΟΤΕ ΔΙΚΑΙΟΛΟΓΗΜΕΝΕΣ ΟΙ ΑΠΟΥΣΙΕΣ</t>
      </text>
    </comment>
    <comment ref="D105" authorId="24" shapeId="0" xr:uid="{F66CD8AD-D7AC-43D9-96F1-57B21FD324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ΜΕ ΕΙΧΕ ΕΝΗΜΕΡΩΣΕΙ ΣΤΙΣ ΑΡΧΕΣ ΌΤΙ ΔΟΥΛΕΥΕ ΓΙΑ ΑΥΤΌ ΔΕΝ ΜΠΟΡΟΥΣΕ ΝΑ ΕΡΘΕΙ ΌΜΩΣ ΤΟ ΣΥΝΕΧΙΖΕΙ...ΤΟΝ ΚΑΛΩ ΜΟΥ ΕΙΠΕ ΠΩΣ ΔΕΝ ΕΧΕΙ ΜΕΤΑΦΟΡΙΚΟ ΚΑΙ ΠΩΣ ΘΑ ΕΡΧΕΤΑΙ ΑΠΌ ΕΔΏ ΚΑΙ ΠΕΡΑ ΚΑΝΟΝΙΚΑ...ΟΜΩΣ ΠΑΛΙ ΚΑΝΕΙ ΤΑ ΙΔΙΑ</t>
      </text>
    </comment>
    <comment ref="D107" authorId="25" shapeId="0" xr:uid="{8266FAEB-9CE4-48D5-A60E-C763FB80C1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ΕΧΕΙ ΕΝΗΜΕΡΩΣΕΙ ΠΩΣ ΔΟΥΛΕΥΕΙ ΚΑΙ ΕΡΧΕΤΑΙ ΟΠΟΤΕ ΠΡΟΛΑΒΕΝΕΙ, ΑΛΛΑ ΚΑΝΕΙ ΠΟΛΛΕΣ ΚΑΙ ΔΙΑΦΟΡΕΤΙΚΕΣ ΕΡΓΑΣΙΕΣ</t>
      </text>
    </comment>
    <comment ref="D108" authorId="26" shapeId="0" xr:uid="{3EAC29B5-0F41-4671-B77A-5A82195E5F0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ΔΟΥΛΕΥΕ ΣΤΙΣ ΑΡΧΕΣ ΚΑΙ ΓΙΑ ΑΥΤΌ ΔΕΝ ΕΡΧΟΤΑΝ ΚΑΙ ΜΕ ΕΙΧΕ ΕΝΗΜΕΡΩΣΕΙ</t>
      </text>
    </comment>
    <comment ref="H136" authorId="27" shapeId="0" xr:uid="{B56A30AD-10D6-46DC-AE7E-32B02989629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8
Ημερομηνία: 09/03/2026</t>
      </text>
    </comment>
    <comment ref="H139" authorId="28" shapeId="0" xr:uid="{616A3479-AD5B-40C5-97BB-A67B22DE353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ΒΕΚ ΑΠΌ ΆΛΛΟ ΙΕΚ ΣΤΗΝ ΙΔΙΑ ΕΙΔΙΚΟΤΗΤΑ</t>
      </text>
    </comment>
    <comment ref="D145" authorId="29" shapeId="0" xr:uid="{27BF9E1E-D68A-4565-880E-F88742D0AD4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ΨΑΧΝΕΙ ΓΙΑ ΔΟΥΛΕΙΑ ΚΑΙ ΚΟΥΡΑΖΕΤΑΙ ΓΙΑ ΑΥΤΌ ΔΕΝ ΕΡΧΕΤΑΙ </t>
      </text>
    </comment>
    <comment ref="G145" authorId="30" shapeId="0" xr:uid="{CD1F9F7D-0EE5-4B61-B5D1-0744E43C7B6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ΤΟ ΣΗΚΩΣΕ ΓΙΑ ΝΑ ΜΙΛΗΣΟΥΜΕ</t>
      </text>
    </comment>
    <comment ref="D150" authorId="31" shapeId="0" xr:uid="{39BBF581-108C-422F-8374-967B5729686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ΗΤΑΝ ΑΡΡΩΣΤΗ ΣΤΟ ΝΟΣΟΚΟΜΕΙΟ ΓΙΑ ΑΥΤΌ ΔΕΝ ΕΙΧΕ ΕΡΘΕΙ ΔΕΝ ΕΧΕΙ ΚΑΝΕΝΑ ΠΡΟΒΛΗΜΑ</t>
      </text>
    </comment>
    <comment ref="D154" authorId="32" shapeId="0" xr:uid="{D8AEC5AF-1422-4F3B-B939-D5C83E56222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H155" authorId="33" shapeId="0" xr:uid="{3F273639-5526-4E75-BDE6-38900EC9097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9
Ημερομηνία: 10/03/2026</t>
      </text>
    </comment>
    <comment ref="H156" authorId="34" shapeId="0" xr:uid="{4DE4F169-5B80-4B92-A797-38D2F7FBE7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3
Ημερομηνία: 08/01/2026</t>
      </text>
    </comment>
    <comment ref="H157" authorId="35" shapeId="0" xr:uid="{224B4DD9-A3BA-4547-A983-3C8B77C307A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12
Ημερομηνία: 07/04/2026</t>
      </text>
    </comment>
    <comment ref="H159" authorId="36" shapeId="0" xr:uid="{A811A336-68AE-48DF-993C-116E1756AB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4
Ημερομηνία: 08/01/2026</t>
      </text>
    </comment>
    <comment ref="H160" authorId="37" shapeId="0" xr:uid="{53470CA5-DB9A-44CB-85C8-D81C438E7E0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5
Ημερομηνία: 09/01/2026</t>
      </text>
    </comment>
    <comment ref="H161" authorId="38" shapeId="0" xr:uid="{71A089B9-B40A-4A54-8A01-63A1DEB9E1B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7
Ημερομηνία: 19/01/2026</t>
      </text>
    </comment>
    <comment ref="D164" authorId="39" shapeId="0" xr:uid="{8A0A6184-A325-4C53-AB70-2A58CB627A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ΜΠΟΡΕΙ ΝΑ ΕΡΧΕΤΑΙ ΠΑΝΤΑ ΓΙΑΤΙ ΔΟΥΛΕΥΕΙ ΌΜΩΣ ΕΧΕΙ ΕΙΔΟΠΟΙΕΙΣΕΙ</t>
      </text>
    </comment>
    <comment ref="D165" authorId="40" shapeId="0" xr:uid="{B6249D17-472E-42BB-8045-7B63AAC6C22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ΘΑ ΜΕΙΝΕΙ ΑΛΛΑ ΗΤΑΝ ΑΡΡΩΣΤΗ ΚΑΙ ΓΙΑ ΜΙΑ ΕΒΔΟΜΑΔΑ ΕΠΙΣΗΣ ΕΝΗΜΕΡΩΣΕ 08-12/12/2025 ΌΤΙ ΔΕΝ ΘΑ ΜΠΟΡΕΣΕΙ ΝΑ ΕΡΧΕΤΑΙ</t>
      </text>
    </comment>
    <comment ref="H167" authorId="41" shapeId="0" xr:uid="{4A8BFFAD-8B70-4A41-A65B-8D32DA01079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16
Ημερομηνία: 25/05/2026
</t>
      </text>
    </comment>
    <comment ref="H168" authorId="42" shapeId="0" xr:uid="{5B211F66-4E04-4EF8-BA55-47299FF1570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15
Ημερομηνία: 13/05/2026</t>
      </text>
    </comment>
    <comment ref="H169" authorId="43" shapeId="0" xr:uid="{7F37781A-A2E0-4303-A8CA-2D9662B1476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14
Ημερομηνία: 13/05/2026</t>
      </text>
    </comment>
    <comment ref="D171" authorId="44" shapeId="0" xr:uid="{9AF21A5B-7501-4B71-8052-890267CA311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ΣΤΗΝ ΑΘΗΝΑ 15-19/12/2025 ΟΠΟΤΕ ΔΙΚΑΙΟΛΟΓΗΜΕΝΕΣ ΟΙ ΑΠΟΥΣΙΕΣ</t>
      </text>
    </comment>
    <comment ref="H171" authorId="45" shapeId="0" xr:uid="{56A13B8A-179D-4E8A-B432-81728B32D11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13
Ημερομηνία: 12/05/2026</t>
      </text>
    </comment>
    <comment ref="H176" authorId="46" shapeId="0" xr:uid="{1ED9AE08-8709-4138-AE91-96FCD381FEB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6
Ημερομηνία: 19/01/2026</t>
      </text>
    </comment>
    <comment ref="H178" authorId="47" shapeId="0" xr:uid="{B3069A9C-3497-434D-8B7B-FDA3275EA28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
Ημερομηνία: 07/07/2025</t>
      </text>
    </comment>
    <comment ref="H179" authorId="48" shapeId="0" xr:uid="{0A20586F-C39F-4CA5-A4BC-96757EB1B8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2
Ημερομηνία: 07/07/2025</t>
      </text>
    </comment>
    <comment ref="H180" authorId="49" shapeId="0" xr:uid="{833719EF-918A-4E07-AE7C-5B36ED11B7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11
Ημερομηνία: 20/03/2026</t>
      </text>
    </comment>
    <comment ref="D181" authorId="50" shapeId="0" xr:uid="{C3824F94-C64D-462B-85D7-EC8C810EEFE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D182" authorId="51" shapeId="0" xr:uid="{B31423BE-66DC-4BFA-BFFE-746375E8E6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H183" authorId="52" shapeId="0" xr:uid="{B5F17E9E-611F-42D9-B8F3-6FBD58EAECA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Αριθμός Πράξης: 10
Ημερομηνία: 10/03/2026</t>
      </text>
    </comment>
    <comment ref="D187" authorId="53" shapeId="0" xr:uid="{2E33F5E7-5AE0-4AFC-8780-A6132ACE3E2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ΕΧΕΙ ΕΝΗΜΕΡΩΣΕΙ ΠΩΣ ΘΑ ΛΕΙΠΕΙ ΕΩΣ 11/11 ΓΙΑ ΕΚΤΑΚΤΕΣ ΔΟΥΛΕΙΕΣ ΕΚΤΟΣ ΗΡΑΚΛΕΙΟΥ ΚΑΙ ΔΕΝ ΘΑ ΜΠΟΡΕΙ ΝΑ ΠΑΡΑΚΟΛΟΥΘΕΙ</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tc={E51812CF-2975-4FE8-AA36-4B82329FD858}</author>
  </authors>
  <commentList>
    <comment ref="A73" authorId="0" shapeId="0" xr:uid="{E51812CF-2975-4FE8-AA36-4B82329FD85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6951846244 ΥΠΕΥΘΥΝΗ ΣΥΣΚΕΥΑΣΙΑΣ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tc={A57C47F2-C2B6-4FBE-985A-653389B2C9CC}</author>
  </authors>
  <commentList>
    <comment ref="DH2" authorId="0" shapeId="0" xr:uid="{A57C47F2-C2B6-4FBE-985A-653389B2C9C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ΚΤΙΣΤΑΚΗΣ ΑΠΌ ΧΕΡΣΟΝΗΣΟ ΓΙΑ Ν Α ΠΑΡΕΙ ΦΥΛΛΑΔΙΑ ΘΕΛΕΙ ΡΑΝΤΕΒΟΥ ΤΡΙΤΗ 23/09/2025  08:45 6942635455</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tc={A1ACDCE8-11A5-437B-9E12-6F5F64D2C93A}</author>
  </authors>
  <commentList>
    <comment ref="B103" authorId="0" shapeId="0" xr:uid="{A1ACDCE8-11A5-437B-9E12-6F5F64D2C93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Η ΕΠΟΠΤΡΙΑ ΜΑΣ ΠΟΥ ΜΙΛΑΜΕ ΠΙΟ ΣΥΧΝΑ</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tc={780023BC-15AF-4407-9914-A685A588B2C8}</author>
    <author>tc={FD916B7D-8719-464A-AD92-07E60EBDE575}</author>
    <author>tc={25A1E77B-D1E6-414C-82A2-061B50E07D11}</author>
    <author>tc={D95DC35F-E25E-4713-88C2-43D36100F4CD}</author>
    <author>tc={BA8E6946-358E-4304-9479-603F914B7468}</author>
    <author>tc={0CDB023E-04F7-453A-AA91-BC241787D88F}</author>
    <author>tc={82C75623-7568-4BC7-983B-DB52AE6C13A6}</author>
    <author>tc={B5CA4D81-A3BD-4F23-A41F-1B46BC28BAA0}</author>
    <author>tc={766F0DA8-595B-4016-A4FA-ACACBC640EC1}</author>
    <author>tc={55C51A49-D57E-461B-86C7-F785666BA184}</author>
    <author>tc={BDDB3203-E4EF-4768-B954-099DACA79FC9}</author>
    <author>tc={3B352595-99C6-447C-88E5-40631D2CFF36}</author>
    <author>tc={A6563121-ED8B-4D5B-AFF9-597CA93117F5}</author>
    <author>tc={66B645B3-6047-4640-86FC-A3CC2A80E07F}</author>
    <author>tc={97085AFD-50F8-43FE-B987-06D4316958C8}</author>
    <author>tc={0BABF37B-E7A2-41B2-AA75-5A351B133A40}</author>
    <author>tc={FFF795FA-59C9-4FC0-BCBF-603C47AF17F3}</author>
    <author>tc={0FC10437-17C5-4C32-9008-023096928A46}</author>
    <author>tc={138FFF9E-DAFD-47F8-85E0-CC5947642044}</author>
    <author>tc={8F27616E-DD74-407A-94EF-9A9561789AF5}</author>
    <author>tc={1AB9A389-287A-4F30-9035-532C7693735A}</author>
    <author>tc={40B911EC-EF4E-4827-B248-815949787264}</author>
    <author>tc={9716AFC5-EC0E-4886-8C23-CE92040755F2}</author>
    <author>tc={AF7BC70D-1620-4302-85B8-D1DB432B5F9D}</author>
    <author>tc={4C7F5FB4-936A-470A-9BEC-F6E81984DFAE}</author>
    <author>tc={21407B5A-4D77-47F6-9CEB-C18995C4FC74}</author>
    <author>tc={E7E7D05C-5101-4681-9628-CE23593ADD6E}</author>
    <author>tc={2F109F58-51F5-49DA-9A7A-265C2C09F7B0}</author>
    <author>tc={0B7366C8-13FB-4C46-BC3A-9EC90F4695D8}</author>
    <author>tc={B73F475E-9ED0-45CF-9419-13238EDD12D7}</author>
    <author>tc={912C3A7F-9008-4704-A26E-49ACE9F556AE}</author>
    <author>tc={441CCE59-266F-4078-BCD5-4287A2D139D1}</author>
    <author>tc={A335813C-FF82-4B7A-B8CF-741247F70E44}</author>
    <author>tc={C7DE3F98-E61A-4FC1-AED7-60D1C8D59BA4}</author>
    <author>tc={564A7DA0-2E1A-47FE-BEFD-1B4FA520FB8A}</author>
    <author>tc={E012335A-2F1F-45CF-BF77-8B036F783092}</author>
    <author>tc={2DCD2398-CCEF-41F5-9A34-FB9D53A0FC6C}</author>
    <author>tc={AEB909F6-445D-4923-A049-E45DC4870E31}</author>
    <author>tc={5AC065F5-5FE7-40DD-8E22-2474EC1DAC44}</author>
    <author>tc={775AAA8C-6F5A-4112-9CFB-D16B11F43E97}</author>
    <author>tc={0DB69F78-099A-4E34-83D3-9F0D53DF853D}</author>
    <author>tc={DA630A56-5960-4287-9B8C-F8DB09114B4F}</author>
    <author>tc={122B9AF1-0496-4B52-90F1-12A62D002887}</author>
    <author>tc={9A27A657-955E-487C-8AE1-9A697918A0FA}</author>
    <author>tc={91105722-3D15-483A-9C3A-1B17E57CC03E}</author>
    <author>tc={73E02A8E-3F4B-484B-87CD-E0DB54AE291B}</author>
    <author>tc={3D914CC3-43AF-41E3-8E49-6ECCCAE21636}</author>
    <author>tc={5924B43A-13F8-4FA6-A4AA-61BB7A64EB40}</author>
    <author>tc={008BBFF6-8F15-44B5-9681-8CB31E44097B}</author>
    <author>tc={DCF22F67-159A-4B47-A7FD-201A52012990}</author>
    <author>tc={B843D2D4-0925-4B1F-8D25-EE7DDE58CADD}</author>
    <author>tc={D3C83D73-2909-4D71-99F9-3288A1193068}</author>
    <author>tc={D1F8819C-AE6F-421E-A541-75C83AA92A44}</author>
    <author>tc={FBD0772C-55BF-45CC-957C-FA1A8EDC084E}</author>
    <author>tc={214C4828-C608-4526-92A8-6DA0A0781F03}</author>
    <author>tc={CAA1F3C9-C610-4438-831C-6D2ED7CA4588}</author>
    <author>tc={00FBAD1E-285E-4AC8-81D9-F430565C0F8B}</author>
    <author>tc={E3AB4770-152C-4133-A5C1-A003530B6F75}</author>
    <author>tc={A8625303-8459-4794-9D25-9F702D108EA1}</author>
    <author>tc={1EF4F7A3-B795-48BC-BAB0-8FD88BBC4C61}</author>
    <author>tc={94A508C2-1863-4DA9-886E-F0AED14D81BF}</author>
    <author>tc={462F3521-1E80-4B77-895F-C2A96B42505D}</author>
    <author>tc={F60369C7-76E8-49CA-A76D-AD8E59A3BC1F}</author>
    <author>tc={9E1E9545-E38F-4D85-A6A1-328A125DD8D0}</author>
    <author>tc={AE7F7AF1-4446-472F-BFE7-5849CFEB187E}</author>
    <author>tc={137F12A3-549B-4FE0-A365-08C58427E919}</author>
    <author>tc={868FB1D3-4D29-409D-8E60-77A5C73C4E73}</author>
    <author>tc={68A39C46-023B-42AB-A19A-B0D27ECD008A}</author>
    <author>tc={1E07F805-CFBC-4119-A795-4E7F799B4F93}</author>
    <author>tc={1D5FC0B3-DBD8-4625-86F2-5D38B402EFC7}</author>
    <author>tc={F3DF0E62-B80D-49F9-8456-D8A8056AA83A}</author>
    <author>tc={8921D266-B2AA-4946-9CB9-D4778DE56E93}</author>
    <author>tc={86E07723-1E8F-490A-A5EE-1A1DFB891F70}</author>
    <author>tc={E4481494-D059-4CD6-95DD-E9C1D7C41957}</author>
    <author>tc={40D1BD3B-FA70-441C-8AD8-8FF13A8D9AA8}</author>
    <author>tc={AD2C8E34-1913-4EF1-A5B2-336843A66D02}</author>
    <author>tc={C5FBD8F4-8A87-4C83-B842-7DD65E566A52}</author>
    <author>tc={4B04014F-E306-4093-94A1-72A0DEC72414}</author>
    <author>tc={6E220919-7DB7-44AE-9E73-D6D98BC4D350}</author>
    <author>tc={04A1CA0A-C955-4F70-B39B-696D18741F51}</author>
    <author>tc={AE3FEE2D-3002-4E4A-A17A-DBCA9D3599B8}</author>
    <author>tc={36B25A85-B219-4F3A-9BC2-73CFAEBD791A}</author>
    <author>tc={3A60EE05-53FF-438F-9B9F-880CE4E89672}</author>
    <author>tc={7BAF151C-8620-4427-BB55-F5B704ADE30E}</author>
    <author>tc={0924655F-8E87-4EA7-9094-63BB39C15736}</author>
    <author>tc={784D56C1-2A95-4975-AB18-93DA40DD7480}</author>
    <author>tc={488D1A0F-2543-4341-8CF5-868F9D09702C}</author>
    <author>tc={0B4F1D8F-BC7E-44F9-A8F3-5D33C4F9AAFF}</author>
    <author>tc={C02EF64A-A333-4C48-BE61-25ED668FE2E9}</author>
    <author>tc={C3AF277E-59D3-47DD-A19C-D1F973929D4B}</author>
    <author>tc={F79CE449-C78D-489A-9297-C766DB2108BC}</author>
    <author>tc={6AB0E470-104F-439D-8C53-8CBAAE6D615A}</author>
    <author>tc={6873F63B-BB6F-43BA-A182-35F94C559C7C}</author>
    <author>tc={D7F41219-C5FF-4117-8EED-026D05EFF7AE}</author>
    <author>tc={4ED6A3C4-44AC-4E90-AD02-38BE45F428D1}</author>
    <author>tc={5486CBDC-9199-485E-A3CA-1B6DF90EAE29}</author>
    <author>tc={F3ED3D8D-AAF0-4A9F-B1F9-CEFF12FE8064}</author>
    <author>tc={22CBB186-5D4E-4FE8-9365-D3AE94201AD8}</author>
  </authors>
  <commentList>
    <comment ref="EI2" authorId="0" shapeId="0" xr:uid="{780023BC-15AF-4407-9914-A685A588B2C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t>
      </text>
    </comment>
    <comment ref="EJ2" authorId="1" shapeId="0" xr:uid="{FD916B7D-8719-464A-AD92-07E60EBDE57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K2" authorId="2" shapeId="0" xr:uid="{25A1E77B-D1E6-414C-82A2-061B50E07D1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L2" authorId="3" shapeId="0" xr:uid="{D95DC35F-E25E-4713-88C2-43D36100F4C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ΚΑΛΟΓΕΡΑΚΗΣ</t>
      </text>
    </comment>
    <comment ref="EM2" authorId="4" shapeId="0" xr:uid="{BA8E6946-358E-4304-9479-603F914B746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W2" authorId="5" shapeId="0" xr:uid="{0CDB023E-04F7-453A-AA91-BC241787D88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ΚΥΡΛΑΚΗΣ-ΠΕΤΡΟΥΛΑΚΗ</t>
      </text>
    </comment>
    <comment ref="EX2" authorId="6" shapeId="0" xr:uid="{82C75623-7568-4BC7-983B-DB52AE6C13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Y2" authorId="7" shapeId="0" xr:uid="{B5CA4D81-A3BD-4F23-A41F-1B46BC28BAA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Z2" authorId="8" shapeId="0" xr:uid="{766F0DA8-595B-4016-A4FA-ACACBC640E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EI3" authorId="9" shapeId="0" xr:uid="{55C51A49-D57E-461B-86C7-F785666BA18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
Απάντηση:
    ΠΕΤΡΟΥΛΑΚΗ</t>
      </text>
    </comment>
    <comment ref="EJ3" authorId="10" shapeId="0" xr:uid="{BDDB3203-E4EF-4768-B954-099DACA79FC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K3" authorId="11" shapeId="0" xr:uid="{3B352595-99C6-447C-88E5-40631D2CFF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ΜΩΥΣΑΚΗΣ</t>
      </text>
    </comment>
    <comment ref="EL3" authorId="12" shapeId="0" xr:uid="{A6563121-ED8B-4D5B-AFF9-597CA93117F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ΣΑΒΒΑ</t>
      </text>
    </comment>
    <comment ref="EM3" authorId="13" shapeId="0" xr:uid="{66B645B3-6047-4640-86FC-A3CC2A80E07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W3" authorId="14" shapeId="0" xr:uid="{97085AFD-50F8-43FE-B987-06D4316958C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ΚΥΡΛΑΚΗΣ-ΠΕΤΡΟΥΛΑΚΗ</t>
      </text>
    </comment>
    <comment ref="EX3" authorId="15" shapeId="0" xr:uid="{0BABF37B-E7A2-41B2-AA75-5A351B133A4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EY3" authorId="16" shapeId="0" xr:uid="{FFF795FA-59C9-4FC0-BCBF-603C47AF17F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Z3" authorId="17" shapeId="0" xr:uid="{0FC10437-17C5-4C32-9008-023096928A4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EI4" authorId="18" shapeId="0" xr:uid="{138FFF9E-DAFD-47F8-85E0-CC594764204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t>
      </text>
    </comment>
    <comment ref="EJ4" authorId="19" shapeId="0" xr:uid="{8F27616E-DD74-407A-94EF-9A9561789AF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K4" authorId="20" shapeId="0" xr:uid="{1AB9A389-287A-4F30-9035-532C7693735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EL4" authorId="21" shapeId="0" xr:uid="{40B911EC-EF4E-4827-B248-81594978726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ΡΕΠΑΝΑΚΗ</t>
      </text>
    </comment>
    <comment ref="EM4" authorId="22" shapeId="0" xr:uid="{9716AFC5-EC0E-4886-8C23-CE92040755F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EW4" authorId="23" shapeId="0" xr:uid="{AF7BC70D-1620-4302-85B8-D1DB432B5F9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ΚΥΡΛΑΚΗΣ-ΠΕΤΡΟΥΛΑΚΗ</t>
      </text>
    </comment>
    <comment ref="EX4" authorId="24" shapeId="0" xr:uid="{4C7F5FB4-936A-470A-9BEC-F6E81984DFA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ΜΕΛΛΕΣΑΝΑΚΗ</t>
      </text>
    </comment>
    <comment ref="EY4" authorId="25" shapeId="0" xr:uid="{21407B5A-4D77-47F6-9CEB-C18995C4FC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Z4" authorId="26" shapeId="0" xr:uid="{E7E7D05C-5101-4681-9628-CE23593ADD6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NL4" authorId="27" shapeId="0" xr:uid="{2F109F58-51F5-49DA-9A7A-265C2C09F7B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Να περάσουμε 14:00</t>
      </text>
    </comment>
    <comment ref="EI5" authorId="28" shapeId="0" xr:uid="{0B7366C8-13FB-4C46-BC3A-9EC90F4695D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EJ5" authorId="29" shapeId="0" xr:uid="{B73F475E-9ED0-45CF-9419-13238EDD12D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K5" authorId="30" shapeId="0" xr:uid="{912C3A7F-9008-4704-A26E-49ACE9F556A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L5" authorId="31" shapeId="0" xr:uid="{441CCE59-266F-4078-BCD5-4287A2D139D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EM5" authorId="32" shapeId="0" xr:uid="{A335813C-FF82-4B7A-B8CF-741247F70E4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ΒΟΓΙΑΤΖΗΣ</t>
      </text>
    </comment>
    <comment ref="EW5" authorId="33" shapeId="0" xr:uid="{C7DE3F98-E61A-4FC1-AED7-60D1C8D59BA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ΒΟΓΙΑΤΖΗΣ</t>
      </text>
    </comment>
    <comment ref="EX5" authorId="34" shapeId="0" xr:uid="{564A7DA0-2E1A-47FE-BEFD-1B4FA520FB8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Y5" authorId="35" shapeId="0" xr:uid="{E012335A-2F1F-45CF-BF77-8B036F7830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Z5" authorId="36" shapeId="0" xr:uid="{2DCD2398-CCEF-41F5-9A34-FB9D53A0FC6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NL5" authorId="37" shapeId="0" xr:uid="{AEB909F6-445D-4923-A049-E45DC4870E3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10:30</t>
      </text>
    </comment>
    <comment ref="EI6" authorId="38" shapeId="0" xr:uid="{5AC065F5-5FE7-40DD-8E22-2474EC1DAC4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EJ6" authorId="39" shapeId="0" xr:uid="{775AAA8C-6F5A-4112-9CFB-D16B11F43E9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EK6" authorId="40" shapeId="0" xr:uid="{0DB69F78-099A-4E34-83D3-9F0D53DF853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L6" authorId="41" shapeId="0" xr:uid="{DA630A56-5960-4287-9B8C-F8DB09114B4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M6" authorId="42" shapeId="0" xr:uid="{122B9AF1-0496-4B52-90F1-12A62D00288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ΑΠΛΑΔΑ</t>
      </text>
    </comment>
    <comment ref="EX6" authorId="43" shapeId="0" xr:uid="{9A27A657-955E-487C-8AE1-9A697918A0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EZ6" authorId="44" shapeId="0" xr:uid="{91105722-3D15-483A-9C3A-1B17E57CC03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MT6" authorId="45" shapeId="0" xr:uid="{73E02A8E-3F4B-484B-87CD-E0DB54AE291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ΜΑΣ ΕΧΕΙ ΠΕΙ ΣΤΑ ΣΙΓΟΥΡΑ, ΤΟ ΠΡΟΒΛΗΜΑ ΤΟΥ ΕΊΝΑΙ ΠΩΣ ΕΊΝΑΙ ΠΟΛΎ ΣΟΒΑΡΟΣ ΚΑΙ ΜΗΠΩΣ ΔΕΝ ΑΡΕΣΕΙ. ΌΜΩΣ ΤΟΥ ΕΙΠΑΜΕ ΠΩΣ ΘΕΛΟΥΜΕ ΝΑ ΔΕΙΧΝΕΙ ΑΥΤΌ ΠΟΥ ΕΊΝΑΙ ΚΑΙ ΌΧΙ ΚΑΤΙ ΠΡΟΣΠΟΙΗΤΟ ΟΠΟΤΕ ΜΑΛΛΟΝ ΔΕΝ ΘΑ ΤΟ ΚΑΝΕΙ
Απάντηση:
    ΔΕΝ ΘΑ ΈΡΘΕΙ ΤΕΛΙΚΑ!!!</t>
      </text>
    </comment>
    <comment ref="EI7" authorId="46" shapeId="0" xr:uid="{3D914CC3-43AF-41E3-8E49-6ECCCAE216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ΣΚΟΡΔΟΥ</t>
      </text>
    </comment>
    <comment ref="EJ7" authorId="47" shapeId="0" xr:uid="{5924B43A-13F8-4FA6-A4AA-61BB7A64EB4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EK7" authorId="48" shapeId="0" xr:uid="{008BBFF6-8F15-44B5-9681-8CB31E44097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ΝΕΟΝΑΚΗ</t>
      </text>
    </comment>
    <comment ref="EL7" authorId="49" shapeId="0" xr:uid="{DCF22F67-159A-4B47-A7FD-201A5201299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M7" authorId="50" shapeId="0" xr:uid="{B843D2D4-0925-4B1F-8D25-EE7DDE58CAD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ΑΠΛΑΔΑ</t>
      </text>
    </comment>
    <comment ref="EX7" authorId="51" shapeId="0" xr:uid="{D3C83D73-2909-4D71-99F9-3288A119306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ΜΥΩΣΑΚΗΣ</t>
      </text>
    </comment>
    <comment ref="EZ7" authorId="52" shapeId="0" xr:uid="{D1F8819C-AE6F-421E-A541-75C83AA92A4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EJ8" authorId="53" shapeId="0" xr:uid="{FBD0772C-55BF-45CC-957C-FA1A8EDC084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K8" authorId="54" shapeId="0" xr:uid="{214C4828-C608-4526-92A8-6DA0A0781F0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 ΤΡΥΠΑΚΗ</t>
      </text>
    </comment>
    <comment ref="EL8" authorId="55" shapeId="0" xr:uid="{CAA1F3C9-C610-4438-831C-6D2ED7CA458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EM8" authorId="56" shapeId="0" xr:uid="{00FBAD1E-285E-4AC8-81D9-F430565C0F8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ΚΟΥΜΑΚΗΣ</t>
      </text>
    </comment>
    <comment ref="EX8" authorId="57" shapeId="0" xr:uid="{E3AB4770-152C-4133-A5C1-A003530B6F7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ΚΟΝΙΔΑΚΗ</t>
      </text>
    </comment>
    <comment ref="EZ8" authorId="58" shapeId="0" xr:uid="{A8625303-8459-4794-9D25-9F702D108EA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ΑΠΛΑΔΑ</t>
      </text>
    </comment>
    <comment ref="EJ9" authorId="59" shapeId="0" xr:uid="{1EF4F7A3-B795-48BC-BAB0-8FD88BBC4C6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K9" authorId="60" shapeId="0" xr:uid="{94A508C2-1863-4DA9-886E-F0AED14D81B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ΑΔΑΜΗΣ</t>
      </text>
    </comment>
    <comment ref="EL9" authorId="61" shapeId="0" xr:uid="{462F3521-1E80-4B77-895F-C2A96B42505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M9" authorId="62" shapeId="0" xr:uid="{F60369C7-76E8-49CA-A76D-AD8E59A3BC1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X9" authorId="63" shapeId="0" xr:uid="{9E1E9545-E38F-4D85-A6A1-328A125DD8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ΝΕΟΝΑΚΗ</t>
      </text>
    </comment>
    <comment ref="EZ9" authorId="64" shapeId="0" xr:uid="{AE7F7AF1-4446-472F-BFE7-5849CFEB187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ΑΠΛΑΔΑ</t>
      </text>
    </comment>
    <comment ref="EK10" authorId="65" shapeId="0" xr:uid="{137F12A3-549B-4FE0-A365-08C58427E9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ΚΥΡΛΑΚΗΣ
Απάντηση:
    ΠΕΤΡΟΥΛΑΚΗ</t>
      </text>
    </comment>
    <comment ref="EL10" authorId="66" shapeId="0" xr:uid="{868FB1D3-4D29-409D-8E60-77A5C73C4E7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EX10" authorId="67" shapeId="0" xr:uid="{68A39C46-023B-42AB-A19A-B0D27ECD008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ΜΑΡΚΑΚΗ-ΤΡΥΠΑΚΗ</t>
      </text>
    </comment>
    <comment ref="EZ10" authorId="68" shapeId="0" xr:uid="{1E07F805-CFBC-4119-A795-4E7F799B4F9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ΣΚΟΡΔΟΥ, ΜΠΙΤΖΟΥ, ΑΔΑΜΗΣ</t>
      </text>
    </comment>
    <comment ref="EX11" authorId="69" shapeId="0" xr:uid="{1D5FC0B3-DBD8-4625-86F2-5D38B402EFC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FO11" authorId="70" shapeId="0" xr:uid="{F3DF0E62-B80D-49F9-8456-D8A8056AA83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Περιμένουμε </t>
      </text>
    </comment>
    <comment ref="FO12" authorId="71" shapeId="0" xr:uid="{8921D266-B2AA-4946-9CB9-D4778DE56E9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Περιμένουμε κυρία Μπίτζου να ανεβάσει</t>
      </text>
    </comment>
    <comment ref="NL12" authorId="72" shapeId="0" xr:uid="{86E07723-1E8F-490A-A5EE-1A1DFB891F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ΤΥΠΙΚΟ ΔΕΝ ΕΊΝΑΙ ΚΑΙ ΤΗΣ ΓΡΗΓΟΡΑΚΗ ΣΤΟΝ ΑΝΤΡΑ ΤΗΣ ΔΟΥΛΕΥΕΙ..</t>
      </text>
    </comment>
    <comment ref="EY13" authorId="73" shapeId="0" xr:uid="{E4481494-D059-4CD6-95DD-E9C1D7C4195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FA13" authorId="74" shapeId="0" xr:uid="{40D1BD3B-FA70-441C-8AD8-8FF13A8D9AA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ΚΑΛΟΓΕΡΑΚΗΣ</t>
      </text>
    </comment>
    <comment ref="FB13" authorId="75" shapeId="0" xr:uid="{AD2C8E34-1913-4EF1-A5B2-336843A66D0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FO13" authorId="76" shapeId="0" xr:uid="{C5FBD8F4-8A87-4C83-B842-7DD65E566A5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Περιμένουμε</t>
      </text>
    </comment>
    <comment ref="EY14" authorId="77" shapeId="0" xr:uid="{4B04014F-E306-4093-94A1-72A0DEC7241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ΖΑΧΑΡΙΑΔΑΚΗ</t>
      </text>
    </comment>
    <comment ref="FA14" authorId="78" shapeId="0" xr:uid="{6E220919-7DB7-44AE-9E73-D6D98BC4D35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ΣΑΒΑ</t>
      </text>
    </comment>
    <comment ref="FB14" authorId="79" shapeId="0" xr:uid="{04A1CA0A-C955-4F70-B39B-696D18741F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FA15" authorId="80" shapeId="0" xr:uid="{AE3FEE2D-3002-4E4A-A17A-DBCA9D3599B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ΜΠΟΥΧΑΛΑΚΗΣ</t>
      </text>
    </comment>
    <comment ref="FB15" authorId="81" shapeId="0" xr:uid="{36B25A85-B219-4F3A-9BC2-73CFAEBD791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ΣΚΟΡΔΟΥ</t>
      </text>
    </comment>
    <comment ref="FA16" authorId="82" shapeId="0" xr:uid="{3A60EE05-53FF-438F-9B9F-880CE4E8967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ΡΕΠΑΝΑΚΗ</t>
      </text>
    </comment>
    <comment ref="FB16" authorId="83" shapeId="0" xr:uid="{7BAF151C-8620-4427-BB55-F5B704ADE30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ΣΚΟΡΔΟΥ</t>
      </text>
    </comment>
    <comment ref="D18" authorId="84" shapeId="0" xr:uid="{0924655F-8E87-4EA7-9094-63BB39C157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αντιστοιχει σε συνδρομητη</t>
      </text>
    </comment>
    <comment ref="EX18" authorId="85" shapeId="0" xr:uid="{784D56C1-2A95-4975-AB18-93DA40DD748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ΜΠΙΤΖΟΥ</t>
      </text>
    </comment>
    <comment ref="Y19" authorId="86" shapeId="0" xr:uid="{488D1A0F-2543-4341-8CF5-868F9D09702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ανοίγει το βιογραφικό</t>
      </text>
    </comment>
    <comment ref="FO19" authorId="87" shapeId="0" xr:uid="{0B4F1D8F-BC7E-44F9-A8F3-5D33C4F9AAF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Τον ρωτάμε από κοντά για σημειωσεις που έχει για να ανέβουν στο classter</t>
      </text>
    </comment>
    <comment ref="FO21" authorId="88" shapeId="0" xr:uid="{C02EF64A-A333-4C48-BE61-25ED668FE2E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Την ρωτάμε όταν έρθει</t>
      </text>
    </comment>
    <comment ref="B23" authorId="89" shapeId="0" xr:uid="{C3AF277E-59D3-47DD-A19C-D1F973929D4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FO23" authorId="90" shapeId="0" xr:uid="{F79CE449-C78D-489A-9297-C766DB2108B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Ρωτάμε τον κύριο Κουμάκη αν έχει δώσει σημειώσεις και μπορούμε να ανεβάσουμε στο classter</t>
      </text>
    </comment>
    <comment ref="FO24" authorId="91" shapeId="0" xr:uid="{6AB0E470-104F-439D-8C53-8CBAAE6D615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Να ρωτήσω από κοντά αν έχει κάτι για να ανεβάσουμε στην θεωρία</t>
      </text>
    </comment>
    <comment ref="B31" authorId="92" shapeId="0" xr:uid="{6873F63B-BB6F-43BA-A182-35F94C559C7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D31" authorId="93" shapeId="0" xr:uid="{D7F41219-C5FF-4117-8EED-026D05EFF7A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ΤΕΛΙΩΣΕΙ ΑΠΌ ΜΑΡΤΙΟ</t>
      </text>
    </comment>
    <comment ref="FO40" authorId="94" shapeId="0" xr:uid="{4ED6A3C4-44AC-4E90-AD02-38BE45F428D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Τον ρωτάμε από κοντά για σημειώσεις αν έχει</t>
      </text>
    </comment>
    <comment ref="FO41" authorId="95" shapeId="0" xr:uid="{5486CBDC-9199-485E-A3CA-1B6DF90EAE2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Τον ρωτάμε από κοντά για σημειώσεις αν έχει</t>
      </text>
    </comment>
    <comment ref="B42" authorId="96" shapeId="0" xr:uid="{F3ED3D8D-AAF0-4A9F-B1F9-CEFF12FE806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B43" authorId="97" shapeId="0" xr:uid="{22CBB186-5D4E-4FE8-9365-D3AE94201AD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tc={8D264B94-6D74-4B9F-AA6A-39A8117A2E97}</author>
    <author>tc={7BF99C2B-423B-46BC-8F0A-EB17969ED5D8}</author>
    <author>tc={64C1A887-3EEF-4AA3-BF12-3058260AC136}</author>
    <author>tc={0017F96B-6FCB-4C21-93E6-FDCA2786A4C1}</author>
    <author>tc={80C024AC-8CB3-4EB4-AF48-B231D3E4DFDD}</author>
    <author>tc={46FDAA2E-F48E-47CE-B28D-746221289F00}</author>
    <author>tc={ABA077B6-0602-459D-8E33-0C5AD7F0DB11}</author>
    <author>tc={BBAF12DD-1CAE-4BC9-9F76-F1D2DCEDED77}</author>
    <author>tc={CB98F95A-031F-4629-90BC-088848B67205}</author>
    <author>tc={1EFC8F7F-8FBF-4C94-AE16-2CA462A6E2AE}</author>
    <author>tc={8809D546-3D33-4703-8DA6-161EFC0CF27D}</author>
    <author>tc={968C5268-FAEE-426F-8491-467D7EE14C37}</author>
    <author>tc={9D3EA497-38DB-4F4A-AC40-1F9F79782869}</author>
    <author>tc={785B7F77-4827-49E8-8CA1-BB8EC6CB7131}</author>
    <author>tc={3BAF1B11-732B-426F-843F-BA57217661A0}</author>
    <author>tc={6457F103-D5E2-4DC8-9609-EC54CDD30081}</author>
    <author>tc={AA641794-D87C-4583-A8B1-7FBD762B75D2}</author>
    <author>tc={7BC97F88-8C75-40B2-8A1B-D12F85F15B88}</author>
    <author>tc={10520593-9EC3-4387-BF91-63256A37DB00}</author>
    <author>tc={4FE3DC1E-D1D9-4202-A898-F766E52C9F31}</author>
    <author>tc={5F1CCDB2-3F0C-4EDE-9AC6-2DDE08F2A051}</author>
    <author>tc={225F518A-D7D2-4053-A92F-D6479175F1F1}</author>
    <author>tc={BED47151-C1C6-4D2F-88FA-4DF65F124224}</author>
    <author>tc={CCABB7E5-BF3C-4F5A-9933-E44C1FB30D5A}</author>
    <author>tc={4DC0D904-72CE-4120-9D8E-35764F29A239}</author>
    <author>tc={27580A12-1262-4CD1-834A-DDBB0C24280A}</author>
    <author>tc={A0A50BEC-EACB-4B9A-AD0F-1B9926B8D1F1}</author>
    <author>tc={5F38E978-C701-4D33-A09A-7AC740FBE530}</author>
    <author>tc={C5BE5172-8CB5-4A0B-B609-224C0AD00D1E}</author>
    <author>tc={E6AD0C7E-EA24-4A95-86F1-5F18C5E595B5}</author>
    <author>tc={0718E65E-B941-4B1F-9BD2-525DB2BF8F67}</author>
    <author>tc={6E2441CF-D00F-4B40-8D15-1868D5337CB2}</author>
    <author>tc={A01A2508-6175-4CD6-9CDF-BFE7C6E38F0A}</author>
    <author>tc={421233A7-EE98-48F3-8CEA-E7C5514F70F1}</author>
    <author>tc={1AFE87E8-EA10-44F9-8295-AF283E5312B5}</author>
    <author>tc={AC2DA7A0-5316-4EC8-B013-43E7329FDE14}</author>
    <author>tc={13DD60A9-36EF-47F2-81CD-1AA5BDA43A8F}</author>
    <author>tc={EBA466AD-BA5A-469B-949E-7AD4E06BC786}</author>
    <author>tc={D7AEE8E0-DEB2-49BD-B5A0-A9CA02F2B104}</author>
    <author>tc={9B53525A-FBC5-4D95-AD7C-9B1089959388}</author>
    <author>tc={637C7269-3E89-4973-8A99-CCC9B51B6648}</author>
    <author>tc={8DF00113-6763-4B0A-84CC-80668E133BEE}</author>
    <author>tc={C5CAE7A4-AFCE-4ACB-BA41-7DD776A79F6E}</author>
    <author>tc={8319E132-1EB7-451D-948F-E18C59BE77C7}</author>
    <author>tc={F7A4F8AD-95AB-4F84-ACFF-A9E7C272BB56}</author>
    <author>tc={3C50D292-7A15-4A23-9C97-F0D6C20FA9E9}</author>
    <author>tc={81C9CD74-C8B0-4214-8F15-2E03CEE94A29}</author>
    <author>tc={D982C810-0E81-4823-98CD-C058CF0CE185}</author>
    <author>tc={100A01FC-1F9B-4FD0-80F1-EF321E62A4C5}</author>
    <author>tc={9BDE52E2-426F-443B-8BA4-4CBFB160210D}</author>
    <author>tc={E7ED2275-BE19-463B-B9CE-AF6E9C78A44F}</author>
    <author>tc={0FA39DB3-21A8-4838-B31C-DCEC1D62B1EF}</author>
    <author>tc={C446B20B-68F8-4BAB-AC65-99B5C2B9FB3A}</author>
    <author>tc={CBC261FB-1FE2-4CD8-B6DD-197FAF43EAA1}</author>
    <author>tc={DAD7439C-D56B-478C-953E-18FD1FC17822}</author>
    <author>tc={21AC80CB-BA40-4EA6-AC9B-EC6193791E58}</author>
  </authors>
  <commentList>
    <comment ref="A3" authorId="0" shapeId="0" xr:uid="{8D264B94-6D74-4B9F-AA6A-39A8117A2E9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ΈΧΕΙ ΠΑΡΕΙ ΠΙΝΑΚΙΔΑ</t>
      </text>
    </comment>
    <comment ref="BI3" authorId="1" shapeId="0" xr:uid="{7BF99C2B-423B-46BC-8F0A-EB17969ED5D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ΘΑ ΔΩΣΕΙ ΠΑΝΕΛΛΗΝΙΕΣ ΚΑΙ ΔΕΝ ΘΕΛΕΙ ΝΑ ΠΑΡΑΚΟΛΟΥΘΗΣΕΙ ΤΗΝ ΣΧΟΛΗ ΠΛΕΩΝ
Απάντηση:
    ΕΣΩΤΕΡΙΚΗ ΑΡΧΙΤΕΚΝΟΝΙΚΗ ΔΙΑΚΟΣΜΗΣΗ ΚΑΙ ΣΧΕΔΙΑΣΜΟΣ ΑΝΤΙΚΕΙΜΕΝΩΝ </t>
      </text>
    </comment>
    <comment ref="BM3" authorId="2" shapeId="0" xr:uid="{64C1A887-3EEF-4AA3-BF12-3058260AC1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staurianou.dimitra@gmail.com</t>
      </text>
    </comment>
    <comment ref="D4" authorId="3" shapeId="0" xr:uid="{0017F96B-6FCB-4C21-93E6-FDCA2786A4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ΕΙΧΕ ΠΕΘΑΝΕΙ Η ΓΙΑΓΙΑ ΤΗΣ ΤΗΝ ΕΒΔΟΜΑΔΑ 19-23/01/2026 ΚΑΙ ΔΕΝ ΜΠΟΡΟΥΣΕ ΝΑ ΕΡΧΕΤΑΙ</t>
      </text>
    </comment>
    <comment ref="BN4" authorId="4" shapeId="0" xr:uid="{80C024AC-8CB3-4EB4-AF48-B231D3E4DFD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6936130997 ΤΗΛΕΦΩΝΟ ΜΑΜΑΣ</t>
      </text>
    </comment>
    <comment ref="A5" authorId="5" shapeId="0" xr:uid="{46FDAA2E-F48E-47CE-B28D-746221289F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D5" authorId="6" shapeId="0" xr:uid="{ABA077B6-0602-459D-8E33-0C5AD7F0DB1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ΔΟΥΛΕΥΕΙ ΚΑΙ ΔΕΝ ΤΟΝ ΑΦΗΝΟΥΝ ΝΑ ΦΥΓΕΙ ΑΠΌ ΤΗΝ ΔΟΥΛΕΙΑ
Απάντηση:
    ΕΙΜΑΣΤΕ ΕΝΗΜΕΡΟΙ ΓΙΑ ΤΙΣ ΑΠΟΥΣΙΕΣ</t>
      </text>
    </comment>
    <comment ref="F5" authorId="7" shapeId="0" xr:uid="{BBAF12DD-1CAE-4BC9-9F76-F1D2DCEDED7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saloustroua@gmail.com EMAIL ΜΑΜΑΣ - ΣΑΛΟΥΣΤΡΟΥ ΕΛΕΥΘΕΡΙΑ</t>
      </text>
    </comment>
    <comment ref="A6" authorId="8" shapeId="0" xr:uid="{CB98F95A-031F-4629-90BC-088848B6720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D6" authorId="9" shapeId="0" xr:uid="{1EFC8F7F-8FBF-4C94-AE16-2CA462A6E2A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ΠΗΓΕ ΣΤΗΝ ΑΘΗΝΑ ΤΗΝ ΕΒΔΟΜΑΔΑ 17-22, ΚΑΙ ΓΙΑ ΑΥΤΌ ΕΚΑΝΕ ΤΙΣ ΑΠΟΥΣΙΕΣ</t>
      </text>
    </comment>
    <comment ref="A7" authorId="10" shapeId="0" xr:uid="{8809D546-3D33-4703-8DA6-161EFC0CF27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ΠΑΡΕΙ ΠΙΝΑΚΙΔΑ</t>
      </text>
    </comment>
    <comment ref="D10" authorId="11" shapeId="0" xr:uid="{968C5268-FAEE-426F-8491-467D7EE14C3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ΠΡΟΒΛΗΜΑ ΜΕ ΤΟΝ ΑΝΤΡΑ ΤΗΣ ΚΑΙ ΔΕΝ ΜΠΟΡΕΙ ΝΑ ΕΡΧΕΤΑΙ ΚΑΙ ΜΑΛΛΟΝ ΘΑ ΔΙΑΚΟΨΕΙ ΚΙΟΛΑΣ</t>
      </text>
    </comment>
    <comment ref="F10" authorId="12" shapeId="0" xr:uid="{9D3EA497-38DB-4F4A-AC40-1F9F7978286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sofia1129@yahoo.gr</t>
      </text>
    </comment>
    <comment ref="G10" authorId="13" shapeId="0" xr:uid="{785B7F77-4827-49E8-8CA1-BB8EC6CB713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ΤΟ ΣΗΚΩΣΕ ΓΙΑ ΝΑ ΜΙΛΗΣΟΥΜΕ </t>
      </text>
    </comment>
    <comment ref="BU11" authorId="14" shapeId="0" xr:uid="{3BAF1B11-732B-426F-843F-BA57217661A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αντιστοιχει σε συνδρομητη</t>
      </text>
    </comment>
    <comment ref="D12" authorId="15" shapeId="0" xr:uid="{6457F103-D5E2-4DC8-9609-EC54CDD3008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ΨΑΧΝΕΙ ΓΙΑ ΔΟΥΛΕΙΑ ΚΑΙ ΚΟΥΡΑΖΕΤΑΙ ΓΙΑ ΑΥΤΌ ΔΕΝ ΕΡΧΕΤΑΙ </t>
      </text>
    </comment>
    <comment ref="G12" authorId="16" shapeId="0" xr:uid="{AA641794-D87C-4583-A8B1-7FBD762B75D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ΤΟ ΣΗΚΩΣΕ ΓΙΑ ΝΑ ΜΙΛΗΣΟΥΜΕ</t>
      </text>
    </comment>
    <comment ref="BZ14" authorId="17" shapeId="0" xr:uid="{7BC97F88-8C75-40B2-8A1B-D12F85F15B8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mihalispsa@windowslive.com</t>
      </text>
    </comment>
    <comment ref="D15" authorId="18" shapeId="0" xr:uid="{10520593-9EC3-4387-BF91-63256A37DB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ΕΛΕΙΠΕ ΓΙΑΤΙ ΕΧΕΙ ΣΕΜΙΝΑΡΙΟ ΚΑΙ ΕΧΑΣΕ ΤΗΝ ΜΠΑΛΑ ΓΙΑΤΙ ΕΧΕΙ ΚΕΝΑ.
Απάντηση:
    ΨΑΧΝΕΙ ΣΠΙΤΙ ΚΑΙ ΔΟΥΛΕΥΕΙ ΚΑΙ ΤΑΥΤΟΧΡΟΝΑ ΚΑΙ ΝΙΩΘΕΙ ΠΙΕΣΜΕΝΗ ΚΑΙ ΔΕΝ ΜΠΟΡΕΙ ΝΑ ΑΠΟΔΩΣΕΙ</t>
      </text>
    </comment>
    <comment ref="G15" authorId="19" shapeId="0" xr:uid="{4FE3DC1E-D1D9-4202-A898-F766E52C9F3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ΤΟ ΣΗΚΩΣΕ ΓΙΑ ΝΑ ΜΙΛΗΣΟΥΜΕ</t>
      </text>
    </comment>
    <comment ref="F18" authorId="20" shapeId="0" xr:uid="{5F1CCDB2-3F0C-4EDE-9AC6-2DDE08F2A0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sofia.krous@gmail.com</t>
      </text>
    </comment>
    <comment ref="F19" authorId="21" shapeId="0" xr:uid="{225F518A-D7D2-4053-A92F-D6479175F1F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eugeniapetrogiannaki15@gmail.com</t>
      </text>
    </comment>
    <comment ref="G19" authorId="22" shapeId="0" xr:uid="{BED47151-C1C6-4D2F-88FA-4DF65F12422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ΜΟΥ ΤΟ ΚΛΕΙΝΕΙ ΚΑΙ ΔΕΝ ΑΠΑΝΤΑ ΣΕ EMAIL</t>
      </text>
    </comment>
    <comment ref="BK19" authorId="23" shapeId="0" xr:uid="{CCABB7E5-BF3C-4F5A-9933-E44C1FB30D5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Στέλεχος Διοίκησης και Οικονομίας</t>
      </text>
    </comment>
    <comment ref="D20" authorId="24" shapeId="0" xr:uid="{4DC0D904-72CE-4120-9D8E-35764F29A23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ΗΤΑΝ ΑΡΡΩΣΤΗ ΣΤΟ ΝΟΣΟΚΟΜΕΙΟ ΓΙΑ ΑΥΤΌ ΔΕΝ ΕΙΧΕ ΕΡΘΕΙ ΔΕΝ ΕΧΕΙ ΚΑΝΕΝΑ ΠΡΟΒΛΗΜΑ</t>
      </text>
    </comment>
    <comment ref="F21" authorId="25" shapeId="0" xr:uid="{27580A12-1262-4CD1-834A-DDBB0C24280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stampouli_a@windowslive.com</t>
      </text>
    </comment>
    <comment ref="BI21" authorId="26" shapeId="0" xr:uid="{A0A50BEC-EACB-4B9A-AD0F-1B9926B8D1F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ΘΕΜΑ ΥΓΕΙΑΣ ΧΡΕΙΑΖΕΤΑΙ ΕΞΕΤΑΣΕΙΣ ΚΑΙ ΔΕΝ ΘΑ ΜΠΟΡΕΣΕΙ ΝΑ ΕΊΝΑΙ ΣΥΓΚΕΝΤΡΩΜΕΝΗ, ΘΑ ΤΟ ΔΕΙ ΑΠΌ ΤΗΝ ΝΕΑ ΧΡΟΝΙΑ ΑΝ ΘΑ ΜΠΟΡΕΣΕΙ ΝΑ ΤΟ ΠΑΡΑΚΟΛΟΥΘΗΣΕΙ.
Απάντηση:
    ΣΤΕΛΕΧΟΣ ΔΙΟΙΚΗΣΗΣ ΚΑΙ ΟΙΚΟΝΟΜΙΑΣ</t>
      </text>
    </comment>
    <comment ref="BM21" authorId="27" shapeId="0" xr:uid="{5F38E978-C701-4D33-A09A-7AC740FBE53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voulatziraki.vt@gmail.com</t>
      </text>
    </comment>
    <comment ref="D23" authorId="28" shapeId="0" xr:uid="{C5BE5172-8CB5-4A0B-B609-224C0AD00D1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 ΚΑΙ ΘΑ ΤΗΝ ΑΦΗΣΟΥΜΕ ΝΑ ΜΕΙΝΕΙ ΣΤΟ ΤΕΛΟΣ ΑΠΌ ΑΠΟΥΣΙΕΣ ΔΙΟΤΙ ΔΕΝ ΕΙΧΕ ΠΑΡΕΙ ΑΠΟΦΑΣΗ.</t>
      </text>
    </comment>
    <comment ref="F23" authorId="29" shapeId="0" xr:uid="{E6AD0C7E-EA24-4A95-86F1-5F18C5E595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xaralaeva30@yahoo.com</t>
      </text>
    </comment>
    <comment ref="AH23" authorId="30" shapeId="0" xr:uid="{0718E65E-B941-4B1F-9BD2-525DB2BF8F6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m.fygetaki@gmail.com</t>
      </text>
    </comment>
    <comment ref="AH24" authorId="31" shapeId="0" xr:uid="{6E2441CF-D00F-4B40-8D15-1868D5337CB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manbouch@yahoo.com</t>
      </text>
    </comment>
    <comment ref="AH25" authorId="32" shapeId="0" xr:uid="{A01A2508-6175-4CD6-9CDF-BFE7C6E38F0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eleftheriatzanaki@gmail.com</t>
      </text>
    </comment>
    <comment ref="AO25" authorId="33" shapeId="0" xr:uid="{421233A7-EE98-48F3-8CEA-E7C5514F70F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ΚΑΝΟΝΙΣΑΜΕ ΜΕ ΤΗΝ ΤΖΑΝΑΚΗ ΝΑ ΒΑΛΕΙ 15 ΩΡΕΣ ΤΟΝ ΙΑΝΟΥΑΡΙΟ ΑΝΤΙΣ 20 ΠΟΥ ΕΒΑΛΕ, ΔΙΟΤΙ ΤΟΝ ΔΕΚΕΜΒΡΙΟ ΕΒΑΛΕ 20 ΩΡΕΣ ΑΝΤΙΣ 15 ΩΡΕΣ ΠΟΥ ΕΠΡΕΠΕ ΝΑ ΒΑΛΕΙ</t>
      </text>
    </comment>
    <comment ref="BN25" authorId="34" shapeId="0" xr:uid="{1AFE87E8-EA10-44F9-8295-AF283E5312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6946110462 ΤΗΛΕΦΩΝΟ ΜΗΤΕΡΑΣ</t>
      </text>
    </comment>
    <comment ref="D31" authorId="35" shapeId="0" xr:uid="{AC2DA7A0-5316-4EC8-B013-43E7329FDE1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ΜΠΟΡΕΙ ΝΑ ΣΥΝΕΧΙΣΕΙ Η ΣΤΡΑΤΑΚΗ ΓΙΑΤΙ ΤΟ ΠΡΟΓΡΑΜΜΑ ΤΗΣ ΔΕΝ ΕΊΝΑΙ ΌΠΩΣ ΥΠΟΛΟΓΙΖΕ, ΚΡΑΤΑΜΕ ΠΡΟΚΑΤΑΒΟΛΗ ΚΑΙ ΒΛΕΠΟΥΜΕ ΑΝ ΘΑ ΣΥΝΕΧΙΣΕΙ ΓΙΑ ΑΡΓΟΤΕΡΑ, ΆΛΛΟ Ή ΠΑΡΑ ΆΛΛΟ ΕΤΟΣ.</t>
      </text>
    </comment>
    <comment ref="F31" authorId="36" shapeId="0" xr:uid="{13DD60A9-36EF-47F2-81CD-1AA5BDA43A8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mariastrataki9111984@gmail.com</t>
      </text>
    </comment>
    <comment ref="BK31" authorId="37" shapeId="0" xr:uid="{EBA466AD-BA5A-469B-949E-7AD4E06BC78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ΕΧΕΙ ΠΛΗΡΩΣΕΙ ΑΚΟΜΑ… ΕΓΓΡΑΦΗ</t>
      </text>
    </comment>
    <comment ref="D34" authorId="38" shapeId="0" xr:uid="{D7AEE8E0-DEB2-49BD-B5A0-A9CA02F2B10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ΠΥΡΟΣΒΕΣΤΗΣ ΚΑΙ ΠΟΛΛΕΣ ΦΟΡΕΣ ΕΧΕΙ ΥΠΗΡΕΣΙΑ ΚΑΙ ΓΙΑ ΑΥΤΌ ΔΕΝ ΠΡΟΛΑΒΕΝΕΙ ΝΑ ΜΠΕΙ ΝΑ ΠΑΡΑΚΟΛΟΥΘΗΣΕΙ.</t>
      </text>
    </comment>
    <comment ref="D35" authorId="39" shapeId="0" xr:uid="{9B53525A-FBC5-4D95-AD7C-9B108995938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ΕΧΟΥΝ ΕΝΗΜΕΡΩΣΕΙ ΟΙ ΚΑΘΗΓΗΤΡΙΕΣ ΠΩΣ ΕΊΝΑΙ ΣΤΟ ΕΛΑΙΟΥΡΓΙΟ ΚΑΙ ΔΕΝ ΘΑ ΜΠΟΡΕΣΕΙ ΝΑ ΠΑΡΑΚΟΛΟΥΘΕΙ ΑΛΛΑ ΕΧΕΙ ΔΥΝΑΤΟΤΗΤΕΣ ΟΠΟΤΕ ΕΊΝΑΙ ΕΝΤΑΞΕΙ ΚΑΙ Ας ΜΗΝ ΑΠΑΝΤΑΕΙ ΣΕ EMAIL ΚΑΙ ΤΗΛΕΦΩΝΑ</t>
      </text>
    </comment>
    <comment ref="F35" authorId="40" shapeId="0" xr:uid="{637C7269-3E89-4973-8A99-CCC9B51B664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dimokratis11@gmail.com</t>
      </text>
    </comment>
    <comment ref="BK36" authorId="41" shapeId="0" xr:uid="{8DF00113-6763-4B0A-84CC-80668E133BE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ΕΧΕΙ ΠΛΗΡΩΣΕΙ ΑΚΟΜΑ… ΕΓΓΡΑΦΗ</t>
      </text>
    </comment>
    <comment ref="D39" authorId="42" shapeId="0" xr:uid="{C5CAE7A4-AFCE-4ACB-BA41-7DD776A79F6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ΕΧΕΙ ΕΝΗΜΕΡΩΣΕΙ ΠΩΣ ΘΑ ΛΕΙΠΕΙ ΕΩΣ 11/11 ΓΙΑ ΕΚΤΑΚΤΕΣ ΔΟΥΛΕΙΕΣ ΕΚΤΟΣ ΗΡΑΚΛΕΙΟΥ ΚΑΙ ΔΕΝ ΘΑ ΜΠΟΡΕΙ ΝΑ ΠΑΡΑΚΟΛΟΥΘΕΙ</t>
      </text>
    </comment>
    <comment ref="BN39" authorId="43" shapeId="0" xr:uid="{8319E132-1EB7-451D-948F-E18C59BE77C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2891032608</t>
      </text>
    </comment>
    <comment ref="D48" authorId="44" shapeId="0" xr:uid="{F7A4F8AD-95AB-4F84-ACFF-A9E7C272BB5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ΘΑ ΚΑΝΕΙ ΕΓΧΕΙΡΗΣΗ ΓΙΑ ΚΑΚΟ ΛΟΓΟ ΚΑΙ ΘΑ ΔΙΚΑΙΟΛΟΓΗΘΟΥΝ ΟΙ ΑΠΟΥΣΙΕΣ</t>
      </text>
    </comment>
    <comment ref="G52" authorId="45" shapeId="0" xr:uid="{3C50D292-7A15-4A23-9C97-F0D6C20FA9E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6936130997 ΣΜΑΡΑΓΔΗ ΣΤΕΛΛΑ ΜΑΜΑ ΧΡΗΣΤΑΚΗΣ ΜΑΡΙΛΕΝΑ</t>
      </text>
    </comment>
    <comment ref="G53" authorId="46" shapeId="0" xr:uid="{81C9CD74-C8B0-4214-8F15-2E03CEE94A2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6936130997 ΣΜΑΡΑΓΔΗ ΣΤΕΛΛΑ ΜΑΜΑ ΧΡΗΣΤΑΚΗΣ ΜΑΡΙΛΕΝΑ</t>
      </text>
    </comment>
    <comment ref="D56" authorId="47" shapeId="0" xr:uid="{D982C810-0E81-4823-98CD-C058CF0CE18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ΜΠΟΡΕΙ ΝΑ ΕΡΧΕΤΑΙ ΠΑΝΤΑ ΓΙΑΤΙ ΔΟΥΛΕΥΕΙ ΌΜΩΣ ΕΧΕΙ ΕΙΔΟΠΟΙΕΙΣΕΙ</t>
      </text>
    </comment>
    <comment ref="D57" authorId="48" shapeId="0" xr:uid="{100A01FC-1F9B-4FD0-80F1-EF321E62A4C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ΘΑ ΜΕΙΝΕΙ ΑΛΛΑ ΗΤΑΝ ΑΡΡΩΣΤΗ ΚΑΙ ΓΙΑ ΜΙΑ ΕΒΔΟΜΑΔΑ ΕΠΙΣΗΣ ΕΝΗΜΕΡΩΣΕ 08-12/12/2025 ΌΤΙ ΔΕΝ ΘΑ ΜΠΟΡΕΣΕΙ ΝΑ ΕΡΧΕΤΑΙ</t>
      </text>
    </comment>
    <comment ref="D63" authorId="49" shapeId="0" xr:uid="{9BDE52E2-426F-443B-8BA4-4CBFB160210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ΕΊΝΑΙ ΣΤΗΝ ΑΘΗΝΑ 15-19/12/2025 ΟΠΟΤΕ ΔΙΚΑΙΟΛΟΓΗΜΕΝΕΣ ΟΙ ΑΠΟΥΣΙΕΣ</t>
      </text>
    </comment>
    <comment ref="D69" authorId="50" shapeId="0" xr:uid="{E7ED2275-BE19-463B-B9CE-AF6E9C78A44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ΜΕ ΕΙΧΕ ΕΝΗΜΕΡΩΣΕΙ ΣΤΙΣ ΑΡΧΕΣ ΌΤΙ ΔΟΥΛΕΥΕ ΓΙΑ ΑΥΤΌ ΔΕΝ ΜΠΟΡΟΥΣΕ ΝΑ ΕΡΘΕΙ ΌΜΩΣ ΤΟ ΣΥΝΕΧΙΖΕΙ...ΤΟΝ ΚΑΛΩ ΜΟΥ ΕΙΠΕ ΠΩΣ ΔΕΝ ΕΧΕΙ ΜΕΤΑΦΟΡΙΚΟ ΚΑΙ ΠΩΣ ΘΑ ΕΡΧΕΤΑΙ ΑΠΌ ΕΔΏ ΚΑΙ ΠΕΡΑ ΚΑΝΟΝΙΚΑ...ΟΜΩΣ ΠΑΛΙ ΚΑΝΕΙ ΤΑ ΙΔΙΑ</t>
      </text>
    </comment>
    <comment ref="D71" authorId="51" shapeId="0" xr:uid="{0FA39DB3-21A8-4838-B31C-DCEC1D62B1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ΜΑΣ ΕΧΕΙ ΕΝΗΜΕΡΩΣΕΙ ΠΩΣ ΔΟΥΛΕΥΕΙ ΚΑΙ ΕΡΧΕΤΑΙ ΟΠΟΤΕ ΠΡΟΛΑΒΕΝΕΙ, ΑΛΛΑ ΚΑΝΕΙ ΠΟΛΛΕΣ ΚΑΙ ΔΙΑΦΟΡΕΤΙΚΕΣ ΕΡΓΑΣΙΕΣ</t>
      </text>
    </comment>
    <comment ref="D72" authorId="52" shapeId="0" xr:uid="{C446B20B-68F8-4BAB-AC65-99B5C2B9FB3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ΔΟΥΛΕΥΕ ΣΤΙΣ ΑΡΧΕΣ ΚΑΙ ΓΙΑ ΑΥΤΌ ΔΕΝ ΕΡΧΟΤΑΝ ΚΑΙ ΜΕ ΕΙΧΕ ΕΝΗΜΕΡΩΣΕΙ</t>
      </text>
    </comment>
    <comment ref="C89" authorId="53" shapeId="0" xr:uid="{CBC261FB-1FE2-4CD8-B6DD-197FAF43EAA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C104" authorId="54" shapeId="0" xr:uid="{DAD7439C-D56B-478C-953E-18FD1FC1782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 ref="C105" authorId="55" shapeId="0" xr:uid="{21AC80CB-BA40-4EA6-AC9B-EC6193791E5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ΕΧΕΙ ΣΤΑΜΑΤΗΣΕΙ</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<sst xmlns="http://schemas.openxmlformats.org/spreadsheetml/2006/main" count="15623" uniqueCount="3813">
  <si>
    <t>ΑΡΙΘΜΟΣ ΦΥΛΛΟΥ</t>
  </si>
  <si>
    <t>ΟΝΟΜΑΣΙΑ</t>
  </si>
  <si>
    <t>ΠΕΡΙΓΡΑΦΗ</t>
  </si>
  <si>
    <t>Στο φύλλο περιέχονται πληροφορίες που είναι χρήσιμες για την κατανόηση του συγκεκριμένου excel αρχείου</t>
  </si>
  <si>
    <t>ΘΕΜΑΤΑ ΠΡΟΣ ΕΠΙΛΥΣΗ</t>
  </si>
  <si>
    <t>Στο φύλλο περιέχονται παρατηρήσεις που είτε δεν αφορούν το άτομο που τις λαμβάνει, είτε δεν είναι για άμεση διευθέτηση για να μην ξεχαστούν.</t>
  </si>
  <si>
    <t>ΚΑΤΑΣΤΑΣΗ ΣΠΟΥΔΑ ΚΑΙ ΕΚΠΑΙΔ</t>
  </si>
  <si>
    <t>ΕΚΔΗΛΩΣΕΙΣ ΕΝΔΙΑΦΕΡΟΝΤΟΣ</t>
  </si>
  <si>
    <t>ECLASS</t>
  </si>
  <si>
    <t>Στο φύλλο eclass, περιέχονται πληροφορίες όπως οδηγίες για eclass, λογαριασμοί εκπαιδευτών και εκπαιδευομένων, οδηγίες για πρώτη σύνδεση, πεδίο για αντιγραφή κλπ</t>
  </si>
  <si>
    <t>AMADEUS</t>
  </si>
  <si>
    <t xml:space="preserve">Στο φύλλο AMADEUS περιέχονται πληροφορίες για ότι αφορά το πρόγραμμα. πχ για λογαρισμούς κλπ </t>
  </si>
  <si>
    <t>ΧΡΗΣΙΜΑ ΤΗΛΕΦΩΝΑ</t>
  </si>
  <si>
    <t>Στο φύλλο αυτό περιέχονται πληροφορίες για τα τηλέφωνα ΔΣ, μαστόρων, καθαριότητας κλπ</t>
  </si>
  <si>
    <t>ΜΑΘΗΜΑΤΑ ΕΞΑΜΗΝΩΝ</t>
  </si>
  <si>
    <t xml:space="preserve">Στο φύλλο περιέονται πληροφορίες για τους καθηγητές και τα προσοντα που χρειάζεται να έχουν  για το χειμερινό και εαρινό εξάμηνο για να προγραμματίσουμε ποιους θα έχουμε </t>
  </si>
  <si>
    <t>ΑΠΟΥΣΙΕΣ ΕΞΑΜΗΝΩΝ</t>
  </si>
  <si>
    <t>Στο φύλλο περιέονται πληροφορίες για το όριο απουσιών που έχει το κάθε ένα μάθημα ανά εξάμηνο χειμερινό και εαρινό και αναρτάτε στα έγγραφα και στο eclass</t>
  </si>
  <si>
    <t>ΠΛΗΡΟΦΟΡΙΕΣ ΓΙΑ ΕΝΗΜΕΡΩΣΗ</t>
  </si>
  <si>
    <t>Στο φύλλο περιέχονται πληροφορίες για να τις συναντίσεις με σκοπό την ενημέρωση για τα διάφορά προγράμματα της ΙΣΑΕΚ</t>
  </si>
  <si>
    <t>ΠΡΟΩΘΗΣΗ</t>
  </si>
  <si>
    <t>Στο φύλλο αυτό περιέχονται πληροφορίες για διάφορες ενέργιες που έχουν γίνει με σκοππό την προώθηση</t>
  </si>
  <si>
    <t>ΒΙΒΛΙΟ ΩΡΕΣ ΕΚΠΑΙΔΕΥΤΩΝ ΓΙΑ ΑΝΤ</t>
  </si>
  <si>
    <t>Στο φύλλο αυτό περιέχονται πίνακες οι οποίοι αντιγράφονται σε word και μετά γυρίζονται σε κάθετο προσανατολισμό και εκτυπώνονται.</t>
  </si>
  <si>
    <t>ΠΗΓΑΣΟΣ ΕΠΙΚΟΙΝΩΝΙΑ</t>
  </si>
  <si>
    <t>Στο φύλλο ΠΗΓΑΣΟΣ ΕΠΙΚΟΙΝΩΝΙΑ περιέχονται πληροφορίες από όλους τους εργαζόμενους στον ΠΗΓΑΣΟ (email και τηλέφωνα)</t>
  </si>
  <si>
    <t>ΠΡΟΧΕΙΡΟ</t>
  </si>
  <si>
    <t>Το φύλλο αυτό περιέχονται όλα τα φύλλα που είχαν δημιουργηθεί για το εξάμηνο 2025Α και έχουν αντιγραφεί εκεί</t>
  </si>
  <si>
    <t>2025Α</t>
  </si>
  <si>
    <t>Το φύλλο αυτό χρησιμοποιείτε ως πρόχειρο και γράφονται μέσα όσα χρειάζονται βραχυπρόθεσμα και όχι για μεγάλο χρονικό διάστημα</t>
  </si>
  <si>
    <t>ΗΜΕΡΟΜΗΝΙΑ</t>
  </si>
  <si>
    <t>ΠΑΡΑΤΗΡΗΣΕΙΣ- ΣΧΟΛΙΑ</t>
  </si>
  <si>
    <t>ΤΙ ΑΦΟΡΆ</t>
  </si>
  <si>
    <t xml:space="preserve">ΠΟΙΟΝ ΑΦΟΡΟΥΝ </t>
  </si>
  <si>
    <t>ΕΞΗΓΗΣΗ ΧΡΩΜΑΤΩΝ</t>
  </si>
  <si>
    <t>Οι σπουδαστές ανάφεραν να έχει ο αυτόματος πολιτής καφέ και σόδα με λεμόνι και άλλα τσάγια για τώρα που ζεστένει ο καιρός</t>
  </si>
  <si>
    <t>ΤΡΟΦΟΔΟΣΙΑ</t>
  </si>
  <si>
    <t>Μαίρη</t>
  </si>
  <si>
    <t>Να βγάζουν οι επιμελητές μια φωτογραφία κάθε εργαστηριακό μάθημα και να ανεβαίνει μια φωτοφραφία στα social media από το τι κάνει το ΙΣΑΕΚ</t>
  </si>
  <si>
    <t>Social Media</t>
  </si>
  <si>
    <t>Μαρία + Σοφία Επιμελήτριες</t>
  </si>
  <si>
    <t>OK έχει γίνει</t>
  </si>
  <si>
    <t>Οι σπουδαστές κ. Μαρκάκη Τρυπάκη Πελαγία έχουν παράπονο πως τα θέματα είναι πολύ συμπτιγμένα και δεν μπορούν να τα δούνε καθαρά για να απαντήσουν</t>
  </si>
  <si>
    <t>ΕΞΕΤΑΣΕΙΣ</t>
  </si>
  <si>
    <r>
      <t>κ.Καθαράκης &amp;</t>
    </r>
    <r>
      <rPr>
        <sz val="11"/>
        <color rgb="FFFF0000"/>
        <rFont val="Aptos Narrow"/>
        <family val="2"/>
        <scheme val="minor"/>
      </rPr>
      <t xml:space="preserve"> </t>
    </r>
    <r>
      <rPr>
        <sz val="11"/>
        <rFont val="Aptos Narrow"/>
        <family val="2"/>
        <scheme val="minor"/>
      </rPr>
      <t>Μέλπω</t>
    </r>
    <r>
      <rPr>
        <sz val="11"/>
        <color theme="1"/>
        <rFont val="Aptos Narrow"/>
        <family val="2"/>
        <charset val="161"/>
        <scheme val="minor"/>
      </rPr>
      <t xml:space="preserve">  (να τα κάνουμε πιο αραιά )</t>
    </r>
  </si>
  <si>
    <t>Η κυρία Μπίτζου θέλει οι αναρτήσεις στα social media να γίνονται όπως ακριβώς τις στέλνει και να μην είναι παιδιάστικες διότι υπονομέυουν το αντικείμενο</t>
  </si>
  <si>
    <t xml:space="preserve">κ.Καθαράκης </t>
  </si>
  <si>
    <t>Η κυρία Μπίτζου θέλει να μάθει τι έγινε με την  κ. Ζαχαριαδάκη για να έχει χρόνο τώρα το Πάσχα εκείνη και η άλλη καθηγήτρια κ. Σκόρδου να προετοιμάσουν υλικό, ανάλογα με το τι συμφωνήθηκε</t>
  </si>
  <si>
    <t>ΕΚΠΑΙΔΕΥΤΕΣ</t>
  </si>
  <si>
    <t>κ.Καθαράκης</t>
  </si>
  <si>
    <t>ΠΡΟΤΑΣΕΙΣ ΓΙΑ ΒΕΛΤΙΩΣΗ</t>
  </si>
  <si>
    <t>Η κυρία Μπίτζου θέλει να δούμε μαζί με την Μέλπω το πρόγραμμα για να κανονιστει</t>
  </si>
  <si>
    <t>ΠΡΟΓΡΑΜΜΑ</t>
  </si>
  <si>
    <t>Μέλπω</t>
  </si>
  <si>
    <t>ΕΊΝΑΙ ΖΗΤΗΜΑΤΑ ΤΑ ΟΠΟΙΑ ΕΊΝΑΙ ΔΙΑΔΙΚΑΣΤΙΚΑ ΚΑΙ ΓΡΑΦΕΙ ΟΔΗΓΙΕΣ ΠΩΣ ΛΥΝΟΝΤΑΙ</t>
  </si>
  <si>
    <t>Ενημερώνουμε την κ. Ζαχαριαδάκη πως θα προσπαθήσουμε να διατηρίσουμε το πρόγραμμα για τα μαθήματα που παραμένουν σε εκείνη ως έχει και αν υπάρξει επείγουσα ανάγκη να αλλάξει κάτι, θα την ενημερώσουμε τις επόμενες μέρες</t>
  </si>
  <si>
    <t xml:space="preserve">Κατερίνα </t>
  </si>
  <si>
    <t xml:space="preserve">Κάλεσε η κυρία Αντωνακάκη Ελένη για να μάθει για Ζαχαριαδάκη επειδή έλειπε την προυγούμενη εβδομάδα </t>
  </si>
  <si>
    <t>ΣΠΟΥΔΑΣΤΕΣ</t>
  </si>
  <si>
    <t xml:space="preserve">Ο κύριος Καθαράκης ανέφερε να κοιτάξουμε ξανά για το mentoring για Linkedln και να προγραμματιστούν συναντίσεις με τον κ. Καθαράκη ή εμάς για την σταδιοδρομία και την δημιουργία βιογραφικού </t>
  </si>
  <si>
    <t>Ο κύριος Καθαράκης ανέφερε να δούμε για δράσεις που θα συμμετέχουν οι σπουδαστές και θα ενισχύσει το βιογραφικό τους</t>
  </si>
  <si>
    <t>ΔΡΑΣΕΙΣ</t>
  </si>
  <si>
    <t>Ο κύριος Καθαράκης ανέφερε να ελεγξώ social media τα δικά μας για απόδοση</t>
  </si>
  <si>
    <t>Μας κάλεσε  κ. Ζωιτού που έχει λογιστικό γραφείο καθώς ενδιαφέρετε για πρακτικάριους. Το γραφείο της είναι Εθνικής Αντιστάσεως και το τηλέφωνο 2810330472</t>
  </si>
  <si>
    <t>ΠΡΑΚΤΙΚΗ</t>
  </si>
  <si>
    <t>κ.Καθαράκης &amp; Μέλπω</t>
  </si>
  <si>
    <t xml:space="preserve">Με κάλέσε η κυρία Καλογεράκη Σύλβια 6937318064 από το αεροδρόμιο για την πρακτικη  της Σμυρνάκης Κωνσταντίνας και θέλει τα δικαιολογητικά, για να δεί πως θα πληρώνεται η κυρία, να ξεκινήσει κλπ. Της έχει στείλει λεει και η Μέλπω email με κάποια στοιχεία (ωράριο και διαθεσιμότητες) </t>
  </si>
  <si>
    <t>Γιώργο Βλαχάκη τον πειράζει να γινεί το μάθημα αντί Δεύτερα να γίνει Παρασκευή</t>
  </si>
  <si>
    <t>Βιογραφικό Αρχιτεκτόνων που ενδιαφέρονται για Εκπαιδευτές να σταλούν στην κ.Μπιτζού</t>
  </si>
  <si>
    <t>Πρόοδους Ζαχαριαδάκη για τα μαθήματα που δεν θα κάνει πλέων. Ποιος θα τα κάνει</t>
  </si>
  <si>
    <t>Κάλεσε η κυρία Στεφανάκη με αριθμό 6972285064 για τεχνικό ή υεύθυνο ασφαλείας για πληροφορίες</t>
  </si>
  <si>
    <t>ΣΕΜΙΝΑΡΙΟ</t>
  </si>
  <si>
    <t>Καλέσε η κυρία Μακράκη 6949194175 και ήθελε να μάθει για το πότε θα πληρωθεί από το σεμινάριο πράσινες δεξιότητες που παρακολούθησε τον Δεκέμβριο</t>
  </si>
  <si>
    <t xml:space="preserve">Μαίρη, Κωνσταντίνα </t>
  </si>
  <si>
    <t>Κάλεσε η Φουναριωτάκη Μαρίνα για σημειώσεις του Κυρλάκη, για εκείνους που έλλειπαν να διαβάσουν. Της είπα να επικοινωνίσει μαζί του μέσω viber και αν έχει κάπου  εδώ σημειώσεις να μας πει και θα τα βρούμε.\</t>
  </si>
  <si>
    <t xml:space="preserve">ΜΑΘΗΜΑΤΑ </t>
  </si>
  <si>
    <t>Να ρωτήσουμε τον Λεωνίδα γιατί ενώ τα αγγλικά και γαλλικά υπάρχουν νσε 2 - 3 τμήματα, το σενάριο βαθμολόγησης μπορεί να κουμπώσει μόνο σε ένα από εκείνα και μετά βγάζει μήνυμα "ΠΡΟΕΙΔΟΠΟΙΗΣΗ - Η περιγραφή υπάρχει ήδη σε άλλο Μάθημα" και δεν κουμπώνει το σενάριο ακόμα και αν πατήσουμε οκ. Ή ακόμα και όταν φτιάξουμε ένα ακόμα σενάριο βαθμολόγησης με το όνομα του μαθήματος</t>
  </si>
  <si>
    <t>CLASSTER</t>
  </si>
  <si>
    <t>Μέλπω, Κατερίνα</t>
  </si>
  <si>
    <t>Να ρωτήσω την Μέλπω για τα μαθήματα που ήταν να γίνουν Πέμπτη βάζω ημερομηνια που έχει πριν την Πέμπτη μάθημα ο εκάστοτε καθηγητ'ης πχ Ζαχαριαδάκη βάζω Τρίτη ακόμα και να το κάνει Δεύτερα είναι σωστό?</t>
  </si>
  <si>
    <t>ΠΡΟΟΔΟΣ</t>
  </si>
  <si>
    <t>Να παραγγείλουμε υλικά για πρόοδο της Παρασκευής, να ζητήσω στην Μέλπω, να δώ την διαδικασία παραγγελίας και να ρωτήσω πότε είναι καλό να παραγγέλνουμε.</t>
  </si>
  <si>
    <t xml:space="preserve">ΠΑΡΑΓΓΕΛΙΑ </t>
  </si>
  <si>
    <t>Βρίσκω διαφορές αρκετές στ αρχείο να πληρωμών το δικό μας και της Νατάσας, να ρωτήσω γιατί</t>
  </si>
  <si>
    <t>ΠΛΗΡΩΜΕΣ</t>
  </si>
  <si>
    <t>Ο Βογιατζής με κάλεσε και είπε θα μου στείλει τα θέματα για Πρόοδο αργά το μεσημέρι και θα μου στείλει και υλικά που θέλει για την Τρίτη</t>
  </si>
  <si>
    <t>Να δημιουρηθεί πρόγραμμα με συναντήσεις με τον κύριο Καθαράκη για να μπορούν να γνωρίζουν και να στείλουμε email</t>
  </si>
  <si>
    <t>MENTORING</t>
  </si>
  <si>
    <t xml:space="preserve">ΓΡΗΓΟΡΑΚΗ ΜΑΡΙΑ για Ζαχαριαδάκη. Το είπανε λεεί στην Μέλπω, αλλα ο κ.Καθαράκης λεεί δεν έδρασε και για αυτό υπάρχει αυτό το πρόβλημα με τους φετινούς που μιλάνε λεεί πλέων και διαστραυρώνουν πληροφορίες </t>
  </si>
  <si>
    <t>κ.Ζαχαριαδάκη</t>
  </si>
  <si>
    <t>Έχω να παραδώσω εργαλείο λείανσης, να ρωτήσω την Μέλπω που τα αποθηκεύουμαι. Μετά να παραδώσω τα τιμολόγια στον κ.Τσικαλάκη</t>
  </si>
  <si>
    <t>ΠΑΡΑΛΛΑΒΗ</t>
  </si>
  <si>
    <t>Μέλπω, κ.Τσικαλακή</t>
  </si>
  <si>
    <t>κυρια Παναγιωτακη θα έρθουν 11 ατομα  10:30 Τετάρτη 30/04/2025 και 28 άτομα Πέμπτη 08/05/2025 θα έρθουν άτομα από το 5 ΕΠΑΛ</t>
  </si>
  <si>
    <t>ΞΕΝΑΓΗΣΗ</t>
  </si>
  <si>
    <t>Κυρλάκης</t>
  </si>
  <si>
    <t>Πέλλα Μαρκάκη Τρυπάκη Ράνια και Αντώνης 8</t>
  </si>
  <si>
    <t>ΕΡΓΑΣΙΕΣ</t>
  </si>
  <si>
    <t>Κατερίνα</t>
  </si>
  <si>
    <t>ΜΑΡΑΓΚΑΚΗ ΕΛΕΝΗ ΝΑ ΔΟΥΜΕ ΠΛΗΡΩΜΕΣ ΜΕ ΤΟ ΛΟΓΙΣΤΗΡΙΟ</t>
  </si>
  <si>
    <t>ΝΑΤΑΣΑ</t>
  </si>
  <si>
    <t xml:space="preserve">Να ρωτήσουμε για πρακτική που να πάνε Σκόρδου και Αδάμης. Αρχιτέντονες </t>
  </si>
  <si>
    <t>ΓΕΩΡΓΙΟΥΔΑΚΗ ΕΛΕΝΗ ΕΊΝΑΙ ΑΡΡΩΣΤΗ ΚΑΙ ΔΕΝ ΘΑ ΕΡΘΕΙ ΝΑ ΕΝΗΜΕΡΩΣΩ ΚΥΡΙΑ ΖΑΧΑΡΙΑΔΑΚΗ, ΝΑ ΡΩΤΗΣΩ ΜΕΛΠΩ ΠΟΤΕ ΘΑ ΔΩΣΕΙ Η ΣΠΟΥΔΑΣΤΡΙΑ</t>
  </si>
  <si>
    <t>ΖΑΧΑΡΙΑΔΑΚΗ και ΜΕΛΠΩ</t>
  </si>
  <si>
    <t>ΒΟΓΙΑΤΖΗΣ, ΚΑΛΟΓΕΡΑΚΗΣ, ΚΟΝΙΔΑΚΗ, (ΣΥΜΒΑΣΕΙΣ) ΤΙΣ ΠΕΡΙΜΕΝΩ ΑΠΌ ΤΟ ΛΟΓΙΣΤΗΡΙΟ</t>
  </si>
  <si>
    <t>2810228932 κύβος βιβλιοπωλίο, για εκτύπωση βιβλίου κ.Μπίτζου</t>
  </si>
  <si>
    <r>
      <rPr>
        <u/>
        <sz val="11"/>
        <rFont val="Aptos Narrow"/>
        <family val="2"/>
        <charset val="161"/>
        <scheme val="minor"/>
      </rPr>
      <t>Να δούμε το ερωτηματολόγιο για τον επαγγελματικό προσανατλλισμό</t>
    </r>
    <r>
      <rPr>
        <u/>
        <sz val="11"/>
        <color theme="10"/>
        <rFont val="Aptos Narrow"/>
        <family val="2"/>
        <charset val="161"/>
        <scheme val="minor"/>
      </rPr>
      <t xml:space="preserve">: </t>
    </r>
    <r>
      <rPr>
        <u/>
        <sz val="11"/>
        <color rgb="FF0070C0"/>
        <rFont val="Aptos Narrow"/>
        <family val="2"/>
        <charset val="161"/>
        <scheme val="minor"/>
      </rPr>
      <t>https://docs.google.com/forms/d/1KR5rHuEoU45OI0MOowae4yZmhL58nxI1ElN6NEFUrY4/edit</t>
    </r>
  </si>
  <si>
    <t>κ. Καθαράκης, Μέλπω</t>
  </si>
  <si>
    <t>Να καλέσω καθηγητές που είναι με τιμολόγιο, να συμφωνήσουμε τις ώρες και να τους πω αν θέλουν να κοψουν τιμολόγιο</t>
  </si>
  <si>
    <t>Στην κ. Κονιδάκη να δώσω την Τετάρτη, την Πρόοδο του Σελιθωμά</t>
  </si>
  <si>
    <t>Να συνεχίσω τις αλλαγές στον Πήγασο για Αρχιτεκτονική Ι και ΙΙ έτος</t>
  </si>
  <si>
    <t>ΠΗΓΑΣΟΣ</t>
  </si>
  <si>
    <t>Να δούμε με τη Μέλπω την μια έξτρα ώρα μηπως κάνουμε τριτη 4ωρο την Ζαχαριαδάκη επειδη ήρθε εχτές και το έλεγε</t>
  </si>
  <si>
    <t xml:space="preserve">Να δούμε στον Πήγασο πήγα να αλλάξω την επόμενη εβδομάδα και είχε μάθημα Παρασκευή η ΑΔΑΜΗΣ και δεν ήξερα αν πρέπει να το σβήσω για να βάλω της κυρίας ΣΚΟΡΔΟΥ λογικά εκείνου ηταν αναπλήρωση </t>
  </si>
  <si>
    <t>Να ρωτήσουμε την κ.Κονιδάκη αν θα μπορούσε να τα κάνει εκ αποστάσεως τα μαθήματα για τους Τεχνικούς Μαγειρικής Τέχνης - Αρχιμάγειρες</t>
  </si>
  <si>
    <t>Κονιδάκη</t>
  </si>
  <si>
    <t>Να κοιτάξουμε τον Σμαραγδάκη αρχιτεκτονικη Β έτος για πληρωμη φεβρουαρίου μας λεειν πως είναι 139 και όχι 130</t>
  </si>
  <si>
    <t>Για ΑΡΕΤΑΚΗ ΚΑΣΙΑΝΗ να κάνει πρακτικη σεπτέμβριο και όχι ιούλιο γίνεται?</t>
  </si>
  <si>
    <t>Να παραγείλουμε υλικά για Πέμπτη Κουμάκη και να δούμε και για Παρασκευή να προγραμματίσουμε Απλαδά</t>
  </si>
  <si>
    <t>Να ρωτήσω την κυρία Κονιδάκη για βαθμούς εργασίας, επειδή φαίνεται περίεργο να είναι ίδιοι βαθμοί σε εργασία και πρόοδο</t>
  </si>
  <si>
    <t>Να δώσω θέματα πο έγραψαν τα κορίτσια το πρωί, στην κ.Ζαχαριαδάκη</t>
  </si>
  <si>
    <t xml:space="preserve">Να δώσω στην Τόνια μια εργασία της NAZE </t>
  </si>
  <si>
    <t xml:space="preserve">Την Τρίτη που θα έρθει ο Βογιατζής να του δώσω τις προόδους του Γιώργου και της Αγγελικής </t>
  </si>
  <si>
    <t>Ο κύριος Κουμάκης ζήτησε να του πούμε τις ώρες που έχει από το προηγούμενο εξάμηνο ως χρωστούμενο, για να κόψει τιμολόγιο</t>
  </si>
  <si>
    <t>Κατερίνα, Εμμανουέλα</t>
  </si>
  <si>
    <t>Να ρωτήσουμε τον κύριο Καθαράκη, αν η Σκόρδου μπορεί να κάνει έξτρα 3 φορές για να καλλύψουν κενα</t>
  </si>
  <si>
    <t xml:space="preserve">κύριος Καθαράκης </t>
  </si>
  <si>
    <t>800gr gouda και 30 φέτες ζαμπον θέλει ο Βογιατζής για την  Τρίτη 20/05/2025</t>
  </si>
  <si>
    <t>Κατερίνα, Μέλπω</t>
  </si>
  <si>
    <t>Να κάνουμε τα ψώνια για την Απλαδά αύριο Παρασκευή, τη λίστα την έχω μέσα στο 2ο συρτάρι μου, μαζί με τις φωτοτυπίες</t>
  </si>
  <si>
    <t xml:space="preserve">Να κοιτάξω τις συναντήσεις - βίντεο, για τις συναντήσεις που θα κάνουμε στους σπουδαστές. Είναι εκεί που γράφει Βίντεο Βέργας, κάτω από το φάκελο Αβραααααμ στο ΙΕΚ </t>
  </si>
  <si>
    <t>Εμυλια Δακανάλη από κύριο Καρύτη. Μεδούσα και Σιλιπας εστιατοριας. Ψάχνουν 1 μάγειρα ή βοηθό μάγειρα με σχετιική εμπειρία 1 σερβιτόρο και 1 σερβιτόρο 4 ορο ΑΓΓΛΙΚΆ και έξτρα γλώσσα επιθυμητη. 6947645674</t>
  </si>
  <si>
    <t>Να ελέγξω αν έχουμε φοιτητές που δεν έχουν δωρεάν κάρτα μέλους και να κάνω αίτηση</t>
  </si>
  <si>
    <t>Να υπενθυμίσω στον Κώστα να καλέσει τον κύριο Λιναρδάκη από Δεύτερα. Ώστε να δούμε αν οι άδιες της Microsoft είναι εκπαιδευτικές.</t>
  </si>
  <si>
    <t>MICROSOFT</t>
  </si>
  <si>
    <t xml:space="preserve">Να δώσω στη Νατάσα τις πληρωμες που έγιναν την Παρασκεύη </t>
  </si>
  <si>
    <t xml:space="preserve">Να ρωτήσουμε για το classter γιατί ούτε τα παιδία το βλέπουν… και επίσης να δουμε και για κωδικούς Φωτεινή </t>
  </si>
  <si>
    <t xml:space="preserve">Να δώσω στη κύρια Μπίτζου να υπογράψει βαθμούς για ΣΧΕΔΙΟ ΜΕΣΩ ΥΛΗΚΤΡΟΝΙΚΟΥ </t>
  </si>
  <si>
    <t>Να ενημερώσω κυρία Μπίτζου αν μπορεί να έρθει νωρίτερα για να δεί το sweet home με τον κύριο Καθαράκη</t>
  </si>
  <si>
    <t>ΣΥΝΑΝΤΗΣΗ</t>
  </si>
  <si>
    <t>ΣΜΑΡΑΓΔΗ ΣΤΕΛΑ, ΧΡΗΣΤΑΚΗ ΜΑΡΙΛΕΝΑ, ΖΑΧΑΡΟΠΛΑΣΤΙΚΗ ΔΕΥΤΕΡΑ 26 18:30 ΣΜΑΡΑΓΔΗ ΣΤΕΛΑ 6936130997</t>
  </si>
  <si>
    <t xml:space="preserve">ΣΥΝΑΝΤΗΣΗ </t>
  </si>
  <si>
    <t>Κατερίνα προς Μέλπω</t>
  </si>
  <si>
    <t xml:space="preserve">ΕΛΛΗΝΙΚΑΚΗΣ ΓΙΑΝΝΗΣ. Με ρώτησε αν μπορεί να την κάνει του χρόνου και του είπα πως έχει περιθώριο 2 χρόνια, απλά καθηστερεί την δυνατότητα συμμετοχής στις εξετάσεις του ΕΟΠΕΠ, καθώς χρειάζεται να έχει ολοκληρωσει την πρακτική για να δώσει εξετάσεις. </t>
  </si>
  <si>
    <t>Μελπώ</t>
  </si>
  <si>
    <t>Η Κονιδάκη δεν βαθμολόγισε στα Αγγλικά τον Λίτσι</t>
  </si>
  <si>
    <t>Να συζητήσουμε άυριο με την Μέλπω για τα θέματα ΠΗΓΑΣΟΣ που δεν αποτυπώνει σωστά τις ώρες που γίνονται πχ ΠΕΤΡΟΥΛΑΚΗ που δεν έκανε εχτές. Και θέμα με κυρία Αμπαρτζάκη που τις δηλώνουμε τις ώρες μια φορά μόνο και όχι κάθε φορά που δεν κάνει μάθημα κάποιος και κάνει αλλού αναπλήρωση και ώρες πχ ΑΔΑΜΗ που δεν κάνει κάποιες και τις δηλώνουμε στον ΠΗΓΑΣΟ. Επίσης να δούμε το θέμα με τον ΤΙΤΛΟ ΚΤΗΣΗΣ που δεν πρέπει να κόβουμε από εκεί τα χρήματα. Να συζητήσουμε για τις απουσίες των παιδιών που νομίζουν πως δεν θα μήνουν</t>
  </si>
  <si>
    <t>ΔΙΑΔΙΚΑΣΙΕΣ</t>
  </si>
  <si>
    <t>κύριος Καθαράκης, Μέλπω</t>
  </si>
  <si>
    <t>09:30 Γκριτζάς δικηγορος</t>
  </si>
  <si>
    <t>ΠΛΥΜΜΗΡΑ</t>
  </si>
  <si>
    <t>Τηλέφωνο</t>
  </si>
  <si>
    <t>Να ζητήσουμε από τους εκπαιδευτές, ΠΡΑΚΤΙΚΗ ΑΣΚΗΣΗ-διακοσμιση Β ΕΤΟΣ, ΑΕΡΟΠΟΡΙΚΟΙ ΝΑΥΛΟΙ - ΑΕΡΟΜΕΤΑΦΟΡΑ ΕΠΑΝΑΚΗ</t>
  </si>
  <si>
    <t>ΕΡΩΤΗΜΑΤΑ ΑΠΌ ΑΡΧΙΤΕΚΤΟΝΕΣ Β ΣΑΚΟΥΛΑΚΗ ΓΙΑ ΠΡΑΚΤΙΚΗ ΑΝ ΕΧΕΙ ΠΡΟΚΥΡΙΞΗ ΓΙΑ ΝΑ ΠΑΡΕΙ ΕΠΙΔΟΤΗΣΗ ΤΩΡΑ ΚΑΙ ΚΟΥΚΟΥΛΑΚΗ ΓΙΑ ΤΟ ΤΑΞΙΔΙ ΑΝ ΘΑ ΜΠΟΡΕΣΕΙ ΝΑ ΠΑΕΙ ΕΠΕΙΔΗ ΔΕΝ ΦΑΙΝΕΤΑΙ ΚΑΤΑΓΕΓΡΑΜΕΝΗ ΣΤΟ ΣΥΣΤΗΜΑ ΚΑΙ ΠΑΡΑΚΟΛΟΥΘΕΙ ΩΣ ΣΕΜΙΝΑΡΙΟ</t>
  </si>
  <si>
    <t>Να πώ στους αρχιτέκτονες, να στείλουν email στην Ηλέκτρα για να δούνε τα θέματα</t>
  </si>
  <si>
    <t>ΕΚΔΡΟΜΗ</t>
  </si>
  <si>
    <t>Να δώσω στον Κυρλάκη να υπογράψει την σύμβαση του</t>
  </si>
  <si>
    <t>Να ρωτήσω την Μέλπω αν θέλει να εκτυπώσουμε τις εργασίες που μας έστειλε η Πέλα από τα παιδία ή αρκεί να είναι στον φάκελο διαδικτυακά</t>
  </si>
  <si>
    <t>Οι αρχιτέκτονες β έτος θέλουν να κάνουν και εκείνοι τα σεμινάρια από οκτώμβριο δωρεάν. Όπως είχαμε πει στην Μαρίνα</t>
  </si>
  <si>
    <t>Κ.Καθαράκης, Μέλπω</t>
  </si>
  <si>
    <t>Η Ζαχαριαδάκη, πάλι απειλούσε πως θα μας κάνει μήνυμση, έχει φωτογραφίες με τις απουσίες των φοιτητών και θα κάνει λεει καταγγελία πως δεν έχουν μεινει. Είπε πως δεν ξέρω πως τα σκέυτεσεται μερικοί (κ.Καθαράκης) και κάνετε ότι σας πουνε οι σπουδαστές και ότι αυτή πάει πάντα by the book και δεν θέλει να κάνει λήξει εξεαμήνου αυτή την εβδομάδα (ανέφερε και για τα χρήματα και της είπα πως δεν θα κοπούν τα χρήματα και πως θα είναι μέσα και οι εξετάσεις και δεν ήθελε, της είπα αν θέλει να τους κάνει μάθημα και μετά την εξεταστική ως κάτι έξτρα και πάλι δεν ήθελε οπότε θα γράψουν σε εκείνη μετά της 10/06</t>
  </si>
  <si>
    <t>Να ρωτήσω για κάρτες για να βγάλουμε για εμάς τους καινούργιους και ότι και όσα λείβονται τους άλλους</t>
  </si>
  <si>
    <t>ΚΑΡΤΕΣ</t>
  </si>
  <si>
    <t>Οι Μαρία Αστρινάκη και Γεωργία Σακουλάκη, Σμαραγδάκης Χριστόφορος, θέλουν πρακτική στην Σηφάκη</t>
  </si>
  <si>
    <t xml:space="preserve">Να δούμε για την Πέλα, ποια μαθήματα μπορεί να κάνει για του χρόνου μέχρι Παρασκευή 06/05/2025 για να κανονίσει το πρόγραμμα της </t>
  </si>
  <si>
    <r>
      <t>ΠΡΑΚΤΙΚΗ ΕΦΑΡΜΟΓΗ ΣΤΗΝ ΕΙΔΙΚΟΤΗΤΑ</t>
    </r>
    <r>
      <rPr>
        <b/>
        <sz val="11"/>
        <color theme="1"/>
        <rFont val="Aptos Narrow"/>
        <family val="2"/>
        <scheme val="minor"/>
      </rPr>
      <t xml:space="preserve"> 3 ΩΡΕΣ</t>
    </r>
    <r>
      <rPr>
        <sz val="11"/>
        <color theme="1"/>
        <rFont val="Aptos Narrow"/>
        <family val="2"/>
        <charset val="161"/>
        <scheme val="minor"/>
      </rPr>
      <t xml:space="preserve">, ΔΙΟΙΚΗΣΗ ΑΕΡΟΔΡΟΜΙΩΝ ΚΑΙ ΑΕΡΟΠΟΡΙΚΩΝ ΕΤΑΙΡΕΙΩΝ </t>
    </r>
    <r>
      <rPr>
        <b/>
        <sz val="11"/>
        <color theme="1"/>
        <rFont val="Aptos Narrow"/>
        <family val="2"/>
        <scheme val="minor"/>
      </rPr>
      <t>2 ΩΡΕΣ</t>
    </r>
    <r>
      <rPr>
        <sz val="11"/>
        <color theme="1"/>
        <rFont val="Aptos Narrow"/>
        <family val="2"/>
        <charset val="161"/>
        <scheme val="minor"/>
      </rPr>
      <t xml:space="preserve">, ΛΕΙΤΟΥΡΓΙΕΣ ΕΤΑΙΡΕΙΩΝ ΕΠΙΓΕΙΑΣ ΕΞΥΠΗΡΕΤΗΣΗ </t>
    </r>
    <r>
      <rPr>
        <b/>
        <sz val="11"/>
        <color theme="1"/>
        <rFont val="Aptos Narrow"/>
        <family val="2"/>
        <scheme val="minor"/>
      </rPr>
      <t>2 ΩΡΕΣ</t>
    </r>
    <r>
      <rPr>
        <sz val="11"/>
        <color theme="1"/>
        <rFont val="Aptos Narrow"/>
        <family val="2"/>
        <charset val="161"/>
        <scheme val="minor"/>
      </rPr>
      <t>, ΔΙΑΧΕΙΡΗΣΗ ΚΡΙΣΕΩΝ ΚΑΙ ΑΠΩΛΕΙΑΣ ΑΠΟΣΚΕΥΩΝ</t>
    </r>
    <r>
      <rPr>
        <b/>
        <sz val="11"/>
        <color theme="1"/>
        <rFont val="Aptos Narrow"/>
        <family val="2"/>
        <scheme val="minor"/>
      </rPr>
      <t xml:space="preserve"> 2 ΩΡΕΣ</t>
    </r>
  </si>
  <si>
    <t>Να δούμε το βιβλίο ύλης να το συμπληρώσουν όλοι μέχρι το τέλος γιατί μου είπε η Πέλα ότι τα κοιτάνε</t>
  </si>
  <si>
    <t>Σαλουθροστ Ελευθερία μας την συστησε ο Βλαχάκης και θα ερθει Δευτέρα 02/06/2025 στις 18:00. Τηλέφωνο: 6945932104</t>
  </si>
  <si>
    <t xml:space="preserve">Μέλπω, Κατερίνα </t>
  </si>
  <si>
    <t xml:space="preserve">Να ρωτήσω την κυρία Σκόρδου για τα θέματα </t>
  </si>
  <si>
    <t>Να ετοιμάσουμε τα στοιχεία και να τα στείλουμε στο Κώστα για τα βιογραφικά</t>
  </si>
  <si>
    <t>Να δούμε αν η Μαρίνα Σιτορέγκο μπορεί να πάρει απαλαγή επειδή διδασκέ μόδα</t>
  </si>
  <si>
    <t xml:space="preserve">Να μας φέρει επίσημο έγγραφο από το GOV για μη μισθωτούς </t>
  </si>
  <si>
    <t>Να κοιτάξω τις διαφορές που υπάρχουν στις ώρες που έστειλε η λογίστρια και τις δικές μας και από που προκύπτουν</t>
  </si>
  <si>
    <t>Να δώσουμε στην τελετη αποφοίτησης σε 50 ΑΤΟΜΑ να είναι σε Α3 φυλλάδιο και να το δίνουμε στο folder της σχολής (πιο χοντρο εξώφυλλο, αφαίρεση πλαισίου) (οικολογικο ή απλό χαρτί λίγο πιο χοντρό από το χαρτί του εκτυπωτή)</t>
  </si>
  <si>
    <t>Να ρωτήαω για ώρες τον κύριο Τσικαλάκη την Παρασκευή για τις ώρες του κύριου Κουμάκη</t>
  </si>
  <si>
    <t>Να συζητήσουμε για την Αργυρώ Σταμπουλή που θέλει να φύγει από του χρόνου. Αλλά δεν είναι γιατι δεν υπάρχει οργάνωση, έχει λεει δικά της θέματα. Μας κοροιδευει όλο το τμήμα ότι ενημερώνουμε τελευταία στιγμή και οτί δεν είναι οργανωμένα…</t>
  </si>
  <si>
    <t xml:space="preserve">Να δώσω τις πολλές πληρωμές στην Νατάσα, της Παρασκευής </t>
  </si>
  <si>
    <t>Μιλήσαμε με τον Φυσαράκη και να δούμε κάπως να τον κλείσουμε και επίσης να δούμε και να κάνουμε πλάνο ανά ημέρα και να το προγραμματίσουμε με βάση βιβλίο ύλης</t>
  </si>
  <si>
    <t xml:space="preserve">Κύριος Καθαράκης, Μέλπω, Κατερίνα </t>
  </si>
  <si>
    <t xml:space="preserve">Θα μας κανονίσει η Τριγώνη Χριστίνα και θα έρθει την επόμενη εβδομάδα για να κανονίσει ραντεύου </t>
  </si>
  <si>
    <t>Να καλέσουμε αύριο για τα ΤΟΝΕΡ</t>
  </si>
  <si>
    <t>ΕΚΤΥΠΩΣΗ</t>
  </si>
  <si>
    <t xml:space="preserve">ΧΡΙΣΤΟΦΟΡΟΣ ΣΜΑΡΑΓΔΑΚΗΣ, ΚΑΣΣΙΑΝΗ ΑΡΕΤΑΚΗ ΘΕΛΕΙ ΝΑ ΚΑΝΕΙ ΠΡΑΚΤΙΚΗ ΣΤΟΝ ΚΑΥΚΑ https://www.kafkas.gr/ </t>
  </si>
  <si>
    <t>Να περάσω βαθμούς Πέλα και Απλαδά σε classter και ΠΗΓΑΣΟ</t>
  </si>
  <si>
    <r>
      <t xml:space="preserve">Να καλέσω τον Κυβο </t>
    </r>
    <r>
      <rPr>
        <b/>
        <sz val="11"/>
        <color theme="1"/>
        <rFont val="Aptos Narrow"/>
        <family val="2"/>
        <scheme val="minor"/>
      </rPr>
      <t>(2117702316)</t>
    </r>
    <r>
      <rPr>
        <sz val="11"/>
        <color theme="1"/>
        <rFont val="Aptos Narrow"/>
        <family val="2"/>
        <charset val="161"/>
        <scheme val="minor"/>
      </rPr>
      <t xml:space="preserve"> για να ρωτήσω τι κάνανε με τις προσφορές για τα βιβλίά </t>
    </r>
  </si>
  <si>
    <t>ΦΩΤΟΤΥΠΙΕΣ</t>
  </si>
  <si>
    <t>ΓΙΑ ΈΝΑ ΤΕΜΑΧΙΟ 7€ ΚΑΙ ΠΑΡΑΔΟΣΗ ΣΕ ΜΙΑ ΜΕΡΑ ΚΑΙ ΓΙΑ 50 ΤΕΜΑΧΙΑ 200€ ΚΑΙ ΠΑΡΑΔΟΣΗ ΣΕ 3 ΗΜΕΡΕΣ</t>
  </si>
  <si>
    <t>Να έχουμε μια γώνια και να έχουμε τις εργασίες για να μπορούνε όσοι έρχονται να βλέπουν τις εργασίες των παιδιών. Θα μπορούσε αυτό να είναι και μια ευκαιρία όπως δείχνουμε τα κάδρα να δείχνουμε και τις εργασίες σε βιβλιαράκια που έχουν γράψει</t>
  </si>
  <si>
    <t xml:space="preserve">Κ.Καθαράκης, Μέλπω, Κατερίνα </t>
  </si>
  <si>
    <t>Να δούμε Δευτέρα με τον Κυρλάκη, βαθμούς και πρόοδο ΤΕΜΑΧΙΣΜΟΣ ΚΡΕΑΤΩΝ</t>
  </si>
  <si>
    <t xml:space="preserve">ΧΑΡΑΛΑΜΠΑΚΗ ΕΥΑΓΓΕΛΙΑ μου κατέθεσε σε μετρητά 805€ και πρέπει να τα πάμε στη τράπεζα και να τα καταθέσουμε στο όνομα της </t>
  </si>
  <si>
    <t>Να μιλήσω αύριο με την Μαίρη για τους ΝΙΚΟ ΑΓΚΟΛΗ ΚΑΙ ΑΓΓΕΛΑ ΓΙΑΝΟΥΛΑΚΗ να πάρω στοιχεία για να κάνουμε ανάρτηση και έπειτα να επικοινωνήσω με την Μαρία αν έχουμε υλικό για να ανεβάσουμε ΚΕΚ και ΙΣΑΕΚ</t>
  </si>
  <si>
    <t>Κατερίνα, Μαίρη, Μέλπω</t>
  </si>
  <si>
    <t xml:space="preserve">Να κάνουμε άιτηση για σεμινάριο go learn </t>
  </si>
  <si>
    <t>Να δώ ώρες εκπαιδευτών με τιμολόγιο και να στείλω ενημέρωση</t>
  </si>
  <si>
    <t>1. ΣΑΒΒΑ ΜΙΚΑΕΛΑ ΓΑΛΛΙΚΑ, 2. ΡΕΠΑΝΑΚΗ ΔΕΣΠΟΙΝΑ ΑΕΡΟΠΟΡΙΚΟΙ ΝΑΥΛΟΙ 3. ΚΥΡΛΑΚΗΣ ΔΙΑΚΟΣΜΗΤΙΚΗ ΠΑΡΑΣΚΕΥΑΣΜΑΤΩΝ ΤΕΜΑΧΙΣΜΟΣ ΚΡΕΑΣΤΩΝ, 4. ΒΑΣΙΚΕΣ ΑΡΧΕΣ ΔΙΑΤΡΟΦΗΣ ΝΕΟΝΑΚΗ</t>
  </si>
  <si>
    <t>Να εκτυπώσω 50 φορές το φυλλάδιο που θα μας στείλει η κυρία Μπίτζου και να τα βάλω σε φακέλους και να το βάλο</t>
  </si>
  <si>
    <t>ΕΚΔΗΛΩΣΗ</t>
  </si>
  <si>
    <t>Να ρωτήσουμε τον κύριο Καθαράκη, τι θέλει να γράψουμε για να ανεβάσουμε το πρώτο βίντεο της σειράς στο tik tok</t>
  </si>
  <si>
    <t>Κύριος Καθαράκης</t>
  </si>
  <si>
    <t>Να τον ρωτήσουμε πως βρήσκει την ιδέα να δώσουμε φυλλάδια σε φροντηστήρια και αν θεωρεί πως έχει νόημα τώρα ή με την αρχή του νέου ακαδημαικού εξαμήνου</t>
  </si>
  <si>
    <t>Να ετοιμάσουμε πρόταση για ΔΣ</t>
  </si>
  <si>
    <t>Να κοιτάξουμε στην 8, να δούμε φωτισμό να δούμε πως μπορεί η μικρή αίθουσα να είναι λίγο πιο ευρήχορη, να δούμε τον προτζέκτορα ο οποίος δεν έχει και τόσο καλή ανάλυση, να κοιτάξουμε γραφεία που να είναι ευνοικά για σχεδιασμό,βάσεις για πίνακιδες. Επίσης να δούμε κάποιο εξαερισμό στην 8 και να δούμε και το κλιματιστικό αν δουλέυει καλά</t>
  </si>
  <si>
    <t>ΒΕΛΤΙΩΣΗ</t>
  </si>
  <si>
    <t>ΟΡΟΦΗΣ ΕΊΝΑΙ ΚΑΛΥΤΕΡΑ</t>
  </si>
  <si>
    <t>1. Να υπάρχουν υχογραφίσεις για κάποιον που για σοβαρό λόγω δεν μπορεί να είναι στην αίθιουσα, 2.Αν γίνει πρωινό τμήμα ίσως βολέψει να το κάνουν και οι υπόλοιποι που είχαν παρακολουθήσει το σεμινάριο, 3. Το ότι δεν είναι 5/5 είναι καλό για να προωθηθεί επειδή δεν βολέυει τους μεγαλύτερης ηλικίας</t>
  </si>
  <si>
    <t>ΠΡΟΤΑΣΕΙΣ ΓΙΑ ΒΕΛΤΙΩΣΗ ΠΡΟΓΡΑΜΜΑΤΩΝ ΑΠΌ ΑΡΧΙΤΕΚΤΟΝΙΚΗ</t>
  </si>
  <si>
    <t xml:space="preserve">Να δούμε της κυρίας Μπίτζου  αυτά που μας έστειλε ως υλικό και να τα σχολιάσουμε </t>
  </si>
  <si>
    <t xml:space="preserve">Μέλπω </t>
  </si>
  <si>
    <t xml:space="preserve">1. Να έχουν περισσότερες επισκέψεις σε χώρους εργασίας διότι θεωρούν πως είναι λίγες, 2. Ο Κυρλάκης θεωρούν πως δεν τους έμαθε όλα όσα είχε πει και δεν τους έμαθε πράγματα που να τους πάνε πιο πέρα από το 1ο έτος που ήδη γνώριζαν, 3. Η Τόνια τους αρέσει γιατίν τους βάζει να κάνουν περισσότερα πράγματα και θεωρούν πως μαθαίνουν περισσότερα από ότι γενικά και προετοιμάζονται για κανονικές συνθήκες εργασίας. </t>
  </si>
  <si>
    <t>ΙΚΕΑ, RAVENA, PRACTICER να κάνονισουμε επαφή για να έχουμε συνεργασία και να πηγαίνουν πρακτικάριοι</t>
  </si>
  <si>
    <t>6955298183 ΤΡΙΓΩΝΗ ΧΡΙΣΤΙΝΑ 15:30 ΞΕΝΑΓΗΣΗ ΓΙΑ ΛΟΓΙΣΤΙΚΑ</t>
  </si>
  <si>
    <t>Να ρωτήσω την Δευτέρα, αν δεν έχω email για τον Καυκά την Κουρμουλή 2163003000</t>
  </si>
  <si>
    <t>Να ρωτήσω τον Κυριάκο για τα σεμινάριο έκπτωση για να μπούμε στα φροντηστήρια</t>
  </si>
  <si>
    <t>Τσικανδιλάκης Λευτέρης και Λεωνταράκης Μανούσος από Ζαχαράκη Νίκο</t>
  </si>
  <si>
    <t xml:space="preserve">Να δώ την Παρασκευή το θέμα με την Candia και να ρωτήσω αν είναι εντάξει στον κύριο Καθαράκη, για να προχωρίσουμε </t>
  </si>
  <si>
    <t>ΚΑΘΑΡΙΟΤΗΤΑ</t>
  </si>
  <si>
    <t>κύριος Καθαράκης και Κατερίνα</t>
  </si>
  <si>
    <r>
      <t>ΣΜΥΡΝΑΚΗ οκ</t>
    </r>
    <r>
      <rPr>
        <b/>
        <sz val="11"/>
        <color theme="1"/>
        <rFont val="Aptos Narrow"/>
        <family val="2"/>
        <scheme val="minor"/>
      </rPr>
      <t xml:space="preserve">, </t>
    </r>
    <r>
      <rPr>
        <sz val="11"/>
        <rFont val="Aptos Narrow"/>
        <family val="2"/>
        <scheme val="minor"/>
      </rPr>
      <t>ΠΕΡΑΚΗΣ οκ</t>
    </r>
    <r>
      <rPr>
        <b/>
        <sz val="11"/>
        <color theme="1"/>
        <rFont val="Aptos Narrow"/>
        <family val="2"/>
        <scheme val="minor"/>
      </rPr>
      <t>, στιγμιοτυπο πηγασο ΣΜΑΡΑΓΔΑΚΗΣ</t>
    </r>
    <r>
      <rPr>
        <sz val="11"/>
        <color theme="1"/>
        <rFont val="Aptos Narrow"/>
        <family val="2"/>
        <charset val="161"/>
        <scheme val="minor"/>
      </rPr>
      <t xml:space="preserve">, </t>
    </r>
    <r>
      <rPr>
        <b/>
        <sz val="11"/>
        <color theme="1"/>
        <rFont val="Aptos Narrow"/>
        <family val="2"/>
        <scheme val="minor"/>
      </rPr>
      <t>ΑΣΤΡΙΝΑΚΗ να δουμε για που θα κανουν πρακτικη</t>
    </r>
    <r>
      <rPr>
        <sz val="11"/>
        <color theme="1"/>
        <rFont val="Aptos Narrow"/>
        <family val="2"/>
        <charset val="161"/>
        <scheme val="minor"/>
      </rPr>
      <t xml:space="preserve">, ΑΡΕΤΑΚΗ ειπε δεν θα κανει ακομα </t>
    </r>
  </si>
  <si>
    <t>ΤΗΛΕΦΩΝΟ ΦΟΥΝΑΡΙΟΤΑΚΗ ΓΙΑ ΝΑ ΠΩ ΑΝ ΘΑ ΞΕΚΙΝΗΣΕΙ 01/07</t>
  </si>
  <si>
    <t>ΝΑ ΕΝΗΜΕΡΩΣΩ ΣΙΤΟΡΕΓΚΟ, ΚΥΠΡΑΙΟ Πως ΞΕΚΙΝΑΕΙ 01/07</t>
  </si>
  <si>
    <t xml:space="preserve">Να στείλω Σιτορέγκο και Ναζε, αρχείο για να συμπληρώσουν τα στοιχεία για τα προσωπικα δεδομένα </t>
  </si>
  <si>
    <t>ΣΥΜΒΟΥΛΕΥΤΙΚΗ</t>
  </si>
  <si>
    <t xml:space="preserve">Να καλέσω ΔΕΥΤΕΡΑ 9:00 στο 2841069012 τον κύριο Γιώτη από το Καλήμέρα Κρήτη για να συνενοηθώ για την πρακτική του ΓΕΩΡΓΙΟΥ ΠΕΡΑΚΗ </t>
  </si>
  <si>
    <r>
      <rPr>
        <b/>
        <sz val="11"/>
        <color theme="1"/>
        <rFont val="Aptos Narrow"/>
        <family val="2"/>
        <scheme val="minor"/>
      </rPr>
      <t>Διευθυντής: κύριο Γιώτης                                                    κινητό</t>
    </r>
    <r>
      <rPr>
        <sz val="11"/>
        <color theme="1"/>
        <rFont val="Aptos Narrow"/>
        <family val="2"/>
        <charset val="161"/>
        <scheme val="minor"/>
      </rPr>
      <t xml:space="preserve">: 6941554666 ,                                        </t>
    </r>
    <r>
      <rPr>
        <b/>
        <sz val="11"/>
        <color theme="1"/>
        <rFont val="Aptos Narrow"/>
        <family val="2"/>
        <scheme val="minor"/>
      </rPr>
      <t>email</t>
    </r>
    <r>
      <rPr>
        <sz val="11"/>
        <color theme="1"/>
        <rFont val="Aptos Narrow"/>
        <family val="2"/>
        <charset val="161"/>
        <scheme val="minor"/>
      </rPr>
      <t xml:space="preserve">: hr@kalimerakriti.gr </t>
    </r>
  </si>
  <si>
    <t>ΕΝΔΙΑΦΕΡΩΝ ΑΠΌ KNOSSOS ROYAL ΓΙΑ ΚΟΥΖΙΝΑ ΚΑΙ ΖΑΧΑΡΟΠΛΑΣΤΕΙΟ ΓΙΑ ΠΡΑΚΤΙΚΗ ΑΣΚΗΣΗ, ΤΗΛΕΦΩΝΟ ΑΠΌ ΚΟΥΡΤΙΚΑΚΗ ΕΙΡΗΝΗ 6972700974</t>
  </si>
  <si>
    <t>Να περάσω τον Φιολιτάκη, που θέλει για σεμινάριο συγκεκριμένα να μάθει προγράμματα με τρισδιάστατες εικόνες και φωτορεαλισμό (πχ autocad) θέλει να μάθει ποια προγγράμματα έχουμε και δεν πειράζει και ας είναι από την ειδικότητα απλα δεν τον ενδιαφέρει να βγάλει την σχολή, τον ενδιαφέρουν συγκεκριμένα πράγματα. Εμεις έχουμε τηλέφωνο της γυναίκας του που την λένε ΨΙΛΑΚΗ ΜΑΡΙΝΑ - 6945550675, και το δικό του νούμερο είναι 6946069653 και θέλει να μάθει και ώρες οπότε να του πω για σεμινάρια να δεί το σαιτ και αν θέλει από σχολή δεν μπορούμε να ξέρουμε ώρες και μέρες εβδομάδας από τώρα. Για σεμινάρια 1ος μήνα από το katartisi.gr</t>
  </si>
  <si>
    <t xml:space="preserve">ΕΝΔΙΑΦΕΡΩΝ ΓΙΑ ΠΡΟΓΡΑΜΜΑΤΑ ΑΡΧΙΤΕΚΤΟΝΙΚΑ </t>
  </si>
  <si>
    <t>Εμείς κάνουμε το Autocad και στο εαρινό εξάμηνο θα κάνουμε το 3dmax. Είναι τα πιο απαιτητικά προγράμματα και μετά η μετάβαση σε άλλα είναι πολύ εύκολη. Έχουμε επίσης χρησιμοποιήσει το homestyler που ειναι για εσωτερικούς χώρους και από το Sketchup έχουμε δείξει τα βασικά. Μπορεί να κάνει τώρα το 3d AutoCAD που είναι μια πολυ καλη βάση κατανόησης πώς λειτουργούν όλα τα 3d.</t>
  </si>
  <si>
    <t>ΚΑΛΩ ΣΥΝΕΧΕΙΑ ΚΑΙ ΔΕΝ ΤΟ ΣΗΚΩΝΕΙ ΟΥΤΕ ΕΚΕΙΝΟΣ ΟΥΤΕ Η ΓΥΝΑΙΚΑ ΤΟΥ ΠΟΥ ΜΟΥ ΕΙΠΕ ΝΑ ΚΑΛΩ ΕΚΕΙΝΗ ΓΙΑΤΙ ΕΚΕΙΝΟ ΔΕΝ ΘΑ ΤΟΝ ΒΡΙΣΚΩ</t>
  </si>
  <si>
    <t>Μας κάλεσε ο Δρακουλάκης Γιώργος με τηλέφωνο 6947671654 και email: drakoulaki@yahoo.com ενδιαφέρετε για να έχει πρακτικάριους από εσωτερική αρχιτεκτονική και διακόσμηση. Είναι πολιτικός μηχανικός κασχολείτε με κατασκευή και μελέτες επιθυμεί να έχει άτομο για εντος του γραφείου αλλά και για εκτός σε εργοτάξιο</t>
  </si>
  <si>
    <t>Μας κάλεσε ο Παπαδάκης Σωκράτης με τηλέφωνο 6974816527 και email: soc.papadaki@gmail.com. Είναι πολιτικός μηχανικός και έχει τεχνηκό γραφείο.</t>
  </si>
  <si>
    <t>Αν δεν με καλέσει ο κύριος Μασαούτης Βασίλειος 6976605327 ο ηλεκτρολόγος, να καλέσω πάλι 01/07/2025 διότι πεύτει μια ασφάλεια στην κουζίνα και έχουν καεί και 2 λάμπες. Είπε πως θα έρθει είτε σήμερα 30/06/2025 μετά τις 14:00 είτε άυριο κάποια στιγμή, αλλά θα επικοινωνούσε 30/06 για να μου πεί...</t>
  </si>
  <si>
    <t>ΕΠΙΣΚΕΥΕΣ</t>
  </si>
  <si>
    <t>Η ΣΗΜΕΡΑ ΜΕΤΑ ΤΟ ΕΚΤΑΚΤΟ ΔΡΟΜΟΛΟΓΙΟ ΠΟΥ ΤΟΥ ΕΤΥΧΕ Η ΑΥΡΙΟ 8 ΚΑΙ 30 ΤΟ ΠΡΩΙ</t>
  </si>
  <si>
    <t xml:space="preserve">Να δώ μαζί με την Νατάσα τη Τετάρτη 02/07/2025 αν η Ράνια Σταματάκη έχει βάλει 330€ </t>
  </si>
  <si>
    <t>Ραντεβού αύριο 11:00-11:15 τμήμα δημοσίων σχέσων και επικοινωνίας να ετοιμάσω φυλλάδιο. 6986437384, Τσικανδυλάκης Κωνσταντίνος</t>
  </si>
  <si>
    <t>2810282464 να ζητήσω ΑΝΝΑ για κωδικο ειδικοτητας 08:00-4:00 να καλέσω</t>
  </si>
  <si>
    <t>Να ρωτήσω Mitsis και Royal να δω αν θέλουν άτομο έξτρα για πρακτική, για να στείλω τον Σελήθωμα Γεώργιο</t>
  </si>
  <si>
    <t>Να καθοδηγήσω την ΚΑΘΑΡΙΣΤΡΙΑ αυρίο το πρωι και να τις δώσω και το πρόγραμμα εργασίας</t>
  </si>
  <si>
    <t>Να περιμένω 08:00 - 11:00 Παρασύρη Ειρήνη  6986783854 ΤΕΧΝΙΚΟΣ ΑΡΤΟΠΟΙΗΑΣ ΚΑΙ ΖΑΧΑΡΟΠΛΑΣΤΙΚΗΣ ΤΕΧΝΗΣ</t>
  </si>
  <si>
    <t xml:space="preserve">Πέμπτη 03/07/2025 στις 16:30 6943802760, να περιμένω τον Γιωργάκη Νίκο για ξενάγηση και ίσως εγγραφή </t>
  </si>
  <si>
    <t>Να καλέσω την Γράσσου 2810247036 την  Παρασκευή, να δώ αν έχει εκδηλώσει ενδιαφέρων το άτομο και γενικά τι γίνεται</t>
  </si>
  <si>
    <t>Να ρωτήσω την Μέλπω τι κάνουμε με τους βαθμούς Καλογεράκη και Μπίτζου που έχουν στείλει για τον ΠΗΓΑΣΟ  που δεν μπορούμε πλέων να το τροποποιήσουμε</t>
  </si>
  <si>
    <t>Να καλέσω τον κύριο Βέργα 6942471022 να τον ρωτήσω για το πρόγραμμα και να ρωτήσω και για εφαρμογή που εμφανήζει στον υπολογιστή. Ποιο τηλέφωνο μας κάλεσε, για να καλούμε πίσω</t>
  </si>
  <si>
    <t>ΒΕΡΓΑΣ</t>
  </si>
  <si>
    <t>Κατερίνα, Κώστας</t>
  </si>
  <si>
    <t xml:space="preserve">Να καλέσω την κυρία Κοκκινίδη Εύα 6944780447 - ΑΡΧΙΤΕΚΤΟΝΑΣ ΠΕΜΠΤΗ 03/07/2025 14:00-15:00 εκ μέρους της κυρίας Μπίτζου, να δούμε το θέμα της πρακτικής </t>
  </si>
  <si>
    <t>Η Μπίτζου μου είπε πως παλλιά είχε δώσει άτομο για πρακτική και δεν έδινε χρήματα οπότε κατάφερα να επικοινωνίσω 4/07 και είπε θα με καλέσει στις 15:00 αν όχι θα την καλέσω εγώ, αλλίως το αφήνω. Αν είναι να μην είναι καλή, είχε προτείνει η Μπίτζου και για μάθημα αλλά είναι 67-68 οπότε της είπα καλύτερα να μην της πεί και δεν ξέρει και πόσο συνεπής θα είναι.</t>
  </si>
  <si>
    <t>μέσα Οκτώμβριου</t>
  </si>
  <si>
    <t>μετα τις 10:30-16:00</t>
  </si>
  <si>
    <t xml:space="preserve">την κάλεσα και μου το κλείνει οπότε δεν ξανά καλώ </t>
  </si>
  <si>
    <t>Με κάλεσαν από επιχείρηση με ανελκυστύρες που λέγετε ΚΛΕΜΑΝ η κυρία Δελκα Χρύσα 698417880, εκείνοι ζειτάνε άτομα για τεχνηκό -μηχανικό για ανελκυστήρες ή για λογιστήριο</t>
  </si>
  <si>
    <t>Μας κάλεσε ο Νικόλαος K. Γρυλλάκης Διπλ. Πολιτικός Μηχανικός Τηλ. 2810327474, Κιν. 6980169968 nickgryl@outlook.com.gr διότι έχει ενδιαφέρων για να πάρει αρχνιτέκτονες για πρακτική</t>
  </si>
  <si>
    <t>Να περιμένω να με καλέσει ο Βέργας αν δεν καλέσει μέχρι 12:00, να τον ξανά καλέσω</t>
  </si>
  <si>
    <t>Με κάλεσε ο Βακιντής και μου είπε πως αν είναι οι φούστες του κύριου Καλαθάκη και έχουν συννενοηθεί να τις παραλάβει από τον  Σιγανό. Έστειλα και μήνυμα και να τον καλέσω πιο μεσημέρι.</t>
  </si>
  <si>
    <t>Για να δείς τις χαμένες κλήσεις από το τηλέφωνο, πατάς από τα μάυρα τα κουμπιά τα πάνω πατάς το 4 από κάτω, μετά εμφανίζει 1. MISSED CALL, 2. ALL CALL και πατάς το νούμερο που θέλεις για να δείς πχ 1. για να δούμε κλήσεις που δεν έχουμε καλέσει, για να πάμε πριν και μετά σε ημερομηνία και ώρα πάμε στο κουμπί τέρμα κάτω δεξιά που είναι κάτω από το μεγάφωνο και πάμε -/+  στα μεγαφωνάκια. Μετά για να καλέσουμε πίσω αν θλελουμε, πατάμε το Hold/Save που είναι πάνω από το κουμπί μεγάφωνου και καλεί πίσω.</t>
  </si>
  <si>
    <t>ΤΗΛΕΦΩΝΟ</t>
  </si>
  <si>
    <t>Να δώ αν απαντήσει ο Βέργας αλλιώς να τον καλέσω την Πέμπτη 10/07/2025 ξανά</t>
  </si>
  <si>
    <t>Αν η κυρία Μπίτζου δεν έρθει αυτή την εβδομάδα 8:30 που είπε πως θα περάσει για να δούμε την αίθουσα 8 και τα θέματα που έχουν αναφέρει οι σπουδαστές, να την ξανά καλέσουμε 14/07/2025</t>
  </si>
  <si>
    <t>ΑΙΘΟΥΣΕΣ</t>
  </si>
  <si>
    <t xml:space="preserve">Να κλείσουμε στο πλάνο τον αιθουσών για 20 οκτωμβρίου τις αίθουσες που ξέρουμε </t>
  </si>
  <si>
    <t>Να καλέσω Τετάρτη 16:00 τον Γεωργάκη Νίκο, αν θα κάνουμε τελικά την ξενάγηση</t>
  </si>
  <si>
    <t>Να παραγγείλουμε βιβλία ύλης για να είναι έτοιμα για την νέα χρονία</t>
  </si>
  <si>
    <t>Να πω πως η Μαρίνα Σιτορέγκο και Φωτεινή Κουκουλάκη θέλει για πρακτική άσκηση ΕΝΙΣΧΥΣΕΙΣ ΚΡΗΤΗΣ Α.Ε. Νίκος Καμπιτάκης 
Πολιτικός Μηχανικός ΤΕ, Μηχανολόγος Μηχανικός ΤΕΕ ΕΝΙΣΧΥΣΕΙΣ ΚΡΗΤΗΣ Α.Ε.
Λ. Καλοκαιρινού 61 &amp; Αρχοντοπούλου, Ηράκλειο Κρήτης
Τηλ.: 2810343509
Email: info@enik-sa.gr</t>
  </si>
  <si>
    <t>Να καλέσω στα γραφεία για το Νίκο Ζαχαράκη, Είμαστε σε επιοκοινωνία με το γραφείο του Τσικανδιλάκη και περιμένουμε απάντηση ή ενημέρωση από το Νίκο και αν έχουμε αρνητική απάντηση θα προσεγγίσω τα επόμενα, προς το παρών περιμένω</t>
  </si>
  <si>
    <t>1) Τσικανδιλάκης Λευτέρης 2810341617 (mailbox@tsikandilakis.gr)                                        2) Μανούσος Λεονταράκης 2810390102                                                   3) BAUART 'Ελενα και Κατερίνα Δουλγεράκη 6947029625                             4) Micron Design Verde Ορφανουδάκης 2810223167</t>
  </si>
  <si>
    <t>Να στείλω στην Αστρινάκη και Σακουλάκη, ένα email γιατι δεν έχουν στείλει στοιχεία\</t>
  </si>
  <si>
    <t>Να συνεχίσω το αρχείο με τους καθηγητές</t>
  </si>
  <si>
    <t>ΚΑΘΗΓΗΤΕΣ</t>
  </si>
  <si>
    <t>Να καλέσω εκείνο για την πόρτα αν δεν έχει έρθει μέχρι 14</t>
  </si>
  <si>
    <t>ΓΚΑΡΑΖΟΠΟΡΤΑ</t>
  </si>
  <si>
    <t>Μώλις υπογράψει ο κύριος Καθαράκης να στείλω της κυρίας IWONAS τα εγγραφά και να την καλέσω να τις εξηγήσω</t>
  </si>
  <si>
    <t>ΕΓΓΡΑΦΗ</t>
  </si>
  <si>
    <t>Να καλέσω μετά τις 15:00 μια που έκανε εκδήλωση ενδιαφέροντος και την έχω στις εκκρεμότητες, γιατί δούλευε το πρωι που την κάλεσα, ηθέλξ</t>
  </si>
  <si>
    <t>ΕΚΔΗΛΩΣΗ ΕΝΔΙΑΦΕΡΟΝΤΟΣ</t>
  </si>
  <si>
    <t>Μέχρι Αρχή εξαμήνου (Σεπτέμβριο - Οκτώμβριο) να έχουμε φτιάξει το εκπαιδευτικό υλικό, Gemini --&gt; ΙΣΑΕΚ LESSON MAKER V1 --&gt; του επικολούμαι εκεί να έχει μαθήματα και ώρες και έπειτα εκεί που γράφει για διάγραμμα ή εικόνα το κάνουμε copy και paste πατάμε στο napkin και βγάζει διαγράμματα και επικολούμαι το κείμενο και τις εικόνες σε ένα word και έχουμε τις ΣΗΜΕΙΩΣΕΙΣ. Έπειτα μπαίνουμε πάλι στο Gemini --&gt; στο lesson slide maker pro V27 --&gt; του βάζουμε το κείμενο των σημειώσεων --&gt; μετά πηγαίνουμε στο gemini slide maker και προσέχουμε να μας βγάλει και διαχωριστική γραμμή γιατί αλλιώς δεν το καταλαβαίνει να κάνει --&gt; μετά πάμε στο gama επικολούμε το κείμενο και το αποθηκέυουμε κάνουμε εξαγωγή power point και πάμε και pptx save το ανοίγουμε  και πάμε icepringsuit11 στο power point και του βάζουμε ήχο και μετά κάνουμε publish σε lms scorm.</t>
  </si>
  <si>
    <t>ΔΗΜΙΟΥΡΓΙΑ ΣΗΜΕΙΩΣΕΩΝ ΓΙΑ ΜΑΘΗΜΑΤΑ</t>
  </si>
  <si>
    <t>Για το napkin όταν είναι blank napking περιμένει το promt-οδηγία έτοιμη, όταν είναι napking draft with AI τότε μπορεί να του δώσουμε οδηγίες και να το κάνει και το ίδιο το prompt, καλύτερο όμως είναι να του δώσουμε έτοιμο το prompt γιατί κανονικά δεν είναι η δουλεία του να κάνει prompt</t>
  </si>
  <si>
    <t>Να μιλήσω με τον Κώστα να δώ τι γίνεται με το βιντεάκι για τις οθόνες</t>
  </si>
  <si>
    <t>ΟΘΟΝΕΣ</t>
  </si>
  <si>
    <t>Να αγοράσουμε και για περισσότερα από 50 άτομα στο Classter ή να διαγράψουμε τους παλλιούς και να βάλουμε άλλους στην θέση τους</t>
  </si>
  <si>
    <t>Να κάνουμε αρχείο excel με διδορθώσεις για site πχ σε προγράμματα σπουδών να δούμε τι αλλαγές πρέπει να γίνουν</t>
  </si>
  <si>
    <t>ΙΣΤΟΣΕΛΙΔΑ</t>
  </si>
  <si>
    <t xml:space="preserve">Ο Νίκος Ζαχαράκης ενδιαφέρετε για πρακτική στα γράφεια, Παπαδάκης Σωκράτης - Πολιτικός Μηχανικός (6974816527), Νικόλαος K. Γρυλλάκης Διπλ. Πολιτικός Μηχανικός (6980169968), να δώ αν θα στείλει και άλλος και αλλιώς να στείλω τα στοιχεία του Τετάρτη </t>
  </si>
  <si>
    <t xml:space="preserve">Ο Ελένη Αντωνακάκη ενδιαφέρετε για πρακτική στα γράφεια, Δρακουλάκης Γιώργος με τηλέφωνο 6947671654 και email: drakoulaki@yahoo.com 
Παπαδάκης Σωκράτης με τηλέφωνο 6974816527 και email: soc.papadaki@gmail.com
Νικόλαος K. Γρυλλάκης Διπλ. Πολιτικός Μηχανικός Τηλ. 2810327474, Κιν. 6980169968 nickgryl@outlook.com.gr, να δώ αν θα στείλει και άλλος και αλλιώς να στείλω τα στοιχεία του Τετάρτη </t>
  </si>
  <si>
    <t>Το λινκ από το βιογραφικό να είναι μικρότερο, να είναι μόνο το όνομα τους και να μην αλλάζει, να γίνονται τροποποιήσεις σε εικόνες κλπ χωρίς να αλλάζει το λινκ διότι κάποιος μπορεί να το έχει στείλει κάπου και να χαλάσει αυτό μετά, όταν αλλάξει το link και να πρέπει να θυμάτε που το έστειλε για να μην έχουν χαλασμένο σύνδεσμο</t>
  </si>
  <si>
    <t>Κώστας, Κατερίνα</t>
  </si>
  <si>
    <t>Με την έναρξη του νέου ακαδημαικού έτους, να κάνουμε κουβέντα και μαζί με το Τεχνικό Επιμελητήριο να δημιουργηθούν εκθέσεις και η ΑΠΟΣΤΟΛΑΚΗ ΑΝΑΣΤΑΣΙΑ μαζί με εμάς να το διωργανώσει και να υπάρχει και ένα έπαθλο σαν διαγωνισμός.</t>
  </si>
  <si>
    <t xml:space="preserve">ΕΚΔΗΛΩΣΕΙΣ </t>
  </si>
  <si>
    <t>Galeri - στο ελέυθερο σχέδιο να φωναζουμε καλλιτεχνες και να κάνουμε διαγωνισμό</t>
  </si>
  <si>
    <t>Έστειλα email στους εκπαιδευτές για να μου κάνουν προτάσεις, αν δεν μου κάνουν έως Παρασκευή, την Δευτέρα 01/09/2025 να τους καλέσω να μου πούνε τι σκέφτηκαν. Έστειλα ξανά email και πρόσθεσα και τους καινούργιους. Και περιμένω αν θέλουν να στε'ιλουν.</t>
  </si>
  <si>
    <t xml:space="preserve">Παρασκεύη 23/07/2025 Να καλέσω τον Τσικανδιλάκης Λευτέρης 2810341617 (mailbox@tsikandilakis.gr) να ρωτήσω για τον Νίκο τον Ζαχαράκη </t>
  </si>
  <si>
    <t>Παπαδάκης Σωκράτης με τηλέφωνο 6974816527 και email: soc.papadaki@gmail.com, ΖΑΧΑΡΑΚΗΣ ΝΙΚΟΛΑΟΣ 6951734324 nikoszaxarakhs96@yahoo.gr, ΑΝΤΩΝΑΚΑΚΗ ΕΛΕΝΗ 6976606306 antellmar@yahoo.gr</t>
  </si>
  <si>
    <t>ΔΗΜΙΟΥΡΓΙΑ ΒΙΟΓΡΑΦΙΚΟΥ ΣΗΜΕΙΩΜΑΤΟΣ - PORTFOLIO</t>
  </si>
  <si>
    <t>Να καλέσω Δευτέρα 01/09/2025 στα γραφεία για το Νίκο Ζαχαράκη, (Λεονταράκης δεν το σήκωσε, BAUART δεν το σήκωνει ποτέ και δεν καλεί και πίσω, Micron Design Verde omikrondv@gmail.com)</t>
  </si>
  <si>
    <t>1) Μανούσος Λεονταράκης 2810390102                                                  2) BAUART 'Ελενα και Κατερίνα Δουλγεράκη 6947029625                             3) Micron Design Verde Ορφανουδάκης 2810223167</t>
  </si>
  <si>
    <t>Να δώ για φροντιστήρια ποια θα προσεγγίσουμε και τι προσφορά θα τους κάνουμε (chat gpt) και να κάνουμε προσεγγίσεις από Δευτέρα</t>
  </si>
  <si>
    <t>ΦΡΟΝΤΗΣΤΗΡΙΑ</t>
  </si>
  <si>
    <t>Να καλέσω τους καθηγητές και να τους πω να μου στείλουν ένα βογρφαικό σημείωμα και μια φωτογραφία τους, για να μπεί στην σελίδα. Επίσης να περιμένω από Μαρκέλλα και να τους πω μέρες και ώρες που να μπορούν να έρθουν για γύρισμα</t>
  </si>
  <si>
    <t>Να καλεσεί η Μέλπω την κυρία Κοτανίδι και να ενημερώσουμε την κυρλια Κοντογιάννη Εύα 6949110462 που ενδιαφέρετε για τον γίο της που έχει κάνει ζαχαροπλαστική να κάνει και ένα έτος σε εμάς μαγειρική (πρέπει να είναι 2 έτος εξ ολοκλήρου ή μπορεί να κάνει και 4 εξάμηνα και να είναι απλά σπασμένα τα μαθήματα)</t>
  </si>
  <si>
    <t>Να πω στον κύριο Καθαράκη, αν μπορεί την Παρασκευή 08/08/2025 να συναντηθεί με την Κονιδάκη</t>
  </si>
  <si>
    <t>Έχουμε πρόταση για διακόσμηση εσωτερικού χώρου εταιρείας πολυεθνικής odeon tours 3 όροφοι, να δωθεί με κάποια συζητήσημη αμοιβή, στους διακοσμητές και να προβληθούμε και εμείς και εκείνοι ότι χρησιμοποιούν σπουδαστές. Μίλησα με Μανωλάκης Ιωάννη IT 2810289936, 6985051114</t>
  </si>
  <si>
    <t>ΠΡΟΤΑΣΗ ΓΙΑ ΣΥΝΕΡΓΑΣΙΑ</t>
  </si>
  <si>
    <t>3ο Γραφεία, Τέλος του Χρόνου, Θα μιλήσουμε Σεπτέμβριο, Λύσεις Διαμώρφωσης χώρου, 2 οροφοι εβντελώς φλατ - διαμόρφωση χώρων με β΄λαση προδιαγραφών meeting εστίαση, είσοδος - στενή είσοδος πολοικατικίας ανάμεσα σε βιτρίνες, αμοιβή συζήτηση με λογηστήριο, κεντρο 25 αυγούστου</t>
  </si>
  <si>
    <t>8/9/2025 Να ξανά καλέσω</t>
  </si>
  <si>
    <t>η Σάβα Θα έρθει Ηράκλειο τέλη Αυγούστου (Σάββατο 23/8 έως  Δευτέρα 25/8) . Θα βόλευε Δευτέρα 25 Αυγούστου</t>
  </si>
  <si>
    <t>Να καλέσω 01/08/2025 αύριο 15:00 Μαρία Τζανιδάκη - Εκδήλωση Ενδιαφέροντος - "Τεχνικός Αρτοποιίας – Ζαχαροπλαστικής" - 6974068149</t>
  </si>
  <si>
    <t>Να ρωτήσω τον κύριο Καθαράκη για φωτογραφίες για βιογραφικά, για ραντεβού με Κονιδάκη και για την προταση για την συνεργασία</t>
  </si>
  <si>
    <t>ΕΡΩΤΗΣΕΙΣ</t>
  </si>
  <si>
    <t>Κ.Καθαράκη</t>
  </si>
  <si>
    <t>Να μιλήσω με την κυρία Μπίτζου και να ρωτήσω για την Τζανάκη, αν είναι οκ να  στείλω το email</t>
  </si>
  <si>
    <t xml:space="preserve">Να ρωτήσω τον κύριο Καθαράκη, αν θέλει να κάνουμε εισήγηση για αμοίβη 20€ για την Κονιδάκη. Το πρόγραμμα το θέλει νωρίτερα, να είναι τα μαθήματα δια ζώσης και όχι εξ αποστάσεως </t>
  </si>
  <si>
    <t>Να καλέσουμε την Μωυσάκη για να γραφτεί στην Διοίκηση Επιχειρήσεων</t>
  </si>
  <si>
    <t>Να καλέσουμε τον Ηλεκτρολόγο για τα φώτα στην 9</t>
  </si>
  <si>
    <t>ΗΛΕΚΤΡΟΛΟΓΟΣ</t>
  </si>
  <si>
    <t>25/8/2025 γυρνάει αλλά μπορεί να μπορέσει να περάσει και νωρίτερα</t>
  </si>
  <si>
    <t>ΜΠΑΤΑΡΙΕΣ ΑΑ+</t>
  </si>
  <si>
    <t>Να πω στον κύριο Τσικαλάκη ή στην Νατάσα να καλέσουν 2810360027 για να δώσουν τις μετρήσεις για τον εκτυπωτή</t>
  </si>
  <si>
    <t>ΜΕΤΡΗΣΕΙΣ ΓΙΑ ΕΚΤΥΠΩΤΗ</t>
  </si>
  <si>
    <t>κύριος Τσικαλάκης, Νατάσα</t>
  </si>
  <si>
    <t>Να ρωτήσω την Νατάσα αν έχει δει την εντολή της Στυλιανής - Γεωργίας Γεωργαντωνάκη</t>
  </si>
  <si>
    <t>Νατάσα</t>
  </si>
  <si>
    <t>θα τα ξανά βάλει και θα φανούν σε 2-3 μέρες και θα ολοκληρώσω και τη εγγραφή</t>
  </si>
  <si>
    <t>Με κάλεσε η ΑΝΔΡΕΑΔΑΚΗ ΑΝΤΙΓΟΝΗ από το ΙΕΚ ΜΟΡΦΗ και έψαχνε πρακτικάριο για Διοίκηση στο γραφείο της 6932827475</t>
  </si>
  <si>
    <t>Να στείλω στην Γεωγραντωνάκη Στυλιανή Γεωργία την αίτηση εγγραφής και το εκπαιδευτικό συμβόλαιο υπογεγραμμένο από τον κύριο Καθαράκη</t>
  </si>
  <si>
    <t>Κ.Καθαράκης</t>
  </si>
  <si>
    <t>Ο ηλεκτρολόγος έστειλα άτομα και είδαν τα φώτα, άλλαξαν ένα που είναι από πάνω και τα τετράγωνα που έχουν καεί 3 μου είπαν ότι δεν βρήσκουν αντίστοιχά επειδή είναι παλιά και θα βρούν παρόμοια για να μας βάλουν. Οπότε Δευτέρα να ρωτήσω τι έγινε με αυτό?</t>
  </si>
  <si>
    <t>Μέλπω, κ.Καθαράκης</t>
  </si>
  <si>
    <t>Μασαούτης Βασίλειος - 6976605327</t>
  </si>
  <si>
    <t>ΤΑ ΕΧΕΙ ΠΑΡΑΓΓΕΙΛΕΙ ΚΑΙ ΘΑ ΚΑΛΕΣΕΙ ΝΑ ΔΕΙ ΑΝ ΘΑ ΕΡΘΕΙ ΚΑΙ ΘΑ ΤΟ ΔΕΙ ΑΝ ΔΕΝ ΘΑ ΤΟΝ ΞΑΝΑ ΚΑΛΕΣΟΥΜΕ ΠΑΡΑΣΚΕΥΗ 05/09/2025</t>
  </si>
  <si>
    <t>2810542239 Χουστουλάκη. Έχει απολυτήριο γυμνασίου ΕΝΕΓΥΛ. Θέλει να βγάλει την ειδικότητα αρχιμάγειρας ΣΕΦ. Την ενημέρωσα πως θα μπορεί μονο ώς σεμιναριακό και οχι ΙΣΑΕΚ για να πάρει ΒΕΚ.  Είναι όλη η οικογένεια άτομα με ειδικές ανάγκες και την ενδιέφερε η τιμή πάρα πολύ πόσο θα πάει.Την κάλεσα Παρασκεύη 29/08 και δεν απάντησε, αν δεν ξανά πάρει να καλέσω Δευτέρα 01/09</t>
  </si>
  <si>
    <t>κ.Καθαράκης και Μέλπω</t>
  </si>
  <si>
    <t>Μου είπε ο κύριος Καθαράκης να κάνει μια εισήγηση - πρόταση στην Διοικητική Επιτροπή και να δούμε αν θα το δεχτεί. 10 οκτωμβρίου ανάλογα και με τον προυπολογισμό μπορούμε να δούμε αν θα μπορέσει με 3.000€ 1.500€ έτος. Να δούμε επίσης αν θέλει να κάνει ταχύρυθμα και να πάρει πιστοποίηση</t>
  </si>
  <si>
    <t>ΚΟΝΤΟΓΙΑΝΝΗ ΕΥΑ 6946110462 ΚΟΥΜΟΥΚΗΣ ΧΡΗΣΤΟΣ ΓΙΑ ΜΑΓΕΙΡΙΚΗ ΜΕ ΑΝΑΓΝΩΡΙΣΗ ΜΑΘΗΜΑΤΩΝ ΑΠΌ ΣΧΟΛΗ ΖΑΧΑΡΟΠΛΑΣΤΙΚΗ ΤΟΥ TASTE ACADEMY ΤΟΥ ΝΤΕΡΕΚΑ. ΤΗΝ ΒΕΚ ΘΑ ΤΗΝ ΕΧΕΙ ΣΕ 2 ΜΗΝΕΣ ΑΛΛΑ ΜΟΥ ΕΣΤΕΙΛΕ ΚΑΙ ΤΑ ΜΑΘΗΜΑΤΑ ΠΟΥ ΕΧΕΙ ΠΕΡΑΣΕΙ ΚΑΙ ΕΧΕΙ 2 ΕΤΗ ΚΑΙ ΘΑ ΗΤΑΝ ΤΟ ΙΔΑΝΙΚΟ ΝΑ ΚΑΝΕΙ ΜΑΓΕΙΡΙΚΗ ΦΕΤΟΣ ΚΑΙ ΝΑ ΤΟ ΒΓΑΛΕΙ ΣΕ ΈΝΑ ΧΡΟΝΟ. ΑΡΑ ΠΕΡΙΜΕΝΟΥΜΕ ΑΠΑΝΤΗΣΗ ΑΠΟ ΚΟΤΑΝΙΔΙ ΑΝ ΜΠΟΡΕΙ ΝΑ ΠΑΡΕΙ ΤΑΥΤΟΧΡΟΝΑ ΠΡΩΤΟ ΚΑΙ ΔΕΥΤΕΡΟ ΕΤΟΣ ΜΑΘΗΜΑΤΑ ΚΑΙ ΑΝ ΚΑΝΟΥΜΕ ΕΜΕΙΣ 2ο ΕΤΟΣ (ΓΝΩΣΤΗ ΚΑΘΑΡΑΚΗ)</t>
  </si>
  <si>
    <t xml:space="preserve"> Όμιλο Επιχειρήσεων Golden Pier, Ξενοδοχείο στη Χερσονήσο, Γιαπουτζή Θωμαή 6940920549 θέλουν για μαγειρικής και barista</t>
  </si>
  <si>
    <t>Να καλέσω την Μικαέλα Σάβα για να δώ Δευτέρα αν θα έρθει κανονικά</t>
  </si>
  <si>
    <t>Να στείλω email στα φροντήστηρια από Δευτέρα 15/09/2025 να δούμε αν δέχονται για φυλλάδια να βάλουμε με την έκπτωση που έχει συμφωνειθεί</t>
  </si>
  <si>
    <t>ΘΕΜΑ9: Άλλα Θέματα Α. Έγκριση συνεργασίας ΙΣΑΕΚ με φροντιστηριακούς ομίλους - Παροχή ειδικής έκπτωσης 15% Η Διοικητική Επιτροπή ενέκρινε τη συνεργασίας ΙΣΑΕΚ με φροντιστηριακούς ομίλους. Αναθέτεται στη κ. Μιχελάκη και τη κ. Πετροπούλου να προβούν στις απαραίτητες διαδικασίες για την σύναψη συνεργασίας με τους ενδιαφερόμενους φροντιστηριακούς ομίλους.</t>
  </si>
  <si>
    <t>Η Χατζηντεβέ θέλει τα μαθήματα της να μπούνε Τρίτη, Τετάρτη και Πέμπτη από 4 ώρες</t>
  </si>
  <si>
    <t xml:space="preserve">ΠΡΟΓΡΑΜΜΑ </t>
  </si>
  <si>
    <t>Να τις πούμε όταν φτιάχνουμε το πρόγραμμα</t>
  </si>
  <si>
    <t xml:space="preserve">Ψαθακης Μιχάλης 6972636648, είναι για εκπαιδευτής στον τομέα υγείας. 'Ηθέλε να κάνει και </t>
  </si>
  <si>
    <t>Η Μικαέλα Σάβα δεν θέλει Παρασκευή και προτιμάει σπαστό (2 + 2 ώρες) να είναι κατά προτίμηση Δευτέρα και Τρίτη</t>
  </si>
  <si>
    <t>Να φέρω σε επαφή την Μπίτζου με την Μαίρη, για να μιλήσουν για τα σεμινάρια που προτείνει η κυρία Μπίτζου για autocad κλπ</t>
  </si>
  <si>
    <t xml:space="preserve">Να κάνουμε αίτημα για μετάβαση στην επόμενη εκπαιδευτική περίοδο στον ΠΗΓΑΣΟ από 05/09 και μετά που ξεκινάει να μπορούμε να το κάνουμε </t>
  </si>
  <si>
    <t>Να ρωτήσω για το αίτημα κατάταξης στην Κοτανίδη για να εγγράψουμε τους 2 (μαγειρική και ζαχαροπλαστική). Να καλέσω αν βγει ανακοίνωση.</t>
  </si>
  <si>
    <t>Αν δώ ότι ανοίξαν οι κατατάξεις Μιχάλης Χαμαλάκης 6970980604 για ΑΡΤΟΠΟΙΙΑ - ΖΑΧΑΡΟΠΛΑΣΤΙΚΗ</t>
  </si>
  <si>
    <t xml:space="preserve">ΣΥΝΑΝΤΗΣΗ ΔΕΥΤΕΡΑ 08/09/ 2025 ΜΕ ΤΟΝ ΑΝΤΩΝΗ ΚΑΛΟΓΕΡΑΚΗ SOCIAL BUILDERS </t>
  </si>
  <si>
    <t>Να καλέσω Δευτέρα 08/09/2025 Omikron Design Verde Ορφανουδάκης 2810223167 για τον Νικόλαο Ζαχαράκη</t>
  </si>
  <si>
    <t xml:space="preserve">ΠΡΑΚΤΙΚΗ </t>
  </si>
  <si>
    <t xml:space="preserve">Να δούμε με την Τόνια γιατί της είπα για ώρες και δεν ξέρει αν μπορεί, επίσης η Ρεπανάκη θα μας πει αλλά να ψάχνουμε λεεί γιατί τείνει προς το όχι λόγω κατάσταση υγείας της </t>
  </si>
  <si>
    <t>Taste Academy να δούμε για μετεγραφές γιατί από ΑΚΜΗ έχουν πάει λεεί αιτήσεις</t>
  </si>
  <si>
    <t>ΚΑΛΟΓΙΑΝΝΑΚΗ ΜΑΡΙΑ 6946529544 ΘΑ ΕΡΘΕΙ ΣΤΙΣ 10 ΥΠΕΥΘΥΝΗ ΟΡΟΦΟΚΟΜΙΑΣ ΣΤΟ ΑΓΑΠΗ BEATCH ΚΑΙ ΜΑΣ ΠΡΟΤΕΙΝΑΝ ΑΠΌ ΤΟ TASTE ACADEMY ΝΑ ΚΑΝΟΥΜΕ ΜΙΑ ΣΥΝΕΡΓΑΣΙΑ ΚΑΙ ΝΑ ΠΙΣΤΟΠΟΙΟΥΜΕ ΑΠΌ ACTA ΤΙΣ ΕΡΓΑΖΌΜΕΝΕΣ ΟΡΟΦΟΚΟΜΙΑΣ ΚΑΙ ΘΑ ΕΡΘΕΙ Η ΥΠΕΥΘΥΝΗ ΝΑ ΜΑΣ ΠΕΙ ΑΝΑΓΚΕΣ ΚΛΠ ΚΑΙ ΝΑ ΔΟΥΜΕ ΑΝ ΜΠΟΡΕΙ ΝΑ ΓΙΝΕΙ, ΗΤΑΝ ΛΕΕΙ ΕΝΑ ΚΑΛΟ ΠΡΟΓΡΑΜΜΑ ΠΟΥ ΜΑΖΕΥΕ ΤΟΥΛΑΧΙΣΤΩΝ 20 ΑΤΟΜΑ ΑΝΑ ΤΜΗΜΑ ΣΥΝΗΘΩΣ ΤΕΛΟΣ ΝΟΕΜΒΡΙΟΥ ΚΑΙ ΕΙΝΑΙ ΤΑΧΥΡΥΘΜΑ ΓΙΑ ΚΑΜΑΡΙΕΡΕΣ</t>
  </si>
  <si>
    <t>ΓΙΑ ΜΕΤΕΓΡΑΦΕΣ ΣΤΟ ΠΗΓΑΣΟ ΜΟΥ ΕΙΠΕ Η ΚΟΤΑΝΙΔΙ ΘΑ ΚΛΕΙΣΟΥΝ ΤΗΝ ΆΛΛΗ ΕΒΔΟΜΑΔΑ ΚΑΙ ΘΑ ΩΣ ΕΠΙΣΥΝΑΨΗ ΘΕΛΕΙ ΑΠΟΛΥΤΗΡΙΟ ΛΥΚΕΙΟΥ, ΤΑΥΤΟΤΗΤΑ, ΑΤΟΜΙΚΟ ΔΕΛΤΙΟ ΚΑΤΑΡΤΙΖΟΜΕΝΟΥ, ΑΙΤΗΣΗ ΕΓΓΡΑΦΗΣ ΚΑΙ ΕΚΠΑΙΔΕΥΤΙΚΟ ΣΥΜΒΟΛΑΙΟ</t>
  </si>
  <si>
    <t>ΜΕΤΕΓΓΡΑΦΕΣ</t>
  </si>
  <si>
    <t>ΝΑ ΚΑΝΩ ΑΥΡΙΟ ΚΑΙ ΤΗΝ ΕΠΙΣΥΝΑΨΗ ΣΤΙΣ ΜΕΤΕΓΓΡΑΦΕΣ ΤΩΝ ΣΤΟΙΧΕΙΩΝ ΠΟΥ ΑΠΌ ΤΗΝ ΓΕΩΡΓΑΝΤΩΝΑΚΗ ΤΑ ΕΧΩ ΚΑΙ ΠΕΡΙΜΕΝΩ ΑΠΌ ΣΚΟΥΛΑ ΚΑΙ ΑΝ ΔΟΥΜΕ ΠΩΣ ΔΕΝ ΑΝΕΒΑΙΝΟΥΝ  ΝΑ ΤΟ ΞΑΝΑ ΤΣΕΚΑΡΟΥΜΕ ΜΕ ΤΗΝ ΚΟΤΑΝΙΔΙ</t>
  </si>
  <si>
    <t>Η ΠΕΛΑ ΔΕΝ ΜΠΟΡΕΙ ΤΡΙΤΗ ΚΑΙ ΠΑΡΑΣΚΕΥΗ ΝΑ ΚΑΝΕΙ ΜΑΘΗΜΑ</t>
  </si>
  <si>
    <t>ΤΡΙΤΗ ΚΑΙ ΠΕΜΠΤΗ ΔΕΝ ΜΠΟΡΕΙ Η ΑΠΛΑΔΑ ΕΚΤΟΣ ΑΠΌ 16-18 KAI AYTO AKOMA ΘΑ ΤΗΝ ΔΥΣΚΟΛΕΨΕΙ ΑΥΤΈΣ ΤΙΣ ΗΜΕΡΕΣ</t>
  </si>
  <si>
    <t>ΔΕΥΤΕΡΑ ΑΠΟΓΕΥΜΑ 29/09/2025 ΗΜΕΡΑ ΕΝΗΜΕΡΩΣΗΣ ΓΙΑ ΤΟ ΤΜΗΜΑ ΕΣΩΤΕΡΙΚΗΣ ΑΡΧΙΤΕΚΤΟΝΙΚΗΣ ΔΙΑΚΟΣΜΗΣΗΣ ΚΑΙ ΣΧΕΔΙΑΣΜΟΣ ΑΝΤΙΚΕΙΜΕΝΩΝ ΩΡΑ 18:00-19:00</t>
  </si>
  <si>
    <t>ΠΡΟΤΑΣΗ</t>
  </si>
  <si>
    <t>Κύριος Καθαράκης, Μέλπω</t>
  </si>
  <si>
    <t>Η ΣΚΟΡΔΟΥ ΜΠΟΡΕΙ ΤΕΤΑΡΤΗ 24/09/2025 ΣΤΙΣ 14:00 ΑΛΛΙΩΣ ΚΑΙ ΠΙΟ ΝΩΡΙΣ ΜΠΟΡΕΙ, ΑΚΥΡΩΝΟΝΤΑΣ ΡΑΝΤΕΒΟΥ</t>
  </si>
  <si>
    <t xml:space="preserve">Καλογεράκης </t>
  </si>
  <si>
    <t>ΝΑ ΚΑΛΕΣΟΥΜΕ ΑΡΜΑΝΤΟ ΓΙΑ ΚΑΘΑΡΙΟΤΗΤΑ ΠΑΤΩΜΑΤΑ ΚΟΥΖΙΝΑ ΚΑΙ ΖΑΧΑΡΟΠΛΑΣΤΕΙΟ ΚΑΙ ΝΑ ΚΑΛΕΣΟΥΜΕ ΚΑΙ ΑΣΤΡΙΝΑΚΗ ΓΙΑ ΝΑ ΚΑΝΕΙ ΔΥΟ ΠΑΤΕΝΤΕΣ ΓΙΑ ΓΥΨΟΣΑΝΙΔΑ Αστρινάκης Γιάννης - 6953003616 και Αρμάντο Μπαϊράμη LUXUS Cleaning - 6992327304</t>
  </si>
  <si>
    <t>ΚΑΘΑΡΙΟΤΗΤΑ ΚΑΙ ΕΠΙΣΚΕΥΕΣ</t>
  </si>
  <si>
    <t>Μέλπω και Κατερίνα</t>
  </si>
  <si>
    <t>Βήμα 1ο: Μπαίνουμε στο Notebook LM (https://notebooklm.google/), Βήμα 2ο: Μπαίνουμε με λογαρισμό katartisikek@gmail.com, Βήμα 3ο: Δημιουργία νέου σημειοματαρίου, Βήμα 4ο: Βάζουμε τις σημειώσεις μαθημάτων, Βήμα 5ο: Ηχητική επισκόπηση πχ θέλουμε με 2 host κλπ, Βήμα 6ο: Προεπιλογή θέλω να φτιάξεις υλικό για το μάθημα εισαγωγή στην στατιστιστική, για ειδικότητα Διοίκηση και Οικονομία ΙΣΑΕΚ ΤΕΧΝΙΚΕΣ ΣΧΟΛΕΣ. Το υλικό αυτό θέλω να πσρσκινεί το μαθητή να διαβάσει και μα καταλάβει τις σημειώσεις</t>
  </si>
  <si>
    <t>ΔΙΑΔΡΑΣΤΙΚΕΣ ΣΗΜΕΙΩΣΕΙΣ (Audiobook, Mindmap)</t>
  </si>
  <si>
    <t>Βεβαίωση φοίτησης για ΠΑΡΑΣΥΡΗ ΕΙΡΗΝΗ 6986783854 ΔΕΥΤΕΡΑ 13/10/2025</t>
  </si>
  <si>
    <t>ΒΕΒΑΙΩΣΗ ΕΓΓΡΑΦΗΣ</t>
  </si>
  <si>
    <t>ΝΑ ΚΑΛΕΣΩ 17/10/2025 ΤΗΝ ΕΛΕΥΘΕΡΙΟΥ ΦΩΤΕΙΝΗ ΑΠΌ ΤΟ ΕΠΙΜΕΛΗΤΗΡΙΟ ΓΙΑΤΙ ΕΧΟΥΝ ΛΕΕΙ ΣΤΟ ΣΑΙΤ ΓΙΑ ΕΓΓΡΑΦΕΣ ΣΥΝΔΕΣΜΟ ΚΑΙ ΘΕΛΕΙ ΝΑ ΞΕΡΕΙ ΠΟΤΕ ΝΑ ΤΟ ΑΦΕΡΕΣΕΙ, 2810247035</t>
  </si>
  <si>
    <t>ΕΓΓΡΑΦΕΣ</t>
  </si>
  <si>
    <t>ΣΟΦΙΑ ΚΟΥΤΣΟΓΙΑΝΝΑΚΗ ΔΕΝ ΜΠΟΡΕΙ ΝΑ ΕΡΘΕΙ ΚΑΙ ΘΕΛΕΙ ΝΑ ΠΑΓΩΣΕΙ ΤΟ 2Ο ΕΤΟΣ ΚΑΙ ΝΑ ΔΟΥΜΕ ΑΝ ΜΠΟΡΟΥΜΕ ΤΗΝ ΕΠΟΜΕΝΗ ΑΚΑΔΗΜΑΙΚΗ ΧΡΟΝΙΑΤΟ 2Ο ΕΤΟΣ ΝΑ ΤΟ ΔΟΥΜΕ ΣΤΟΝ ΠΗΓΑΣΟ</t>
  </si>
  <si>
    <t xml:space="preserve">ΕΓΓΡΑΦΕΣ </t>
  </si>
  <si>
    <t>ΝΑ ΡΩΤΗΣΩ ΤΟΝ ΚΩΣΤΑ ΑΝ ΜΠΟΡΕΙ ΝΑ ΑΛΛΑΞΕΙ ΤΟ ΟΝΟΜΑ ΚΑΙ ΑΝΤΙ ΓΙΑ ΗΜΕΡΟΜΗΝΙΑ ΝΑ ΕΧΕΙ ΟΝΟΜΑ ΚΑΙ ΝΑ ΓΡΑΦΕΙ ΠΧ ΜΑΘΗΜΑ 1</t>
  </si>
  <si>
    <t>ΜΑΓΝΗΤΟΣΚΟΠΗΣΕΙΣ</t>
  </si>
  <si>
    <t>Κωστή</t>
  </si>
  <si>
    <t>ΝΑ ΡΩΤΗΣΟΥΜΕ ΓΙΑ ΜΙΞΕΡ ΤΟΝ ΚΑΘΑΡΑΚΗ ΑΝ ΕΊΝΑΙ ΝΑ ΤΟ ΒΑΛΟΥΜΕ ΣΤΟ ΔΣ ΩΣ ΑΙΤΗΜΑ</t>
  </si>
  <si>
    <t>ΔΣ</t>
  </si>
  <si>
    <t>ΤΑ ΠΑΙΔΙΑ ΓΚΡΙΝΙΑΞΑΝ ΣΤΟΝ ΜΠΟΥΧΑΛΑΚΗ ΠΩΣ ΕΊΝΑΙ ΛΙΓΕΣ ΟΙ ΣΗΜΕΙΩΣΕΙΣ ΣΤΑ ΑΓΓΛΙΚΆ ΚΑΙ ΕΙΠΕ ΑΝ ΜΠΟΡΟΥΜΕ ΝΑ ΤΟΥΣ ΦΤΙΑΞΟΥΜΕ ΚΑΙ ΠΕΡΙΣΣΟΤΕΡΟ ΥΛΙΚΟ</t>
  </si>
  <si>
    <t>ΥΛΙΚΟ ΓΙΑ ΑΓΓΛΙΚΑ</t>
  </si>
  <si>
    <t>ΤΑ ΦΩΤΑ ΣΤΗΝ  ΈΝΑ ΠΑΝΩ ΑΠΌ ΤΗΝ ΠΟΡΤΑ ΤΡΕΜΟΠΑΙΖΕΙ ΚΑΛΟ ΕΊΝΑΙ ΝΑ ΑΛΛΑΧΘΕΙ ΓΙΑ ΝΑ ΜΗΝ ΧΑΛΑΣΕΙ ΈΝ ΩΡΑ ΜΑΘΗΜΑΤΟΣ ΚΑΙ ΔΕΝ ΒΛΕΠΟΥΝ ΤΑ ΠΑΙΔΙΑ</t>
  </si>
  <si>
    <t>ΦΩΤΑ</t>
  </si>
  <si>
    <t>ΝΑ ΚΑΛΕΣΩ 10/11/2025 ΤΗΝ ΣΤΡΑΤΑΚΗ ΜΑΡΙΑ ΓΙΑ ΝΑ ΤΗΝ ΡΩΤΗΣΩ ΑΝ ΣΤΑΜΑΤΗΣΕΙ ΤΕΛΙΚΑ</t>
  </si>
  <si>
    <t>ΔΑΣΚΑΛΑΚΗ - ΙΕΡΑΠΕΤΡΑΚΗ ΡΑΦΑΕΛΑ ΝΑ ΔΩΣΟΥΜΕ ΒΕΒΑΙΩΣΗ ΣΠΟΥΔΩΝ</t>
  </si>
  <si>
    <t>ΓΙΑ ΕΚΤΥΠΩΣΗ ΚΑΤΑΣΤΑΣΗΣ ΠΑΡΟΥΣΙΟΛΟΓΙΩΝ ΠΑΜΕ ΠΗΓΑΣΟ ΑΝΑΦΟΡΕΣ --&gt; ΠΑΡΟΥΣΙΟΛΟΓΙΟ ΚΑΙ ΜΕΤΑ ΕΚΤΥΠΩΝΟΥΜΕ ΓΙΑ ΔΕΥΤΕΡΑ (1, 2, 4, 6, 7) ΓΙΑ ΤΡΙΤΗ (1, 3, 4, 5, 6), ΓΙΑ ΤΕΤΑΡΤΗ (1, 2, 3, 5, 6, 7), ΓΙΑ ΠΕΜΠΤΗ (1, 2, 3, 5), ΓΙΑ ΠΑΡΑΣΚΕΥΗ (2, 4, 7)</t>
  </si>
  <si>
    <t>ΕΚΤΥΠΩΣΗ ΠΑΡΟΥΣΙΟΛΟΓΙΩΝ ΕΞΑΜΗΝΟ 2025Β</t>
  </si>
  <si>
    <t>Την Δευτέρα 3/11/2025 να αλλάξω κωδικούς στο Amadeus με το email που μου έχει δώσει ο Κωστής και το έχω στις εκκρεμότητες</t>
  </si>
  <si>
    <t>ΦΩΤΕΙΝΗ ΚΟΥΚΟΥΛΑΚΗ ΝΑ ΤΗΝ ΚΑΛΕΣΩ ΝΑ ΠΛΗΡΩΣΕΙ ΓΙΑ ΝΑ ΜΠΟΡΕΣΕΙ ΝΑ ΔΩΣΕΙ ΤΗΝ ΕΞΕΤΑΣΗ</t>
  </si>
  <si>
    <t>ΠΛΗΡΩΜΗ</t>
  </si>
  <si>
    <t>ΝΑ ΠΑΡΟΥΜΕ ΤΗΛΕΦΩΝΟ ΚΟΤΑΝΙΔΙ ΑΥΡΙΟ ΤΟ ΠΡΩΙ</t>
  </si>
  <si>
    <t>Η Σκόρδου θέλει να της βάλουμε το AUTOCAD στο laptop, για να βάζει στην αίθουσα σχεδιαστηρίων και να συνδέονται και τα παιδιά που δεν έχουν Laptop.</t>
  </si>
  <si>
    <t>AUTOCAD</t>
  </si>
  <si>
    <t>Κώστας</t>
  </si>
  <si>
    <t>Την Τετάρτη 12/11/2025, να δώσω στον κύριο Κουμάκη, την σύμβαση του και να δώσω και τα χρήματα που ήταν χρωστούμενα από κάτι που είχε πάρει</t>
  </si>
  <si>
    <t>ΣΥΜΒΑΣΗ ΚΑΙ ΧΡΗΜΑΤΑ</t>
  </si>
  <si>
    <t>ΧΡΙΣΤΟΦΟΡΟΣ ΣΜΑΡΑΓΔΑΚΗΣ: ΕΧΕΙ ΛΗΞΕΙ ΤΟ AUTOCAD ΓΙΑ ΤΟΥΣ ΠΑΛΙΟΥΣ ΦΟΙΤΗΤΕΣ ΕΣΩΤΕΡΙΚΗ ΑΡΧΙΤΕΚΤΟΝΙΚΗ ΔΙΑΚΟΣΜΗΣΗ ΚΑΙ ΣΧΕΔΙΑΣΜΟΣ ΑΝΤΙΚΕΙΜΕΝΩΝ. ΤΟΥΣ ΕΙΧΕ ΠΕΙ Η ΜΠΙΤΖΟΥ ΠΩΣ ΘΑ ΕΊΝΑΙ ΑΝΟΙΧΤΟ ΓΙΑ ΟΛΗ ΤΗΝ ΠΡΑΚΤΙΚΗ ΑΛΛΑ ΕΛΕΙΞΕ 04/11/2025</t>
  </si>
  <si>
    <t>ΝΑ ΚΑΛΕΣΩ ΤΟΝ ΣΤΑΜΑΤΑΚΗ CANDIA ΓΙΑ ΝΑ ΦΕΡΕΙ ΚΑΘΑΡΉΣΤΡΙΑ 15:00-16:30</t>
  </si>
  <si>
    <t>ΝΑ ΚΑΛΕΣΩ ΞΑΝΑ ΤΟΝ MIELE ΑΝ ΔΕΝ ΕΧΕΙ ΕΡΘΕΙ ΓΙΑ ΤΗΝ ΠΟΡΤΑ ΜΕΧΡΙ 17/11/2025, ΓΙΑΤΙ ΕΙΠΕ ΠΩΣ ΘΑ ΕΡΘΕΙ</t>
  </si>
  <si>
    <t>ΝΑ ΚΑΛΕΣΩ 12/12/2025 ΤΟ ΠΡΩΙ ΤΗΝ ΕΥΓΕΝΙΑ ΠΕΤΡΟΓΙΑΝΝΑΚΗ ΓΙΑ ΝΑ ΜΙΛΗΣΟΥΜΕ</t>
  </si>
  <si>
    <t>ΣΤΙΣ 12/11/2025 ΝΑ ΚΑΛΕΣΩ ΤΗΝ ΚΥΡΙΑ ΤΖΑΝΑΚΗ ΚΑΙ ΧΑΤΖΗΝΤΕΒΕ ΚΑΙ ΝΑ ΡΩΤΗΣΩ ΑΝ ΘΑ ΚΑΝΟΥΝ ΜΑΘΗΜΑ ΠΡΙΝ ΤΗΝ ΕΠΙΣΚΕΨΗ Ή ΠΩΣ ΘΑ ΤΟ ΚΑΝΟΝΙΣΟΥΝ ΚΛΠ ΓΙΑ ΝΑ ΕΝΗΜΕΡΩΣΩ ΜΕ EMAIL ΤΑ ΔΥΟ ΤΜΗΜΑΤΑ ΚΑΙ ΝΑ ΤΟ ΓΝΩΡΙΖΟΥΝ</t>
  </si>
  <si>
    <t>ΕΠΙΣΚΕΨΗ</t>
  </si>
  <si>
    <t>ΝΑ ΕΝΗΜΕΡΩΣΩ ΤΗΝ ΜΕΛΠΩ ΓΙΑΤΙ Η ΕΥΑ Η ΧΑΙΝΑΚΗ ΔΕΝ ΛΑΜΒΑΝΕΙ ΤΑ EMAIL ΤΗΣ ΓΙΑ ΝΑ ΔΟΎΜΕ ΤΙ ΜΠΟΡΕΙ ΝΑ ΠΑΕΙ ΛΑΘΟΣ</t>
  </si>
  <si>
    <t xml:space="preserve">ΝΑ ΠΑΡΑΓΓΕΙΛΟΥΜΕ ΧΑΡΤΙ ΕΠΑΓΓΕΛΜΑΤΙΚΟ ΠΟΥ ΜΠΑΙΝΕΙ ΣΤΟΝ ΤΟΙΧΟ </t>
  </si>
  <si>
    <t xml:space="preserve">ΝΑ ΚΑΛΕΣΩ ΤΗΝ ΚΟΤΑΝΙΔΙ ΓΙΑ ΝΑ ΜΟΥ ΠΕΙ ΚΑΙ ΓΙΑ ΤΗΝ ΜΟΥΤΖΙΟΥ ΝΑ ΔΩ ΤΙ ΘΑ ΓΙΝΕΙ ΜΕ ΤΗΝ ΚΑΤΑΤΑΞΗ ΤΟΥ ΚΟΥΜΑΚΗ ΚΑΙ ΠΩΣ ΘΑ ΤΟΝ ΠΕΡΑΣΟΥΜΕ </t>
  </si>
  <si>
    <t>ΚΑΛΕΣΑ ΤΟΝ ΚΥΡΙΟ ΚΟΥΜΑΚΗ 2810334407 ΠΟΥ ΕΙΧΑ ΧΑΡΤΑΚΙ ΚΑΙ ΜΟΥ ΕΙΠΕ 1. ΕΧΕΙ ΚΑΛΕΣΕΙ ΕΙΔΙΚΟΥΣ ΓΙΑ ΤΟΝ ΦΟΥΡΝΟ ΚΑΙ ΟΝΤΩΣ ΗΡΘΑΝ ΚΑΙ ΤΟΥΣ ΦΤΙΑΧΝΟΥΝ, 2. ΓΙΑ ΤΟ ΨΥΓΕΙΟ ΤΟ ΚΑΝΟΝΙΣΑ ΝΑ ΕΡΘΟΥΝ ΣΑΒΒΑΤΟ ΔΙΟΤΙ ΑΥΤΈΣ ΤΙΣ ΗΜΕΡΕΣ ΕΧΟΥΝ ΠΙΤΣΑΔΟΡΟ ΚΑΙ ΣΧΟΛΗ ΑΡΤΟΠΟΙΙΑΣ ΚΑΙ ΔΕΝ ΓΙΝΕΤΑΙ, ΓΙΑ ΝΑ ΚΑΤΑΛΑΒΟΥΝ ΤΟ ΨΥΓΕΙΟ ΠΟΥ ΕΙΝΑΙ ΧΑΛΑΣΜΕΝΟ ΕΒΑΛΑ ΚΑΙ ΧΑΡΤΙ ΚΑΙ ΕΙΠΑ ΚΑΙ ΣΤΗΝ ΜΑΙΡΗ ΠΟΥ ΘΑ ΕΙΝΑΙ 08:00-14:00 ΤΟ ΣΑΒΒΑΤΟ ΠΟΥ ΘΑ ΕΡΘΕΙ ΚΑΙ Ο ΤΕΧΝΙΚΟΣ. 3. ΤΑ ΜΠΙΣΚΟΤΑ ΤΑ ΦΥΛΑΞΑΝ Ο ΤΖΟΡΤΖΙΟ ΣΤΗΝΑΠΟΘΗΚΗ ΚΑΙ ΤΑ ΕΒΑΛΑ ΚΑΙ ΕΓΩ ΣΕ ΣΕΛΟΦΑΝ ΜΑΖΙ ΜΕ ΤΟ ΤΑΨΙ ΤΟΥΣ ΚΑΙ ΘΑ ΤΑ ΠΑΡΟΥΝ ΤΗΝ ΕΠΟΜΕΜΗ ΕΒΔΟΜΑΔΑ</t>
  </si>
  <si>
    <t>ΝΑ ΔΩ ΜΕ ΤΗΝ ΜΕΛΠΩ ΤΟ EMAIL ΠΟΥ ΜΑΣ ΠΡΟΩΘΗΣΕ Η ΚΩΝΣΤΑΝΤΙΝΑ ΚΑΙ ΕΊΝΑΙ ΓΙΑ ΑΠΟΓΡΑΦΗ ΣΧΟΛΗΣ ΕΩΣ ΚΑΙ 31/12/2025</t>
  </si>
  <si>
    <t>ΑΠΟΓΡΑΦΗ</t>
  </si>
  <si>
    <t>Ο ΚΑΘΑΡΑΚΗΣ ΕΙΠΕ ΝΑ ΚΑΛΕΣΟΥΜΕ ΜΙΑ ΣΥΝΑΝΤΗΣΗ ΚΑΘΗΓΗΤΩΝ ΟΛΩΝ ΤΩΝ ΕΙΔΙΚΟΤΗΤΩΝ (ΌΠΩΣ ΕΓΙΝΕ ΛΕΕΙ ΚΑΙ ΠΕΡΣΙ…)ΚΑΙ ΝΑ ΤΟΥΣ ΔΩΣΟΥΜΕ ΚΑΤΕΥΘΥΝΤΥΡΙΕΣ ΟΔΗΓΙΕΣ, ΝΑ ΓΝΩΡΙΣΤΟΥΝ ΜΕΤΑΞΥ ΤΟΥΣ ΚΛΠ</t>
  </si>
  <si>
    <t xml:space="preserve">ΕΠΙΣΗΣ  ΝΑ ΔΙΕΡΕΥΝΥΣΟΥΜΕ ΤΟ ΠΡΟΒΛΗΜΑ ΠΟΥ ΕΧΟΥΜΕ ΜΕ ΤΟΥΣ ΔΕΥΤΕΡΟΕΤΗΣ ΖΑΧΑΡΟΠΛΑΣΤΙΚΗΣ ΠΟΥ ΔΕΝ ΘΕΛΟΥΝ ΤΑ ΠΑΙΔΙΑ ΑΠΌ ΤΟ TASTE ACADEMY ΚΑΙ ΔΕΝ ΘΕΛΟΥΝ ΚΑΙ ΤΟΥΣ ΠΡΩΤΟΕΤΗΣ ΔΙΟΤΙ ΌΠΩΣ ΜΟΥ ΕΙΠΕ Η ΞΕΝΙΑ, ΤΟΥΣ ΘΕΩΡΟΥΝ ΑΝΩΡΙΜΟΥΣ ΚΑΙ ΌΧΙ ΤΟΥ ΙΔΙΟΥ ΕΠΙΠΕΔΟΥ ΚΑΙ Ο ΚΟΥΜΑΚΗΣ ΑΝΑΓΚΑΖΕΤΑΙ ΝΑ ΚΑΝΕΙ ΞΑΝΑ ΤΑ ΙΔΙΑ. ΕΝΩ ΕΜΕΙΣ ΤΟΥΣ ΕΧΟΥΜΕ ΠΕΙ ΝΑ ΚΑΝΟΥΝ 2 ΤΑΧΥΤΗΤΕΣ ΩΣΤΕ ΚΑΙ ΟΙ ΜΙΚΡΟΙ ΝΑ ΜΗΝ ΠΑΝΕ ΠΟΛΥ ΓΡΗΓΟΡΑ ΚΑΙ ΔΕΝ ΠΡΟΛΑΒΑΙΝΟΥΝ ΝΑ ΜΑΘΟΥΝ, ΟΥΤΕ ΟΙ ΔΕΥΤΕΡΟΕΤΗΣ ΝΑ ΝΙΩΘΟΥΝ ΠΩΣ ΔΕΝ ΜΑΘΑΙΝΟΥΝ ΑΥΤΑ ΠΟΥ ΕΠΡΕΠΕ ΝΑ ΜΑΘΟΥΝ ΣΤΟ ΜΑΘΗΜΑ ΤΟΥΣ </t>
  </si>
  <si>
    <t>ΝΑ ΠΩ ΣΤΟΝ ΚΩΣΤΑ ΌΤΙ ΣΤΗΝ 4 ΚΛΕΙΝΕΙ Ο PROJECTORAS ΜΟΛΙΣ ΚΛΕΙΣΕΙΣ ΚΑΙ ΤΟ ΦΩΣ… ΝΑ ΤΟ ΚΟΙΤΑΞΕΙ</t>
  </si>
  <si>
    <t>ΝΑ ΚΑΛΕΣΩ ΑΥΡΙΟ ΤΗΝ ΕΚΔΗΛΩΣΗ ΕΝΔΙΑΦΕΡΟΝΤΟΣ ΠΟΥ ΕΚΑΝΕ ΣΗΜΕΡΑ ΤΟ ΠΡΩΙ ΜΙΑ ΚΥΡΙΑ ΚΑΙ ΤΟ ΕΧΩ ΒΑΛΕΙ ΣΤΙΣ ΕΚΚΡΕΜΟΤΗΤΕΣ ΓΙΑ ΝΑ ΤΟ ΘΥΜΗΘΩ</t>
  </si>
  <si>
    <t>ΝΑ ΔΩΣΩ ΤΑ ΒΙΒΛΙΑ ΣΤΟΝ ΚΥΡΙΟ ΜΠΟΥΧΑΛΑΚΗ</t>
  </si>
  <si>
    <t>ΝΑ ΠΑΡΟΥΜΕ ΚΛΕΙΔΙΑ 7 ΚΑΙ 10 ΑΠΌ ΤΟΝ ΜΠΑΛΑΧΙΟΥΤΙ ΠΟΥ ΕΊΝΑΙ ΑΠΕΝΑΝΤΙ ΑΠΌ ALPHA BANK ΚΑΙ ΔΙΠΛΑ ΣΤΟΝ ΣΑΜΟΛΗ ΚΑΙ ΝΑ ΕΧΟΥΜΕ ΈΝΑ ΕΜΕΊΣ ΚΑΙ ΈΝΑ ΜΕΣΑ ΣΤΗΝ ΑΙΘΟΥΣΑ ΚΑΙ ΝΑ ΠΑΡΟΥΜΕ ΚΑΙ ΓΙΑ ΤΟΥΣ ΜΑΓΕΙΡΕΣ ΜΗΝ ΓΙΝΟΥΝ ΠΑΛΙ ΤΑ ΙΔΙΑ</t>
  </si>
  <si>
    <t>ΚΛΕΙΔΙΑ</t>
  </si>
  <si>
    <t xml:space="preserve">ΣΤΗ ΣΥΝΑΝΤΗΣΗ ΜΕ ΤΟΥΣ ΚΑΘΗΓΗΤΕΣ ΜΑΓΕΙΡΙΚΗΣ ΕΙΠΑΜΕ 1. ΝΑ ΚΑΝΟΥΜΕ ΜΙΑ ΗΜΕΡΑ ΚΑΡΙΕΡΑΣ ΟΠΟΥ ΘΑ ΚΑΝΟΥΜΕ ΠΡΟΣΚΛΗΣΗ ΣΕ ΌΛΑ ΤΑ ΛΥΚΕΙΑ - ΔΕΥΤΕΡΟΒΑΘΜΙΑ ΕΚΠΑΙΔΕΥΣΗ, 2. ΕΚΠΑΙΔΕΥΤΙΚΗ ΕΚΔΡΟΜΗ ΛΥΚΕΙΩΝ ΓΙΑ ΝΑ ΕΡΘΟΥΝ ΕΔΏ ΓΙΑ ΕΠΕΙΔΗΞΗ, 3. ΝΑ ΚΑΝΟΥΜΕ ΕΠΙΣΚΕΨΕΙΣ ΜΕ ΣΕΦ ΣΕ ΣΧΟΛΕΙΑ , 4. ΝΑ ΓΙΝΟΥΝ ΠΑΚΕΤΑΚΙΑ ΜΕ ΚΟΥΡΑΜΠΙΕΔΕΣ ΚΑΙ ΧΡΙΣΤΟΨΩΜΟ ΚΑΙ ΝΑ ΔΩΘΟΥΝ ΣΤΑ ΛΥΚΕΙΑ </t>
  </si>
  <si>
    <t>ΝΑ ΕΝΗΜΕΡΩΣΟΥΜΕ ΜΑΡΑΓΚΑΚΗ ΠΩΣ 10/02 ΘΑ ΕΧΟΥΜΕ ΛΗΞΗ ΕΞΑΜΗΝΟΥ ΌΧΙ ΕΞΕΤΑΣΕΙΣ ΑΡΑ ΟΙ ΕΞΕΤΑΣΕΙΣ ΘΑ ΕΊΝΑΙ ΜΙΑ ΜΕ ΔΥΟ ΕΒΔΟΜΑΔΕΣ ΠΡΙΝ</t>
  </si>
  <si>
    <t xml:space="preserve">ΕΙΠΑΜΕ ΝΑ ΔΟΥΜΕ ΤΟ ΘΕΜΑ ΜΕ ΤΗΝ ΠΕΤΡΟΓΙΑΝΝΑΚΗ ΚΑΙ ΓΕΩΡΓΙΟΥΔΑΚΗ. ΝΑ ΔΟΥΜΕ ΥΠΟΧΡΕΩΤΙΚΟ ΠΑΡΑΣΚΕΥΗ AMADEUS Ή ΕΡΓΑΣΙΕΣ. </t>
  </si>
  <si>
    <t>ΝΑ ΕΝΗΜΕΡΩΣΩ ΤΑ ΠΑΙΔΙΑ ΠΩΣ ΔΕΝ ΘΑ ΕΧΟΥΝ ΜΑΘΗΜΑ ΜΕ ΤΟΝ ΠΑΠΑΔΟΜΑΝΩΛΑΚΗ ΤΗΝ ΤΡΙΤΗ ΚΑΙ ΠΩΣ ΓΙΑ ΑΝΑΠΛΗΡΩΣΗ ΘΑ ΔΟΥΜΕ ΣΕ ΕΠΟΜΕΝΟ ΧΡΟΝΟ\</t>
  </si>
  <si>
    <t>ΝΑ ΣΥΝΕΧΙΣΩ ΓΙΑ ΠΕΜΠΤΗ ΠΑΡΑΣΚΕΥΗ ΝΑ ΓΡΑΦΩ ΣΤΑ ΒΙΒΛΙΑ ΥΛΗΣ ΚΑΙ ΣΤΟ ΒΙΒΛΙΟ ΩΡΩΝ ΚΑΘΗΓΗΤΩΝ ΌΤΙ ΕΜΕΙΝΕ</t>
  </si>
  <si>
    <t>ΔΙΑΔΙΚΑΣΤΙΚΑ</t>
  </si>
  <si>
    <t>ΝΑ ΔΩ ΤΙΣ ΩΡΕΣ ΤΩΝ ΕΚΠΑΙΔΕΥΤΩΝ ΜΕ ΤΗΝ ΜΕΛΠΩ ΚΑΙ ΜΕΤΑ ΝΑ ΤΑ ΔΩΣΩ ΣΤΟΝ ΚΥΡΙΟ ΤΣΙΚΑΛΑΚΗ</t>
  </si>
  <si>
    <t>Α/Α</t>
  </si>
  <si>
    <t>ΤΜΗΜΑ</t>
  </si>
  <si>
    <t xml:space="preserve">ΟΝΟΜΑ </t>
  </si>
  <si>
    <t>ΕΠΩΝΥΜΟ</t>
  </si>
  <si>
    <t>EMAIL</t>
  </si>
  <si>
    <t>ΤΕΛΕΦΩΝΟ</t>
  </si>
  <si>
    <t>ΦΥΣΙΚΑ ΠΕΤΡΩΜΑΤΑ</t>
  </si>
  <si>
    <t>ΠΑΛΑΙΟΤΕΡΟΙ ΠΟΛΙΤΙΣΜΟΙ ΚΑΙ ΤΕΧΝΗ</t>
  </si>
  <si>
    <t>ΓΡΑΜΜΙΚΟ ΣΧΕΔΙΟ</t>
  </si>
  <si>
    <t>ΕΛΕΥΘΕΡΟ ΚΑΙ ΒΑΣΙΚΟ ΣΧΕΔΙΟ</t>
  </si>
  <si>
    <t>ΧΡΩΜΑ ΚΑΙ ΔΙΑΚΟΣΜΗΤΙΚΕΣ ΕΦΑΡΜΟΓΕΣ</t>
  </si>
  <si>
    <t>ΠΡΑΚΤΙΚΗ ΕΦΑΡΜΟΓΗ σε χώρο βιτρίνας</t>
  </si>
  <si>
    <t>ΕΠΙΘΕΤΟ</t>
  </si>
  <si>
    <t>ΟΝΟΜΑ</t>
  </si>
  <si>
    <t>ΚΙΝΗΤΟ</t>
  </si>
  <si>
    <t xml:space="preserve">ΤΜΗΜΑ </t>
  </si>
  <si>
    <t>ΤΙΜΟΛΟΓΙΟ VS ΣΥΜΒΑΣΗ</t>
  </si>
  <si>
    <t>ΩΡΕΣ ΠΟΥ ΔΕΝ ΕΓΙΝΑΝ ΑΝΑΠΛΗΡΩΣΗ</t>
  </si>
  <si>
    <t>ΩΡΕΣ ΟΚΤΩΜΒΡΙΟΥ</t>
  </si>
  <si>
    <t>ΩΡΕΣ ΝΟΕΜΒΡΙΟΥ</t>
  </si>
  <si>
    <t>ΩΡΕΣ ΔΕΚΕΜΒΡΙΟΥ</t>
  </si>
  <si>
    <t>ΩΡΕΣ ΙΑΝΟΥΑΡΙΟΥ</t>
  </si>
  <si>
    <t>ΩΡΕΣ ΦΕΒΡΟΥΑΡΙΟΥ</t>
  </si>
  <si>
    <t>ΕΣΩΤΕΡΙΚΗ ΑΡΧΙΤΕΚΤΟΝΙΚΗ ΔΙΑΚΟΣΜΗΣΗ ΚΑΙ ΣΧΕΔΙΑΣΜΟΣ ΑΝΤΙΚΕΙΜΕΝΩΝ (1ο ΕΤΟΣ)</t>
  </si>
  <si>
    <t>ΑΝΤΩΝΗΣ</t>
  </si>
  <si>
    <t xml:space="preserve">ΠΑΠΑΔΟΠΟΥΛΟΣ </t>
  </si>
  <si>
    <t>iwona55@windowslive.com</t>
  </si>
  <si>
    <t>9</t>
  </si>
  <si>
    <t>ΜΠΙΤΖΟΥ</t>
  </si>
  <si>
    <t>ΘΕΟΔΟΣΙΑ</t>
  </si>
  <si>
    <t>6944632864 και 2811391656</t>
  </si>
  <si>
    <t>thbitzou@gmail.com</t>
  </si>
  <si>
    <t>Εσωτερική Αρχιτεκτονική Διακόσμηση και Σχεδιασμός Αντικειμένων</t>
  </si>
  <si>
    <t>ΣΥΜΒΑΣΗ</t>
  </si>
  <si>
    <t>ΠΕΙΡΑΙΩΣ: GR8601727550005755015924445</t>
  </si>
  <si>
    <t xml:space="preserve"> ΝΙΚΟΛ</t>
  </si>
  <si>
    <t>ΑΝΑΣΤΑΣΙΑΔΗ</t>
  </si>
  <si>
    <t>anasta.nicole@gmail.com</t>
  </si>
  <si>
    <t>4/5</t>
  </si>
  <si>
    <t>4/9</t>
  </si>
  <si>
    <t>3/9</t>
  </si>
  <si>
    <t>2/9</t>
  </si>
  <si>
    <t>ΧΑΤΖΗΝΤΕΒΕ</t>
  </si>
  <si>
    <t>ΧΡΙΣΤΙΝΑ</t>
  </si>
  <si>
    <t xml:space="preserve">cchatzideve@gmail.com </t>
  </si>
  <si>
    <t>είναι ο ίδιος λογαρισμός</t>
  </si>
  <si>
    <t>ΓΙΑΝΝΗΣ</t>
  </si>
  <si>
    <t xml:space="preserve">ΚΟΥΤΣΟΓΙΑΝΝΑΚΗΣ </t>
  </si>
  <si>
    <t>gianneskoutsogiannakes@gmail.com</t>
  </si>
  <si>
    <t>8/9</t>
  </si>
  <si>
    <t>ΣΚΟΡΔΟΥ</t>
  </si>
  <si>
    <t>ΕΛΕΝΗ</t>
  </si>
  <si>
    <t>elenskordou@gmail.com</t>
  </si>
  <si>
    <t>ΤΙΜΟΛΟΓΙΟ</t>
  </si>
  <si>
    <t>ALPHA BANK: GR2901407750775002002022156</t>
  </si>
  <si>
    <t xml:space="preserve">ΕΙΡΗΝΗ </t>
  </si>
  <si>
    <t xml:space="preserve">ΠΕΡΗΦΑΝΟΥ </t>
  </si>
  <si>
    <t>eiriniperif@gmail.com</t>
  </si>
  <si>
    <t>2/5</t>
  </si>
  <si>
    <t>6/5</t>
  </si>
  <si>
    <t>6/9</t>
  </si>
  <si>
    <t>5/9</t>
  </si>
  <si>
    <t>ΛΥΡΑΤΖΑΚΗ</t>
  </si>
  <si>
    <t>elenhlyratzakh@gmail.com</t>
  </si>
  <si>
    <t>EUROBANK: GR9002601340000010201479574</t>
  </si>
  <si>
    <t xml:space="preserve"> ΕΥΑ</t>
  </si>
  <si>
    <t>ΧΑΙΝΑΚΗ</t>
  </si>
  <si>
    <t>ehainaki@gmail.com</t>
  </si>
  <si>
    <t>ΤΖΑΝΑΚΗ</t>
  </si>
  <si>
    <t>ΕΛΕΥΘΕΡΙΑ</t>
  </si>
  <si>
    <t xml:space="preserve"> eleftheriatzanaki@gmail.com</t>
  </si>
  <si>
    <t>Eurobank:
GR3202606840000530103488326</t>
  </si>
  <si>
    <t>ΑΠΛΑΔΑ</t>
  </si>
  <si>
    <t>ΣΟΦΙΑ - ΧΑΡΑ</t>
  </si>
  <si>
    <t>sofiacharapple@gmail.com</t>
  </si>
  <si>
    <t>Τεχνικός Αρτοποιίας – Ζαχαροπλαστικής</t>
  </si>
  <si>
    <t>12</t>
  </si>
  <si>
    <t>Πειραιώς: GR8201714330006433139066923</t>
  </si>
  <si>
    <t xml:space="preserve">EMAIL </t>
  </si>
  <si>
    <t>ΤΕΧΝΗΤΑ ΥΛΙΚΑ</t>
  </si>
  <si>
    <t>ΣΥΓΧΡΟΝΗ ΚΑΙ ΕΛΛΗΝΙΚΗ ΤΕΧΝΗ</t>
  </si>
  <si>
    <t>ΤΡΙΣΔΙΑΣΤΑΤΗ ΨΗΦΙΑΚΗ ΣΧΕΔΙΑΣΗ</t>
  </si>
  <si>
    <t>ΚΑΤΑΣΚΕΥΑΣΤΙΚΟ ΣΧΕΔΙΟ ΕΣΩΤΕΡΙΚΩΝ ΧΩΡΩΝ</t>
  </si>
  <si>
    <t>ΔΙΑΚΟΣΜΗΤΙΚΕΣ ΕΦΑΡΜΟΓΕΣ ΧΡΗΣΤΙΚΩΝ ΑΝΤΙΚΕΙΜΕΝΩΝ</t>
  </si>
  <si>
    <t>ΠΡΑΚΤΙΚΗ ΕΦΑΡΜΟΓΗ σε χώρους εργασίας</t>
  </si>
  <si>
    <t>ΒΟΓΙΑΤΖΗΣ</t>
  </si>
  <si>
    <t>ΔΙΟΝΥΣΗΣ</t>
  </si>
  <si>
    <t>6946076210 &amp; 2810236060</t>
  </si>
  <si>
    <t>nioniosvog@hotmail.com</t>
  </si>
  <si>
    <t>28</t>
  </si>
  <si>
    <t>21</t>
  </si>
  <si>
    <t>14</t>
  </si>
  <si>
    <t>ΕΣΩΤΕΡΙΚΗ ΑΡΧΙΤΕΚΤΟΝΙΚΗ ΔΙΑΚΟΣΜΗΣΗ ΚΑΙ ΣΧΕΔΙΑΣΜΟΣ ΑΝΤΙΚΕΙΜΕΝΩΝ (2ο ΕΤΟΣ)</t>
  </si>
  <si>
    <t xml:space="preserve">ΣΟΦΙΑ </t>
  </si>
  <si>
    <t>ΑΝΑΣΤΑΣΑΚΗ</t>
  </si>
  <si>
    <t>sofia1129@yahoo.gr</t>
  </si>
  <si>
    <t>10/5</t>
  </si>
  <si>
    <t>12/5</t>
  </si>
  <si>
    <t>ΚΟΥΜΑΚΗΣ</t>
  </si>
  <si>
    <t>ΚΩΝΣΤΑΝΤΙΝΟΣ</t>
  </si>
  <si>
    <t>6974120129, 2810334407</t>
  </si>
  <si>
    <t>info@zaxaroplasteiokoumakis.gr</t>
  </si>
  <si>
    <t>ΈΧΕΙ ΤΟΝ ΠΕΡΣΙΝΟ ΕΙΠΕ</t>
  </si>
  <si>
    <t>ΑΝΤΩΝΑΚΑΚΗ</t>
  </si>
  <si>
    <t>antellmar@yahoo.gr</t>
  </si>
  <si>
    <t xml:space="preserve">ΦΥΣΑΡΑΚΗΣ </t>
  </si>
  <si>
    <t>ΔΗΜΗΤΡΗΣ</t>
  </si>
  <si>
    <t>dfisarakis@gmail.com</t>
  </si>
  <si>
    <t>ΕΘΝΙΚΗ GR8701107550000075501929618</t>
  </si>
  <si>
    <t>ΑΝΑΣΤΑΣΙΑ</t>
  </si>
  <si>
    <t>ΑΠΟΣΤΟΛΑΚΗ</t>
  </si>
  <si>
    <t>apostolakiana18@gmail.com</t>
  </si>
  <si>
    <t>6/7</t>
  </si>
  <si>
    <t>10/11</t>
  </si>
  <si>
    <t>10/9</t>
  </si>
  <si>
    <t>ΝΕΟΝΑΚΗ</t>
  </si>
  <si>
    <t>ΜΑΡΙΝΑ</t>
  </si>
  <si>
    <t>neonakimar@yahoo.gr</t>
  </si>
  <si>
    <t>16</t>
  </si>
  <si>
    <t>Eurobank: GR4902601340000000200749466</t>
  </si>
  <si>
    <t>ΜΑΡΙΑ</t>
  </si>
  <si>
    <t>ΑΡΦΑΝΑΚΗ</t>
  </si>
  <si>
    <t>mariaarf02@gmail.com</t>
  </si>
  <si>
    <t>ΧΑΝΙΩΤΑΚΗΣ</t>
  </si>
  <si>
    <t>ΧΑΡΑΛΑΜΠΟΣ</t>
  </si>
  <si>
    <t>babis.chaniotakis@gmail.com</t>
  </si>
  <si>
    <t>24</t>
  </si>
  <si>
    <t>18</t>
  </si>
  <si>
    <t>Eurobank: GR5002604030000530200115581</t>
  </si>
  <si>
    <t>ΦΩΤΕΙΝΗ</t>
  </si>
  <si>
    <t>ΒΑΣΙΛΕΙΑΔΗ</t>
  </si>
  <si>
    <t>fotvas98@gmail.com</t>
  </si>
  <si>
    <t>3/7</t>
  </si>
  <si>
    <t>ΠΑΠΑΔΟΜΑΝΩΛΑΚΗΣ</t>
  </si>
  <si>
    <t xml:space="preserve">ΔΗΜΗΤΡΗΣ </t>
  </si>
  <si>
    <t>dpapadomanolakis@uniwa.gr</t>
  </si>
  <si>
    <t>Στέλεχος Διοίκησης και Οικονομίας</t>
  </si>
  <si>
    <t>20</t>
  </si>
  <si>
    <t>15</t>
  </si>
  <si>
    <t>10</t>
  </si>
  <si>
    <t>EUROBANK: GR4902600020000630101333443</t>
  </si>
  <si>
    <t>ΓΕΩΡΓΙΟΥΔΑΚΗ</t>
  </si>
  <si>
    <t>el.georgioudaki@gmail.com</t>
  </si>
  <si>
    <t>5/11</t>
  </si>
  <si>
    <t>ΚΟΥΝΔΟΥΡΑΚΗ</t>
  </si>
  <si>
    <t>ΗΛΕΚΤΡΑ</t>
  </si>
  <si>
    <t>koundouraki@katartisi.gr</t>
  </si>
  <si>
    <t>Τετάρτη 5/11/2025, Τετάρτη 19/11/2025, Τετάρτη17/12/2025</t>
  </si>
  <si>
    <t>υπάρχουν τα στοιχεία τραπεζικού λογαριασμού</t>
  </si>
  <si>
    <t>ΡΑΦΑΕΛΑ</t>
  </si>
  <si>
    <t>raphaelaierapetritake@gmail.com</t>
  </si>
  <si>
    <t>ΚΥΡΛΑΚΗΣ</t>
  </si>
  <si>
    <t>ΜΑΡΙΟΣ</t>
  </si>
  <si>
    <t>kirlakismarios@gmail.com</t>
  </si>
  <si>
    <t>Τεχνικός Μαγερικής Τέχνης</t>
  </si>
  <si>
    <t>32</t>
  </si>
  <si>
    <t>8</t>
  </si>
  <si>
    <t>ΝΙΚΟΛΑΟΣ</t>
  </si>
  <si>
    <t>ΖΑΧΑΡΑΚΗΣ</t>
  </si>
  <si>
    <t>nikoszaxarakhs96@yahoo.gr</t>
  </si>
  <si>
    <t>ΦΥΓΕΤΑΚΗ</t>
  </si>
  <si>
    <t>m.fygetaki@gmail.com</t>
  </si>
  <si>
    <t xml:space="preserve">Στέλεχος Υπηρεσιών Αερομεταφοράς </t>
  </si>
  <si>
    <t>EUROBANK: GR5502602760000280101488588</t>
  </si>
  <si>
    <t>ΕΥΓΕΝΙΑ</t>
  </si>
  <si>
    <t>ΠΕΤΡΟΓΙΑΝΝΑΚΗ</t>
  </si>
  <si>
    <t>eugeniapetrogiannaki15@gmail.com</t>
  </si>
  <si>
    <t>8/5</t>
  </si>
  <si>
    <t>ΜΑΡΚΑΚΗ ΤΡΥΠΑΚΗ</t>
  </si>
  <si>
    <t>ΠΕΛΑΓΙΑ</t>
  </si>
  <si>
    <t>ptrypaki@yahoo.gr</t>
  </si>
  <si>
    <r>
      <t xml:space="preserve">Δευτέρα, 13 Οκτωβρίου 17:45-22:00 </t>
    </r>
    <r>
      <rPr>
        <sz val="11"/>
        <color theme="9"/>
        <rFont val="Aptos Narrow"/>
        <family val="2"/>
        <scheme val="minor"/>
      </rPr>
      <t>ok</t>
    </r>
  </si>
  <si>
    <t>52</t>
  </si>
  <si>
    <t>46</t>
  </si>
  <si>
    <t>45</t>
  </si>
  <si>
    <t>ΕΘΝΙΚΗ: GR6701108050000080560371439</t>
  </si>
  <si>
    <t>ΒΑΣΙΛΙΚΗ</t>
  </si>
  <si>
    <t>ΦΑΡΣΑΡΗ</t>
  </si>
  <si>
    <t>farsaryvasiliky@gmail.com</t>
  </si>
  <si>
    <t>ΜΠΟΥΧΑΛΑΚΗΣ</t>
  </si>
  <si>
    <t>ΕΜΜΑΝΟΥΗΛ</t>
  </si>
  <si>
    <t>manbouch@yahoo.com</t>
  </si>
  <si>
    <t>ΑΓΓΛΙΚΑ</t>
  </si>
  <si>
    <t>ΔΕΝ ΕΓΡΑΨΕ ΤΡΑΠΕΖΑ ΜΑΛΛΟΝ ΕΊΝΑΙ EUROBANK: GR0902601340000070101663955</t>
  </si>
  <si>
    <t>ΣΤΥΛΙΑΝΗ</t>
  </si>
  <si>
    <t>ΦΡΑΓΚΙΑΔΑΚΗ</t>
  </si>
  <si>
    <t>stellafragkiadaki23@gmail.com</t>
  </si>
  <si>
    <t>ΣΑΒΑ</t>
  </si>
  <si>
    <t>ΜΙΚΑΕΛΑ</t>
  </si>
  <si>
    <t>mikasava96@gmail.com</t>
  </si>
  <si>
    <t>ΓΑΛΛΙΚΑ</t>
  </si>
  <si>
    <t>4</t>
  </si>
  <si>
    <t>ΕΥΑΓΓΕΛΙΑ</t>
  </si>
  <si>
    <t>ΧΑΡΑΛΑΜΠΑΚΗ</t>
  </si>
  <si>
    <t>xaralaeva30@yahoo.com</t>
  </si>
  <si>
    <t>ΑΝΑΓΝΩΣΤΑΚΗ</t>
  </si>
  <si>
    <t>ΝΙΚΗ</t>
  </si>
  <si>
    <t>ni.anagnostaki@gmail.com</t>
  </si>
  <si>
    <t>ΔΙΚΑΙΟ</t>
  </si>
  <si>
    <t>6</t>
  </si>
  <si>
    <t>ΠΕΙΡΑΙΩΣ GR9301722330005233087759281
ΕΘΝΙΚΗ GR1401107550000075501242814</t>
  </si>
  <si>
    <t xml:space="preserve"> </t>
  </si>
  <si>
    <t xml:space="preserve">ΕΙΣΑΓΩΓΗ ΣΤΗ ΓΕΝΙΚΗ ΛΟΓΙΣΤΙΚΗ </t>
  </si>
  <si>
    <t>ΑΣΤΙΚΟ ΔΙΚΑΙΟ</t>
  </si>
  <si>
    <t>ΕΙΣΑΓΩΓΗ ΣΤΑ ΟΙΚΟΝΟΜΙΚΑ ΜΑΘΗΜΑΤΙΚΑ</t>
  </si>
  <si>
    <t>ΕΙΣΑΓΩΓΗ ΣΤΗΝ ΣΤΑΤΙΣΤΙΚΗ</t>
  </si>
  <si>
    <t>ΕΙΣΑΓΩΓΗ ΣΤΗ ΔΙΟΙΚΗΣΗ ΕΠΙΧΕΙΡΗΣΕΩΝ</t>
  </si>
  <si>
    <t>ΕΠΑΓΓΕΛΜΑΤΙΚΕΣ ΔΕΞΙΟΤΗΤΕΣ ΜΕ ΤΗ ΧΡΗΣΗ ΛΟΓΙΣΤΙΚΩΝ ΦΥΛΛΩΝ</t>
  </si>
  <si>
    <t>ΠΡΑΚΤΙΚΗ ΕΦΑΡΜΟΓΗ ΣΤΗΝ ΕΙΔΙΚΟΤΗΤΑ</t>
  </si>
  <si>
    <t>MARKETING</t>
  </si>
  <si>
    <t>ΣΤΕΛΕΧΟΣ ΔΙΟΙΚΗΣΗΣ ΚΑΙ ΟΙΚΟΝΟΜΙΑΣ (1ο ΕΤΟΣ)</t>
  </si>
  <si>
    <t>ΚΛΕΙΩ</t>
  </si>
  <si>
    <t xml:space="preserve">ΚΕΝΔΡΙΣΤΑΚΗ </t>
  </si>
  <si>
    <t>kendristakek@gmail.com</t>
  </si>
  <si>
    <t>ΧΑΡΙΔΗΜΟΣ ΕΜΜΑΝΟΥΗΛ</t>
  </si>
  <si>
    <t xml:space="preserve">ΜΑΝΙΟΥΔΑΚΗΣ </t>
  </si>
  <si>
    <t>charitosmanioudakes78@gmail.com</t>
  </si>
  <si>
    <t>ΠΑΥΛΙΝΑ</t>
  </si>
  <si>
    <t xml:space="preserve">ΜΩΥΣΑΚΗ </t>
  </si>
  <si>
    <t>paulinamoysaki123@gmail.com</t>
  </si>
  <si>
    <t>9/7</t>
  </si>
  <si>
    <t xml:space="preserve">ΠΑΠΑΔΑΚΗ </t>
  </si>
  <si>
    <t>papadakimar44@gmail.com</t>
  </si>
  <si>
    <t>ΡΙΖΟΥ</t>
  </si>
  <si>
    <t xml:space="preserve">ΜΑΡΙΑ </t>
  </si>
  <si>
    <t xml:space="preserve">ΣΤΡΑΤΑΚΗ </t>
  </si>
  <si>
    <t>14/5</t>
  </si>
  <si>
    <t>11/5</t>
  </si>
  <si>
    <t xml:space="preserve">ΤΡΙΓΩΝΗ </t>
  </si>
  <si>
    <t>chtrigoni@gmail.com</t>
  </si>
  <si>
    <t>ΚΩΝΣΤΑΝΤΙΝΟΣ-ΜΑΡΙΟΣ</t>
  </si>
  <si>
    <t xml:space="preserve">ΤΣΙΚΑΝΔΥΛΑΚΗΣ </t>
  </si>
  <si>
    <t>tsikandilakisn@gmail.com</t>
  </si>
  <si>
    <t xml:space="preserve">ΦΙΟΡΕΤΖΗΣ </t>
  </si>
  <si>
    <t>manolisfioretzis21@yahoo.gr</t>
  </si>
  <si>
    <t>ΔΗΜΟΚΡΑΤΗΣ</t>
  </si>
  <si>
    <t xml:space="preserve">ΧΑΤΖΗΓΕΩΡΓΙΟΥ </t>
  </si>
  <si>
    <t>dimokratis11@gmail.com</t>
  </si>
  <si>
    <t>7/9</t>
  </si>
  <si>
    <t>ΕΙΣΑΓΩΓΗ ΣΤΗΝ ΑΕΡΟΠΟΡΙΚΗ ΟΡΟΛΟΓΙΑ ΣΤΑ ΑΓΓΛΙΚΑ</t>
  </si>
  <si>
    <t>ΕΙΣΑΓΩΓΗ ΣΤΗΝ ΑΕΡΟΠΟΡΙΚΗ ΟΡΟΛΟΓΙΑ ΣΤΑ ΓΑΛΛΙΚΑ</t>
  </si>
  <si>
    <t>ΔΙΟΙΚΗΣΗ ΑΕΡΟΔΡΟΜΙΩΝ ΚΑΙ ΑΕΡΟΠΟΡΙΚΩΝ ΥΠΗΡΕΣΙΩΝ</t>
  </si>
  <si>
    <t>ΛΕΙΤΟΥΡΓΙΕΣ ΕΤΑΙΡΕΙΩΝ ΕΠΙΓΕΙΑΣ ΕΞΥΠΗΡΕΤΗΣΗΣ – ΕΞΥΠΗΡΕΤΗΣΗ ΕΠΙΒΑΤΩΝ/ΙΔΩΝ Ή ΠΕΛΑΤΩΝ/ΙΣΣΩΝ (CHECK IN/BAGGAGE HANDLING)</t>
  </si>
  <si>
    <t>ΔΙΑΧΕΙΡΙΣΗ ΚΡΙΣΕΩΝ ΚΑΙ ΑΠΩΛΕΙΑ ΑΠΟΣΚΕΥΩΝ</t>
  </si>
  <si>
    <t>ΑΣΦΑΛΕΙΑ ΚΑΙ ΥΓΙΕΙΝΗ</t>
  </si>
  <si>
    <t>ΕΙΣΑΓΩΓΗ ΣΤΑ ΣΥΣΤΗΜΑΤΑ ΚΡΑΤΗΣΕΩΝ ΑΕΡΟΠΟΡΙΚΩΝ ΕΙΣΙΤΗΡΙΩΝ</t>
  </si>
  <si>
    <t>ΕΙΣΑΓΩΓΗ ΣΤΗΝ ΚΑΤΑΣΚΕΥΗ ΑΕΡΟΠΟΡΙΚΟΥ ΝΑΥΛΟΥ ΚΑΙ ΤΙΜΟΛΟΓΗΣΗ ΑΕΡΟΠΟΡΙΚΩΝ ΕΙΣΙΤΗΡΙΩΝ</t>
  </si>
  <si>
    <t>ΣΤΕΛΕΧΟΣ ΥΠΗΡΕΣΙΩΝ ΑΕΡΟΜΕΤΑΦΟΡΑΣ (2ο ΕΤΟΣ )</t>
  </si>
  <si>
    <t>ΜΑΝΩΛΑΚΑΚΗ</t>
  </si>
  <si>
    <t>manolakakimaria@yahoo.gr</t>
  </si>
  <si>
    <t>ΜΑΡΑΓΚΑΚΗ</t>
  </si>
  <si>
    <t>mariamaragkaki@yahoo.gr</t>
  </si>
  <si>
    <t>ΚΩΝΣΤΑΝΤΙΝΑ</t>
  </si>
  <si>
    <t>ΣΜΥΡΝΑΚΗ</t>
  </si>
  <si>
    <t>nantiasmirnaki@gmail.com</t>
  </si>
  <si>
    <t>3/5</t>
  </si>
  <si>
    <t>ΟΥΡΑΝΙΑ</t>
  </si>
  <si>
    <t>ΣΤΑΜΑΤΑΚΗ</t>
  </si>
  <si>
    <t>rania.stamatakiiii@gmail.com</t>
  </si>
  <si>
    <t>ΑΝΤΩΝΙΟΣ</t>
  </si>
  <si>
    <t>ΣΤΑΜΑΤΑΚΗΣ</t>
  </si>
  <si>
    <t>antonis.stamatakis2@yahoo.com</t>
  </si>
  <si>
    <t>ΓΑΛΛΙΚΑ Ι</t>
  </si>
  <si>
    <t>ΖΑΧΑΡΟΠΛΑΣΤΙΚΗ ΤΕΧΝΗ I</t>
  </si>
  <si>
    <t>ΣΤΟΙΧΕΙΑ ΜΑΓΕΙΡΙΚΗΣ (CATERING) I</t>
  </si>
  <si>
    <t>ΥΓΕΙΗΝΗ ΚΑΙ ΑΣΦΑΛΕΙΑ</t>
  </si>
  <si>
    <t>ΤΡΟΦΟΓΝΩΣΙΑ</t>
  </si>
  <si>
    <t>ΤΕΧΝΙΚΟΣ ΑΡΤΟΠΟΙΙΑΣ ΚΑΙ ΖΑΧΑΡΟΠΛΑΣΤΙΚΗΣ ΤΕΧΝΗΣ (1ο ΕΤΟΣ)</t>
  </si>
  <si>
    <t>ΕΙΡΗΝΗ</t>
  </si>
  <si>
    <t xml:space="preserve">ΑΝΔΡΙΑΝΑΚΗ </t>
  </si>
  <si>
    <t>iriniandrianaki@gmail.com</t>
  </si>
  <si>
    <t>7/16</t>
  </si>
  <si>
    <t>ΓΕΩΡΓΙΑ</t>
  </si>
  <si>
    <t>ΒΕΛΟΓΛΟΥ</t>
  </si>
  <si>
    <t>georgiaveloglou05@gmail.com</t>
  </si>
  <si>
    <t>ΜΑΡΙΑ-ΜΑΡΙΝΑ</t>
  </si>
  <si>
    <t xml:space="preserve">ΚΑΛΑΦΑΤΗ </t>
  </si>
  <si>
    <t>merinakalafati33@gmail.com</t>
  </si>
  <si>
    <t xml:space="preserve">ΜΑΝΩΛΑΚΑΚΗ </t>
  </si>
  <si>
    <t>konstantinaman07@gmail.com</t>
  </si>
  <si>
    <t>ΓΑΛΑΤΕΙΑ</t>
  </si>
  <si>
    <t xml:space="preserve">ΝΤΙΣΠΥΡΑΚΗ </t>
  </si>
  <si>
    <t>galateiant@gmail.com</t>
  </si>
  <si>
    <t xml:space="preserve">ΠΑΡΑΣΥΡΗ </t>
  </si>
  <si>
    <t>parasirieirini2007@gmail.com, kapapatraee@gmail.com</t>
  </si>
  <si>
    <t>3/16</t>
  </si>
  <si>
    <t>1/9</t>
  </si>
  <si>
    <t xml:space="preserve">ΤΖΑΝΙΔΑΚΗ </t>
  </si>
  <si>
    <t>tzanidama@yahoo.gr</t>
  </si>
  <si>
    <t>ΜΑΡΙΛΕΝΑ</t>
  </si>
  <si>
    <t xml:space="preserve">ΧΡΗΣΤΑΚΗ </t>
  </si>
  <si>
    <t>christakim2007@gmail.com</t>
  </si>
  <si>
    <t>ΑΓΓΛΙΚΑ Ι</t>
  </si>
  <si>
    <t>ΖΑΧΑΡΟΠΛΑΣΤΙΚΗ ΤΕΧΝΗ ΙΙΙ</t>
  </si>
  <si>
    <t>ΔΙΑΧΕΙΡΙΣΗ ΠΡΩΤΩΝ ΥΛΩΝ ΙΙ (F&amp;B MANAGEMENT ΙΙ) - ΚΟΣΤΟΛΟΓΗΣΗ ΠΑΡΑΣΚΕΥΑΣΜΑΤΩΝ</t>
  </si>
  <si>
    <t>ΑΡΤΟΠΟΙΗΤΙΚΗ ΤΕΧΝΗ Ι</t>
  </si>
  <si>
    <t>ΟΡΓΑΝΩΣΗ ΚΑΙ ΛΕΙΤΟΥΡΓΙΑ ΑΡΤΟΖΑΧΑΡΟΠΛΑΣΤΕΙΟΥ</t>
  </si>
  <si>
    <t>ΤΕΧΝΙΚΟΣ ΑΡΤΟΠΟΙΙΑΣ ΚΑΙ ΖΑΧΑΡΟΠΛΑΣΤΙΚΗΣ ΤΕΧΝΗΣ (2ο ΕΤΟΣ)</t>
  </si>
  <si>
    <t xml:space="preserve">ΣΟΦΙΑ ΑΝΑΡΓΥΡΗ </t>
  </si>
  <si>
    <t xml:space="preserve">ΑΛΕΞΗ </t>
  </si>
  <si>
    <t>sophiaaalexe@gmail.com</t>
  </si>
  <si>
    <t>ΣΤΥΛΙΑΝΗ - ΓΕΩΡΓΙΑ</t>
  </si>
  <si>
    <t xml:space="preserve">ΓΕΩΡΓΑΝΤΩΝΑΚΗ </t>
  </si>
  <si>
    <t>sgeorgantonaki@gmail.com</t>
  </si>
  <si>
    <t>11/11</t>
  </si>
  <si>
    <t>ΕΛΛΗΝΙΚΑΚΗΣ</t>
  </si>
  <si>
    <t>giannisellinikakis511@gmail.com</t>
  </si>
  <si>
    <t>ΒΑΣΙΛΕΙΟΣ</t>
  </si>
  <si>
    <t xml:space="preserve">ΚΑΡΑΝΤΖΗΣ </t>
  </si>
  <si>
    <t>vasiliskarantz@gmail.com</t>
  </si>
  <si>
    <t>15/11</t>
  </si>
  <si>
    <t>ΚΟΥΜΑΚΗ</t>
  </si>
  <si>
    <t>makoumaki@gmail.com</t>
  </si>
  <si>
    <t>ΣΤΑΥΡΟΣ</t>
  </si>
  <si>
    <t>ΚΟΥΝΑΛΑΚΗΣ</t>
  </si>
  <si>
    <t>stauroskoun@hotmail.com</t>
  </si>
  <si>
    <t>ΜΙΧΑΛΗΣ</t>
  </si>
  <si>
    <t>ΚΥΠΡΑΙΟΣ</t>
  </si>
  <si>
    <t>michaleskypraios492@gmail.com</t>
  </si>
  <si>
    <t>ΦΙΛΟΞΕΝΗ</t>
  </si>
  <si>
    <t>ΜΑΛΛΙΩΤΑΚΗ</t>
  </si>
  <si>
    <t>malliotxenia@gmail.com</t>
  </si>
  <si>
    <t>ΓΕΩΡΓΙΟΣ</t>
  </si>
  <si>
    <t xml:space="preserve">ΣΚΟΡΔΥΛΗΣ </t>
  </si>
  <si>
    <t>giwrgosskordulhs@gmail.com</t>
  </si>
  <si>
    <t xml:space="preserve">ΣΚΟΥΛΑ </t>
  </si>
  <si>
    <t>georgia.sk1708@gmail.com</t>
  </si>
  <si>
    <t>20/11</t>
  </si>
  <si>
    <t>ΤΕΧΝΗ ΜΑΓΕΙΡΙΚΗΣ Ι</t>
  </si>
  <si>
    <t>ΣΤΟΙΧΕΙΑ ΖΑΧΑΡΟΠΛΑΣΤΙΚΗΣ Ι</t>
  </si>
  <si>
    <t>ΥΓΙΕΙΝΗ ΚΑΙ ΑΣΦΑΛΕΙΑ</t>
  </si>
  <si>
    <t>ΠΡΑΚΤΙΚΗ ΕΦΑΡΜΟΓΗ Α΄</t>
  </si>
  <si>
    <t>ΤΕΧΝΙΚΟΣ ΜΑΓΕΙΡΙΚΗΣ ΤΕΧΝΗΣ - ΑΡΧΙΜΑΓΕΙΡΑΣ CHEF (1ο ΕΤΟΣ)</t>
  </si>
  <si>
    <t xml:space="preserve"> ΧΡΙΣΤΙΝΑ</t>
  </si>
  <si>
    <t>ΑΝΔΡΙΑΝΑΚΗ</t>
  </si>
  <si>
    <t xml:space="preserve">shamper2007@gmail.com </t>
  </si>
  <si>
    <t xml:space="preserve">ΓΑΒΑΛΕΤΑΚΗΣ </t>
  </si>
  <si>
    <t>konstantinosgaba@gmail.com</t>
  </si>
  <si>
    <t>ΓΙΩΡΓΟΣ</t>
  </si>
  <si>
    <t xml:space="preserve">ΚΑΠΛΑΝΙ </t>
  </si>
  <si>
    <t>kaplanisgiwrgos1@gmail.com</t>
  </si>
  <si>
    <t xml:space="preserve">ΚΛΟΝΤΙΑΝ </t>
  </si>
  <si>
    <t xml:space="preserve">ΚΑΡΕΜΑΝΤΑΙ </t>
  </si>
  <si>
    <t>aleksgreqi@gmail.com</t>
  </si>
  <si>
    <t>ΧΡΗΣΤΟΣ</t>
  </si>
  <si>
    <t xml:space="preserve">ΚΟΥΜΑΚΗΣ </t>
  </si>
  <si>
    <t>koumchristos@gmail.com</t>
  </si>
  <si>
    <t>-</t>
  </si>
  <si>
    <t>21/16</t>
  </si>
  <si>
    <t>ΔΗΜΗΤΡΙΟΣ</t>
  </si>
  <si>
    <t xml:space="preserve">ΣΤΥΛΙΑΡΑΣ </t>
  </si>
  <si>
    <t>styliaras11@gmail.com</t>
  </si>
  <si>
    <t>ΠΑΛΑΙΟΙ ΣΠΟΥΔΑΣΤΕΣ</t>
  </si>
  <si>
    <t>ΑΡΙΘΜΟΣ ΕΓΓΡΑΦΩΝ</t>
  </si>
  <si>
    <t>ΕΓΓΡΑΦΕΣ ΓΙΑ 2ο ΈΤΟΣ</t>
  </si>
  <si>
    <t>ΔΕΣΜΕΥΣΕΙΣ</t>
  </si>
  <si>
    <t>ΕΙΔΙΚΟΤΗΤΑ</t>
  </si>
  <si>
    <t>ΟΝΟΜΑΤΕΠΩΝΥΜΟ</t>
  </si>
  <si>
    <t>ΕΣΩΤΕΡΙΚΗ ΑΡΧΙΤΕΚΤΟΝΙΚΗ ΔΙΑΚΟΣΜΙΣΗ ΚΑΙ ΣΧΕΔΙΑΣΜΟΣ ΑΝΤΙΚΕΙΜΕΝΩΝ</t>
  </si>
  <si>
    <t>ΣΤΑΥΡΙΑΝΟΥ ΔΗΜΗΤΡΑ</t>
  </si>
  <si>
    <t>ΣΟΦΙΑ</t>
  </si>
  <si>
    <r>
      <t xml:space="preserve">ΕΣΩΤΕΡΙΚΗ ΑΡΧΙΤΕΚΤΟΝΙΚΗ ΔΙΑΚΟΣΜΙΣΗ ΚΑΙ ΣΧΕΔΙΑΣΜΟΣ ΑΝΤΙΚΕΙΜΕΝΩΝ </t>
    </r>
    <r>
      <rPr>
        <b/>
        <sz val="11"/>
        <color theme="1"/>
        <rFont val="Aptos Narrow"/>
        <family val="2"/>
        <scheme val="minor"/>
      </rPr>
      <t>Γ ΕΞΑΜΗΝΟ</t>
    </r>
  </si>
  <si>
    <t>ΣΤΕΛΕΧΟΣ ΔΙΟΙΚΗΣΗΣ ΚΑΙ ΟΙΚΟΝΟΜΙΑΣ</t>
  </si>
  <si>
    <t>ΧΡΗΣΤΑΚΗ ΜΑΡΙΛΕΝΑ</t>
  </si>
  <si>
    <t>ΤΕΧΝΙΚΟΣ ΑΡΤΟΠΟΙΙΑΣ ΚΑΙ ΖΑΧΑΡΟΠΛΑΣΤΙΚΗΣ</t>
  </si>
  <si>
    <t>ΚΑΛΑΦΑΤΗ ΜΑΡΙΑ-ΜΑΡΙΝΑ</t>
  </si>
  <si>
    <t>ΤΕΧΝΙΚΟΣ ΜΑΓΕΙΡΙΚΗΣ ΤΕΧΝΗΣ - ΑΡΧΙΜΑΓΕΙΡΑΣ ΣΕΦ</t>
  </si>
  <si>
    <t>ΤΡΙΓΩΝΗ ΧΡΙΣΤΙΝΑ</t>
  </si>
  <si>
    <t>ΣΥΝΟΛΟ</t>
  </si>
  <si>
    <t>ΤΣΙΚΑΝΔΥΛΑΚΗΣ ΚΩΝΣΤΑΝΤΙΝΟΣ-ΜΑΡΙΟΣ</t>
  </si>
  <si>
    <t>ΠΑΡΑΣΥΡΗ ΕΙΡΗΝΗ</t>
  </si>
  <si>
    <t>ΣΥΝΟΛΙΚΟ ΠΙΝΑΚΑΚΙ  ΓΙΑ ΣΠΟΥΔΑΣΤΕΣ</t>
  </si>
  <si>
    <t>ΚΟΥΤΣΟΓΙΑΝΝΑΚΗΣ ΓΙΑΝΝΗΣ</t>
  </si>
  <si>
    <t>ΠΑΠΑΔΟΠΟΥΛΟΣ ΑΝΤΩΝΗΣ</t>
  </si>
  <si>
    <t>ΚΟΥΤΣΟΓΙΑΝΝΑΚΗ</t>
  </si>
  <si>
    <t>sofia.krous@gmail.com</t>
  </si>
  <si>
    <t>ΑΝΑΣΤΑΣΙΑΔΗ ΝΙΚΟΛ</t>
  </si>
  <si>
    <t>ΝΤΙΣΠΥΡΑΚΗ ΓΑΛΑΤΕΙΑ</t>
  </si>
  <si>
    <t>ΣΤΑΜΠΟΥΛΗ</t>
  </si>
  <si>
    <t>ΑΡΓΥΡΗ</t>
  </si>
  <si>
    <t>stampouli_a@windowslive.com</t>
  </si>
  <si>
    <t>ΜΑΝΩΛΑΚΑΚΗ ΚΩΝΣΤΑΝΤΙΝΑ</t>
  </si>
  <si>
    <t>ΧΑΝΙΩΑΤΑΚΗΣ</t>
  </si>
  <si>
    <t>ΚΑΠΛΑΝΙ ΓΙΩΡΓΟΣ</t>
  </si>
  <si>
    <t>ΨΑΘΑΚΗΣ</t>
  </si>
  <si>
    <t>ΜΙΧΑΗΛ</t>
  </si>
  <si>
    <t>ΣΤΥΛΙΑΡΑΣ ΔΗΜΗΤΡΙΟΣ</t>
  </si>
  <si>
    <r>
      <t xml:space="preserve">ΤΕΧΝΙΚΟΣ ΑΡΤΟΠΟΙΙΑΣ ΖΑΧΑΡΟΠΛΑΣΤΙΚΗΣ </t>
    </r>
    <r>
      <rPr>
        <b/>
        <sz val="11"/>
        <color theme="1"/>
        <rFont val="Aptos Narrow"/>
        <family val="2"/>
        <scheme val="minor"/>
      </rPr>
      <t>Γ ΕΞΑΜΗΝΟ</t>
    </r>
  </si>
  <si>
    <t>ΑΝΔΡΙΑΝΑΚΗ ΧΡΙΣΤΙΝΑ</t>
  </si>
  <si>
    <t>shamper2007@gmail.com</t>
  </si>
  <si>
    <t>2 Τεχνικός Αρτοποιίας – Ζαχαροπλαστικής</t>
  </si>
  <si>
    <t>ΣΚΟΥΛΑ ΓΕΩΡΓΙΑ</t>
  </si>
  <si>
    <t>08//08/2025</t>
  </si>
  <si>
    <t>2 Εσωτερική Αρχιτεκτονική Διακόσμηση και Σχεδιασμός Αντικειμένων</t>
  </si>
  <si>
    <t>ΦΑΡΣΑΡΗ ΒΑΣΙΛΙΚΗ</t>
  </si>
  <si>
    <t>ΦΑΝΟΥΡΑΚΗΣ ΔΗΜΗΤΡΗΣ</t>
  </si>
  <si>
    <t>ΦΙΟΡΕΤΖΗΣ ΕΜΜΑΝΟΥΗΛ</t>
  </si>
  <si>
    <r>
      <t xml:space="preserve">ΣΤΕΛΕΧΟΣ ΥΠΗΡΕΣΙΩΝ ΑΕΡΟΜΕΤΑΦΟΡΑΣ </t>
    </r>
    <r>
      <rPr>
        <b/>
        <sz val="11"/>
        <color theme="1"/>
        <rFont val="Aptos Narrow"/>
        <family val="2"/>
        <scheme val="minor"/>
      </rPr>
      <t>Γ ΕΞΑΜΗΝΟ</t>
    </r>
  </si>
  <si>
    <t>ΤΖΙΡΑΚΗ ΠΑΡΑΣΚΕΥΗ</t>
  </si>
  <si>
    <t>ΠΡΑΣΑΝΑΚΗ ΔΕΣΠΟΙΝΑ</t>
  </si>
  <si>
    <t>desppras@gmail.com</t>
  </si>
  <si>
    <t>ΓΕΩΡΓΑΝΤΩΝΑΚΗ ΣΤΥΛΙΑΝΗ - ΓΕΩΡΓΙΑ</t>
  </si>
  <si>
    <t>ΤΖΑΝΙΔΑΚΗ ΜΑΡΙΑ</t>
  </si>
  <si>
    <t>ΚΟΥΜΑΚΗΣ ΧΡΗΣΤΟΣ</t>
  </si>
  <si>
    <t>ΧΑΤΖΗΓΕΩΡΓΙΟΥ ΔΗΜΟΚΡΑΤΗΣ</t>
  </si>
  <si>
    <t>ΓΑΒΑΛΕΤΑΚΗΣ ΚΩΝΣΤΑΝΤΙΝΟΣ</t>
  </si>
  <si>
    <t>ΠΑΠΑΔΑΚΗ ΜΑΡΙΑ</t>
  </si>
  <si>
    <t>ΚΑΡΑΝΤΖΗΣ ΒΑΣΙΛΕΙΟΣ</t>
  </si>
  <si>
    <t xml:space="preserve">ΠΕΡΗΦΑΝΟΥ ΕΙΡΗΝΗ </t>
  </si>
  <si>
    <t>ΜΩΥΣΑΚΗ ΠΑΥΛΙΝΑ</t>
  </si>
  <si>
    <t>ΚΕΝΔΡΙΣΤΑΚΗ ΚΛΕΙΩ</t>
  </si>
  <si>
    <t>ΧΑΙΝΑΚΗ ΕΥΑ</t>
  </si>
  <si>
    <t xml:space="preserve">ΑΛΕΞΗ ΣΟΦΙΑ ΑΝΑΡΓΥΡΗ </t>
  </si>
  <si>
    <t>ΣΚΟΡΔΥΛΗΣ ΓΕΩΡΓΙΟΣ</t>
  </si>
  <si>
    <t>ΜΑΝΙΟΥΔΑΚΗΣ ΧΑΡΙΔΗΜΟΣ ΕΜΜΑΝΟΥΗΛ</t>
  </si>
  <si>
    <t>ΔΑΣΚΑΛΑΚΗ ΙΕΡΑΠΕΤΡΙΤΑΚΗ ΡΑΦΑΕΛΑ</t>
  </si>
  <si>
    <t>ΑΝΔΡΙΑΝΑΚΗ ΕΙΡΗΝΗ</t>
  </si>
  <si>
    <t xml:space="preserve">ΣΤΡΑΤΑΚΗ ΜΑΡΙΑ </t>
  </si>
  <si>
    <t>mariastrataki9111984@gmail.com</t>
  </si>
  <si>
    <t xml:space="preserve">ΚΑΡΕΜΑΝΤΑΙ ΚΛΟΝΤΙΑΝ </t>
  </si>
  <si>
    <t>ΒΕΛΟΓΛΟΥ ΓΕΩΡΓΙΑ</t>
  </si>
  <si>
    <t>ΩΡΑ</t>
  </si>
  <si>
    <t>ΑΠΌ ΠΟΥ ΜΑΘΑΤΕ ΓΙΑ ΤΗΝ ΙΣΑΕΚ</t>
  </si>
  <si>
    <t>ΣΧΟΛΙΑ</t>
  </si>
  <si>
    <t xml:space="preserve">Πέμπτη, 26 Ιουνίου 2025 </t>
  </si>
  <si>
    <t>Στέλεχος Δημοσίων Σχέσεων και Επικοινωνίας</t>
  </si>
  <si>
    <t>Αγγελική Σταματάκη</t>
  </si>
  <si>
    <t>aggelikistam1@gmail.com</t>
  </si>
  <si>
    <t>Απο φίλο / γνωστό</t>
  </si>
  <si>
    <t>ΑΡΙΘΜΟΣ ΕΝΔΙΑΦΕΡΟΜΕΝΩΝ</t>
  </si>
  <si>
    <t>Δευτέρα, 30 Ιουνίου 2025</t>
  </si>
  <si>
    <t>Τεχνικός Λογισμικού Ηλεκτρονικών Υπολογιστών</t>
  </si>
  <si>
    <t>ΝΙΚΟΣ ΓΙΩΡΓΑΚΗΣ</t>
  </si>
  <si>
    <t>nikosgiorgakis343@gmail.com</t>
  </si>
  <si>
    <t>Iwona Kirzanowska</t>
  </si>
  <si>
    <t>Ιστοσελίδα / Αναζήτηση</t>
  </si>
  <si>
    <t>Παρασκεύη, 04 Ιουλίου 2025</t>
  </si>
  <si>
    <t>Στέλεχος Μονάδων Φιλοξενίας</t>
  </si>
  <si>
    <t>Ελένη Καλογεράκη</t>
  </si>
  <si>
    <t>elenikalogeraki2005@gmail.com</t>
  </si>
  <si>
    <t>Τρίτη, 08 Ιουλίου 2025</t>
  </si>
  <si>
    <t>Σοφία Γιαχνακη</t>
  </si>
  <si>
    <t>so.giachnaki@gmail.com</t>
  </si>
  <si>
    <t>Από που μάθανε για ΙΣΑΕΚ</t>
  </si>
  <si>
    <t>NIKOLAOS KLEIDONIARIS</t>
  </si>
  <si>
    <t>nicklido21@gmail.com</t>
  </si>
  <si>
    <t>E-mail</t>
  </si>
  <si>
    <t>Email</t>
  </si>
  <si>
    <t>Τρίτη, 08 Ιουλίου 20265</t>
  </si>
  <si>
    <t>Ερη Βρουβακη</t>
  </si>
  <si>
    <t>erivrouvaki@gmail.com</t>
  </si>
  <si>
    <t>Facebook / Instagram</t>
  </si>
  <si>
    <t>Τετάρτη, 09 Ιουλίου 20266</t>
  </si>
  <si>
    <t>Γεωργία Μπινιχάκη</t>
  </si>
  <si>
    <t>mpigeorgia@hotmail.com</t>
  </si>
  <si>
    <t>Από φίλο / γνωστό</t>
  </si>
  <si>
    <t xml:space="preserve">Πέμπτη, 10 Ιουλίου 2025 </t>
  </si>
  <si>
    <t>Ανδριανα Καψαλη</t>
  </si>
  <si>
    <t>adrianakapsali@gmail.com</t>
  </si>
  <si>
    <t>1η</t>
  </si>
  <si>
    <t>Σάββατο, 12 Ιουλίου 2025</t>
  </si>
  <si>
    <t>Στέλεχος Εμπορίας, Διαφήμισης και Προώθησης Προϊόντων (MARKETING)</t>
  </si>
  <si>
    <t>Eυα Πεσιου</t>
  </si>
  <si>
    <t>e_pesiou@yahoo.gr</t>
  </si>
  <si>
    <t>Τηλεώραση</t>
  </si>
  <si>
    <t>Στέλεχος Μηχανογραφημένου Λογιστηρίου – Φοροτεχνικού Γραφείου</t>
  </si>
  <si>
    <t>Τηλεόραση</t>
  </si>
  <si>
    <t>Τρίτη, 22 Ιουλίου 2025</t>
  </si>
  <si>
    <t>Στέλεχος Υπηρεσιών Αερομεταφοράς</t>
  </si>
  <si>
    <t>Παναγιώτα Μαυρογιαννάκη</t>
  </si>
  <si>
    <t>maraki_name@yahoo.gr</t>
  </si>
  <si>
    <t>Παρασκεύη, 25 Ιουλίου 2025</t>
  </si>
  <si>
    <t>Τεχνικός Μαγειρικής Τέχνης–Αρχιμάγειρας(CHEF)</t>
  </si>
  <si>
    <t>Κώστας Αγγελακης</t>
  </si>
  <si>
    <t>kostesangelakes@gmail.com</t>
  </si>
  <si>
    <t>Σάββατο, 26 Ιουλίου 2025</t>
  </si>
  <si>
    <t>Στέλεχος διοίκησης και Οικονομίας στον Τομέα του Τουρισμού</t>
  </si>
  <si>
    <t>ΑΛΈΞΑΝΔΡΟΣ ΤΖΑΝΆΚΗΣ</t>
  </si>
  <si>
    <t>a.tzanakis@hotmail.com</t>
  </si>
  <si>
    <t>ΒΑΣΙΛΙΚΗ ΦΑΡΣΑΡΗ</t>
  </si>
  <si>
    <t>mzarmpa@gmail.com</t>
  </si>
  <si>
    <t>Δευτέρα, 28 Ιουλίου 2025</t>
  </si>
  <si>
    <t>Μελινα Αντωνάκη</t>
  </si>
  <si>
    <t>melinaantonaki@gmail.com</t>
  </si>
  <si>
    <t>Καμπιτάκη Ελένη</t>
  </si>
  <si>
    <t>mpap313@gmail.com</t>
  </si>
  <si>
    <t>ΔΕΣΠΟΙΝΑ ΚΑΛΑΙΤΖΑΚΗ</t>
  </si>
  <si>
    <t>d.kalaitzaki@gmail.com</t>
  </si>
  <si>
    <t>ΙΩΑΝΝΗΣ ΣΚΑΡΑΚΗΣ</t>
  </si>
  <si>
    <t>skarasrnr@gmail.com</t>
  </si>
  <si>
    <t>Τρίτη, 29 Ιουλίου 2025</t>
  </si>
  <si>
    <t>Δημήτρης Στυλιαράς</t>
  </si>
  <si>
    <t>Τετάρτη, 30 Ιουλίου 2025</t>
  </si>
  <si>
    <t>Στέλεχος διοίκησης και οικονομίας στον τομέα του τουρισμού</t>
  </si>
  <si>
    <t>Αλισα Γιαρος</t>
  </si>
  <si>
    <t>vassillissa82@gmail.com</t>
  </si>
  <si>
    <t>Πέμπτη, 31 Ιουλίου 2025</t>
  </si>
  <si>
    <t>Μαρία Τζανιδάκη</t>
  </si>
  <si>
    <t>Παρασκεύη, 01 Αυγούστου 2025</t>
  </si>
  <si>
    <t>ΓΙΩΡΓΟΣ ΤΡΟΥΛΛΙΝΟΣ</t>
  </si>
  <si>
    <t>giorgio_crete@hotmail.com</t>
  </si>
  <si>
    <t>Παρασκευή Τζιρακη</t>
  </si>
  <si>
    <t>voulatziraki.vt@gmail.com</t>
  </si>
  <si>
    <t>Δημήτριος Φανουράκης</t>
  </si>
  <si>
    <t>fanourakisdimitris@gmail.com</t>
  </si>
  <si>
    <t>Δευτέρα, 04 Αυγούστου 2025</t>
  </si>
  <si>
    <t>Ελευθερια Ακουμιανακη</t>
  </si>
  <si>
    <t>eriakoumm@gmail.com</t>
  </si>
  <si>
    <t>Παρασκεύη, 08 Αυγούστου 2025</t>
  </si>
  <si>
    <t>Ιωάννης Μπορμπαντωνακης</t>
  </si>
  <si>
    <t>gianbormp@outlook.com.gr</t>
  </si>
  <si>
    <t>ΤΗΝ ΚΑΛΕΣΑ ΖΗΤΟΥΣΕ ΠΛΗΡΟΦΟΡΙΕΣ ΓΙΑ ΑΝ ΕΙΜΑΣΤΕ ΔΗΜΟΣΑ Η ΙΔΙΩΤΙΚΗ ΣΧΟΛΗ, ΤΙ ΠΤΥΧΙΟ ΠΑΙΡΝΕΙ, ΤΟ ΚΟΣΤΟΣ ΚΑΙ ΕΙΠΕ ΘΑ ΜΙΛΗΣΕΙ ΜΕ ΤΟ ΠΑΙΔΙ ΤΗΣ ΚΑΙ ΘΑ ΜΑΣ ΕΝΗΜΕΡΩΣΕΙ</t>
  </si>
  <si>
    <t>Σάββατο, 09 Αυγούστου 2025</t>
  </si>
  <si>
    <t>Μαρία Παπαδάκη</t>
  </si>
  <si>
    <t>mariapap1990@hotmail.com</t>
  </si>
  <si>
    <t>ΤΗΝ ΚΑΛΕΣΑ ΚΑΙ ΘΕΛΕΙ ΜΟΝΟ ΠΡΩΙΝΟ ΤΜΗΜΑ ΓΙΑΤΙ ΓΙΑ ΑΠΟΓΕΥΜΑ ΔΕΝ ΜΠΟΡΕΙ ΔΟΥΛΕΥΕΙ</t>
  </si>
  <si>
    <t>Τρίτη, 12 Αυγούστου 2025</t>
  </si>
  <si>
    <t>ΜΑΡΙΟΣ ΧΑΛΚΙΑΔΑΚΗΣ</t>
  </si>
  <si>
    <t>chalkiadakismarios@gmail.com</t>
  </si>
  <si>
    <t>ΗΘΕΛΕ ΠΛΗΡΟΦΟΡΙΕΣ ΑΝ ΕΙΜΑΣΤΕ ΚΡΑΤΙΚΗ - ΔΗΜΟΣΙΑ ΑΠΌ ΌΤΙ ΚΑΤΑΛΑΒΑ ΣΧΟΛΗ ΚΑΙ ΘΕΛΕΙ ΚΑΠΟΙΑ ΣΤΙΓΜΗ ΝΑ ΕΡΘΕΙ ΝΑ ΜΑΘΕΙ ΠΕΡΙΣΣΟΤΕΡΕΣ ΠΛΗΡΟΦΟΡΙΕΣ ΕΠΕΙΔΗ ΛΕΕΙ ΔΟΥΛΕΥΕΙ  ΤΟ ΠΑΙΔΙ ΘΑ ΕΡΘΕΙ ΚΑΠΟΙΑ ΣΤΙΓΜΗ Η ΜΑΝΑ ΝΑ ΜΑΘΕΙ Τις ΠΛΗΡΟΦΟΡΙΕΣ ΕΚΕΙΝΗ ΛΕΕΙ ΕΚΑΝΕ ΚΑΙ ΤΗΝ ΑΙΤΗΣΗ</t>
  </si>
  <si>
    <t>Τετάρτη, 13 Αυγούστου 2025</t>
  </si>
  <si>
    <t>ΕΛΕΝΗ ΠΕΤΡΑΚΗ</t>
  </si>
  <si>
    <t>eleni1345@gmail.com</t>
  </si>
  <si>
    <t>21:19 μμ</t>
  </si>
  <si>
    <t>ΧΡΥΣΗ ΧΟΧΛΙΔΑΚΗ</t>
  </si>
  <si>
    <t>xoxxry@yahoo.gr</t>
  </si>
  <si>
    <t>ΗΘΕΛΕ ΠΛΗΡΟΦΟΡΙΕΣ ΑΛΛΑ ΘΑ ΚΑΛΕΣΕΙ ΕΚΕΙΝΗ ΛΕΕΙ ΓΙΑ ΡΑΝΤΕΒΟΥ</t>
  </si>
  <si>
    <t>Πέμπτη, 14 Αυγούστου 2025</t>
  </si>
  <si>
    <t>12:15 πμ</t>
  </si>
  <si>
    <t>MARIA VASILEIADOU</t>
  </si>
  <si>
    <t>mariavassiliadou38@gmail.com</t>
  </si>
  <si>
    <t>ΗΘΕΛΕ ΠΙΟ ΠΟΛΎ ΓΙΑ ΤΟ ΜΑΘΗΜΑ ΙΣΤΟΡΙΑ ΤΕΧΝΗΣ ΚΑΙ ΤΗΣ ΕΣΤΕΙΛΑ ΟΔΗΓΟ ΣΠΟΥΔΩΝ. ΡΩΤΟΥΣΕ ΑΝ ΗΤΑΝ ΕΞ ΑΠΟΣΤΑΣΕΩΣ ΡΩΤΟΥΣΕ ΑΝ ΕΙΑΝΙ ΜΕΤΑΠΤΥΧΙΑΚΟ ΚΑΙ ΘΕΛΕΙ ΝΑ ΕΧΕΙΣ ΠΑΡΕΙ ΠΤΥΧΙΟ, ΤΗΣ ΤΑ ΕΞΗΓΗΣΑ ΚΑΙ ΕΙΠΕ ΘΑ ΚΑΛΕΣΕΙ ΔΕΥΤΕΡΑ ΓΙΑ ΝΑ ΚΛΕΙΣΕΙ ΡΑΝΤΕΒΟΥ ΑΝ ΔΕΝ ΚΑΛΕΣΕΙ ΘΑ ΚΑΛΕΣΩ ΠΑΡΑΣΚΕΥΗ</t>
  </si>
  <si>
    <t>Παρασκεύη, 15 Αυγούστου 2025</t>
  </si>
  <si>
    <t>20:47 μμ</t>
  </si>
  <si>
    <t>Tεχνικός υπολογιστικών συστημάτων</t>
  </si>
  <si>
    <t>ΕΙΡΗΝΗ ΓΑΛΑΤΣΑΝΟΥ</t>
  </si>
  <si>
    <t>irenegaga9@gmail.com</t>
  </si>
  <si>
    <t>ΤΗΣ ΕΣΤΕΙΛΑ EMAIL, ΔΙΟΤΙ ΣΥΜΠΛΗΡΩΣΕ ΑΠΛΗ ΦΟΡΜΑ ΕΠΙΚΟΙΝΩΝΙΑΣ ΠΟΥ ΈΔΕΙΝΕ ΜΟΝΟ ΤΟ EMAIL ΚΑΙ ΌΧΙ ΤΟ ΤΗΛΕΦΩΝΟ ΓΙΑ ΝΑ ΤΗΝ ΚΑΛΕΣΩ ΚΑΙ ΤΙΣ ΑΠΑΝΤΗΣΑ ΣΤΑ ΕΡΩΤΗΜΑΤΑ</t>
  </si>
  <si>
    <t>21:11 μμ</t>
  </si>
  <si>
    <t>Δέσποινα Πρασανάκη</t>
  </si>
  <si>
    <t>ΤΗΝ ΚΑΛΕΣΑ ΔΕΝ ΤΟ ΠΡΟΛΑΒΕ ΚΑΙ ΜΕ ΚΑΛΕΣΕ ΕΚΕΙΝΗ. ΗΘΕΛΕ ΠΛΗΡΟΦΟΡΙΕΣ ΓΙΑ ΤΗΝ ΦΟΙΤΗΣΗ ΑΝ ΕΊΝΑΙ 2 ΕΤΗ, ΠΟΙΕΣ ΩΡΕΣ ΘΑ ΓΙΝΟΝΤΑΙ ΤΑ ΜΑΘΗΜΑΤΑ, ΑΝ ΘΑ ΕΊΝΑΙ ΕΞ ΑΠΟΣΤΑΣΕΩΝ Ή ΔΙΑ ΖΩΣΗΣ ΚΑΙ ΠΟΣΑ ΕΊΝΑΙ ΤΑ ΧΡΗΜΑΤΑ ΠΟΥ ΘΑ ΠΛΗΡΩΣΕΙ ΚΑΙ ΕΙΠΕ ΘΑ ΔΕΙ ΤΟ ΠΡΟΓΡΑΜΜΑ ΤΗΣ ΚΑΙ ΘΑ ΜΕ ΚΑΛΕΣΕΙ ΝΑ ΚΛΕΙΣΟΥΜΕ ΡΑΝΤΕΒΟΥ</t>
  </si>
  <si>
    <t>Τρίτη, 19 Αυγούστου 2025</t>
  </si>
  <si>
    <t>21:22 μμ</t>
  </si>
  <si>
    <t>Στεργιωτη Μιχελουδακη</t>
  </si>
  <si>
    <t>steriotimich76@gmail.com</t>
  </si>
  <si>
    <t>ΗΘΕΛΕ ΓΙΑ ΔΙΟΙΚΗΣΗ ΚΑΙ ΟΙΚΟΝΟΜΙΑ ΣΤΟΝ ΤΟΜΕΑ ΤΟΥΡΙΣΜΟΥ,. ΕΊΝΑΙ ΠΡΟΙΣΤΑΜΕΝΗ ΟΡΟΦΩΝ ΚΑΙ ΤΗΝ ΕΝΔΙΕΦΕΡΕ ΠΕΡΙΣΣΟΤΕΡΟ ΟΡΟΦΟΚΟΜΙΑ ΚΛΠ ΚΑΙ ΜΕ ΡΩΤΗΣΕ ΓΙΑ ΔΙΔΑΚΤΡΑ ΚΛΠ ΩΡΕΣ ΑΝ ΕΊΝΑΙ ΕΞ ΑΠΟΣΤΑΣΕΩΣ ΚΑΙ ΗΘΕΛΕ ΝΑ ΜΑΘΕΙ ΜΑΘΗΜΑΤΑ ΓΙΑ ΤΟΥΡΙΣΜΟ ΚΑΙ ΑΝΑΛΥΤΙΚΑ ΤΙ ΕΧΕΙ ΚΑΙ ΤΗΣ ΕΣΤΕΙΛΑ ΣΤΟ EMAIL ΟΔΗΓΟ ΣΠΟΥΔΩΝ ΚΑΙ ΘΑ ΤΑ ΕΒΛΕΠΕ ΚΑΙ ΘΑ ΜΕ ΚΑΛΟΥΣΕ ΛΕΕΙ</t>
  </si>
  <si>
    <t>Πέμπτη, 21 Αυγούστου 2025</t>
  </si>
  <si>
    <t>Μαρινα Κακουλακη</t>
  </si>
  <si>
    <t>kakoulakimarina00@gmail.com</t>
  </si>
  <si>
    <t>ΤΗΝ ΚΑΛΕΣΑ ΚΑΙ ΔΕΝ ΤΟ ΑΠΑΝΤΗΣΕ ΚΑΙ ΤΗΣ ΕΣΤΕΙΛΑ EMAIL</t>
  </si>
  <si>
    <t>Παρασκεύη, 22 Αυγούστου 2025</t>
  </si>
  <si>
    <t>13:30 μμ</t>
  </si>
  <si>
    <t>ΕΙΡΗΝΗ ΦΑΝΟΥΡΑΚΗ</t>
  </si>
  <si>
    <t>eirinifc@hotmail.gr</t>
  </si>
  <si>
    <t>ΤΗΝ ΚΑΛΕΣΑ ΚΑΙ ΗΘΕΛΕ ΠΛΗΡΟΦΟΡΙΕΣ ΓΙΑ ΤΑ ΧΡΗΜΑΤΑ ΑΡΧΙΚΑ. ΜΕ ΡΩΤΟΥΣΕ ΑΝ ΕΙΜΑΣΤΕ ΔΗΜΟΣΙΟ Η ΙΔΙΟΤΙΚΟ, ΞΙΝΕΣΕ ΚΑΙ ΕΙΠΕ ΚΑΙ ΠΩΣ ΘΕΛΕΙ ΜΟΝΟ ΑΥΤΉ ΤΗΝ ΕΙΔΙΚΟΤΗΤΑ ΚΑΙ ΚΑΜΙΑ ΆΛΛΗ. ΔΕΝ ΘΈΛΕΙ ΑΛΛΕΣ ΕΙΔΟΚΟΤΗΤΕΣΟΠΩΣ ΔΙΟΙΚΗΣΗ ΚΑΙ ΕΙΠΕ ΘΑ ΤΟ ΣΚΕΥΤΕΙ ΚΑΙ ΘΑ ΚΑΛΕΣΕΙ ΕΚΕΙΝΗ</t>
  </si>
  <si>
    <t>Δευτέρα, 25 Αυγούστου 2025</t>
  </si>
  <si>
    <t>15:26 μμ</t>
  </si>
  <si>
    <t>Τεχνικός Εφαρμογών Πληροφορικής</t>
  </si>
  <si>
    <t>ΚΩΝΣΤΑΝΤΙΝΟΣ ΦΡΑΓΚΑΚΗΣ</t>
  </si>
  <si>
    <t>olgabkr@yahoo.com</t>
  </si>
  <si>
    <t>ΤΟΝ ΚΑΛΕΣΑΜΕ, ΔΕΝ ΤΟ ΣΗΚΩΣΕ ΚΑΙ ΜΕΤΆ ΚΆΛΕΣΕ ΕΚΕΙΝΗ ΗΤΑΝ Η ΜΑΜΑ ΤΟΥ ΚΑΙ ΗΘΕΛΕ ΝΑ ΕΓΓΡΆΨΕΙ ΤΟΝ ΓΙΟ ΤΗΣ ΜΕΤΑ ΑΠΌ ΜΑΘΗΤΕΙΑ ΣΤΗΝ ΙΣΑΕΚ, ΑΛΛΆ ΕΜΕΙΣ ΔΕΝ ΕΧΟΥΜΕ ΤΡΙΤΟ ΕΞΑΜΗΝΟ ΚΑΙ ΔΕΝ ΜΠΟΡΟΥΜΕ</t>
  </si>
  <si>
    <t>Πέμπτη, 28 Αυγούστου 2025</t>
  </si>
  <si>
    <t>ΣΥΝΤΙΧΑΚΗ ΓΕΩΡΓΙΑ</t>
  </si>
  <si>
    <t>gewrgia199494@gmail.com</t>
  </si>
  <si>
    <t>ΗΘΕΛΕ ΚΑΠΟΙΑ ΕΠΙΠΛΕΩΝ ΕΚΠΤΩΣΗ ΚΑΙ ΤΗΣ ΕΙΠΑ ΝΑ ΣΤΕΙΛΕΙ ΠΡΟΤΑΣΗ. ΚΑΙ ΝΑ ΤΟ ΔΟΥΜΕ ΚΑΙ ΝΑ ΔΟΥΜΕ ΚΑΙ ΘΑ ΚΑΛΕΣΕΙ ΑΠΌ ΔΕΥΤΕΡΑ ΘΕΛΕΙ ΑΠΟΓΕΥΜΑΤΙΝΟ ΡΑΝΤΕΒΟΥ ΜΕΤΑ ΤΙΣ 18:00</t>
  </si>
  <si>
    <t>Παρασκεύη, 29 Αυγούστου 2025</t>
  </si>
  <si>
    <t>19:10 μμ</t>
  </si>
  <si>
    <t>ΕΥΘΥΜΙΟΣ ΣΩΜΑΡΑΚΗΣ</t>
  </si>
  <si>
    <t>SOMMAKIS@GMAIL.COM</t>
  </si>
  <si>
    <t>Εφημερίδα</t>
  </si>
  <si>
    <t>ΤΟΝ ΚΑΛΕΣΑ ΚΑΙ ΖΗΤΟΥΣΕ ΠΛΗΡΟΦΟΡΙΕΣ ΓΙΑ ΔΙΔΑΚΤΡΑ, ΑΝ ΕΧΟΥΜΕ ΛΕΕΙ ΥΠΟΛΟΓΙΣΤΕΣ ΚΑΙ ΥΛΙΚΟ ΚΑΙ ΖΗΤΟΎΣΕ ΚΑΙ ΝΑ ΜΆΘΕΙ ΜΕΧΡΙ ΠΟΤΕ ΜΠΟΡΕΙ ΝΑ ΓΡΑΦΤΕΙ ΚΑΙ ΑΝ ΧΡΕΙΆΖΕΤΑΙ ΝΑ ΕΧΕΙ ΣΥΜΠΛΗΡΩΘΕΙ ΤΜΗΜΑ ΓΙΑ ΝΑ ΓΙΝΕΙ</t>
  </si>
  <si>
    <t>Πέμπτη, 04 Σεπτεμβρίου 2025</t>
  </si>
  <si>
    <t>17:05 μμ</t>
  </si>
  <si>
    <t>Αντώνης Δημήτρης Σολακάκης</t>
  </si>
  <si>
    <t>sl.anton95@gmail.com</t>
  </si>
  <si>
    <t>ΤΟΝ ΚΑΛΕΣΑ 2 ΦΟΡΕΣ ΚΑΙ ΤΕΛΙΚΑ ΔΕΝ ΤΟ ΑΠΑΝΤΗΣΕ ΚΑΙ ΤΟΥ ΕΣΤΕΙΛΑ EMAIL</t>
  </si>
  <si>
    <t>Σάββατο, 06 Σεπτεμβρίου 2025</t>
  </si>
  <si>
    <t>Eirini Maniou</t>
  </si>
  <si>
    <t>manios80@yqhoo.gr</t>
  </si>
  <si>
    <t>ΤΗΝ ΚΑΛΕΣΑ ΚΑΙ ΚΛΕΙΣΑΜΕ ΡΑΝΤΕΒΟΥ ΓΙΑ ΤΗΝ ΕΠΟΜΕΝΗ ΜΕΡΑ ΤΟ ΜΕΣΗΜΕΡΙ</t>
  </si>
  <si>
    <t>Κυριακή, 07 Σεπτεμβρίου 2025</t>
  </si>
  <si>
    <t>19:15 μμ</t>
  </si>
  <si>
    <t>Mihaela Boier</t>
  </si>
  <si>
    <t>boier.mihaelamaria@gmail.com</t>
  </si>
  <si>
    <t xml:space="preserve">ΗΘΕΛΕ ΓΙΑ ΤΟ ΔΩΡΕΑΝ ΠΡΟΓΡΑΜΜΑ ΠΟΥ ΕΊΝΑΙ ΣΤΟ ΚΑΣΤΕΛΙ, ΔΕΝ ΗΘΕΛΕ ΓΙΑ ΕΜΑΣ, ΜΠΕΡΔΕΥΤΗΚΕ ΌΤΙ ΕΊΝΑΙ ΤΟ ΙΔΙΟ ΚΑΙ ΜΟΥ ΕΙΠΕ ΠΩΣ ΑΦΟΥ ΔΕΝ ΕΊΝΑΙ ΤΟ ΙΔΙΟ ΘΑ ΜΕ ΞΑΝΑ ΚΑΛΕΣΕΙ ΔΙΟΤΙ ΤΗΝ ΕΝΔΙΑΦΕΡΕΙ ΝΑ ΕΊΝΑΙ ΔΩΡΕΑΝ </t>
  </si>
  <si>
    <t>Δευτέρα, 08 Σεπτεμβρίου 2025</t>
  </si>
  <si>
    <t>ΑΙΚΑΤΕΡΙΝΗ ΠΑΠΑΧΑΤΖΑΚΗ</t>
  </si>
  <si>
    <t>PLATONAS62@GMAIL.COM</t>
  </si>
  <si>
    <t>ΤΗΝ ΚΑΛΕΣΑ ΑΜΕΣΩΣ ΚΑΙ ΜΟΥ ΕΛΕΓΕ ΠΟΣΟ ΕΊΝΑΙ ΣΕ ΧΡΗΑΜΑΤΑ ΌΤΙ ΕΊΝΑΙ ΜΑΚΡΙΑ ΑΠΌ ΤΟ ΗΡΑΚΛΕΙΟ ΚΑΙ ΑΝ ΓΙΝΕΤΑΙ ΝΑ ΠΑΡΑΚΟΛΟΥΘΗΣΕΙ ΕΞ ΑΠΟΣΤΑΣΕΩΣ ΚΑΙ ΜΕ ΡΩΤΟΥΣΕ ΓΙΑ ΩΡΑΡΙΑ ΚΛΠ ΚΑΙ ΤΕΛΙΚΑ ΘΕΛΕΙ ΝΑ ΤΟ ΔΕΙ ΚΑΙ ΜΕΤΑ ΝΑ ΑΠΟΦΑΣΙΣΕΙ ΔΙΟΤΙ ΜΕΝΕΙ ΜΑΚΡΙΑ ΑΠΌ ΤΟ ΗΡΑΚΛΕΙΟ ΚΑΙ ΔΟΥΛΕΥΕΙ ΚΑΙ ΠΟΛΛΕΣ ΩΡΕΣ</t>
  </si>
  <si>
    <t>Τετάρτη, 10 Σεπτεμβρίου 2025</t>
  </si>
  <si>
    <t>15:13 μμ</t>
  </si>
  <si>
    <t>iokasti gonianaki</t>
  </si>
  <si>
    <t>gonianakii@gmail.com</t>
  </si>
  <si>
    <t>SMS</t>
  </si>
  <si>
    <t>ΔΕΝ ΤΟ ΗΞΕΡΕ ΛΕΕΙ ΠΩΣ ΕΙΝΑΙ ΚΟΝΤΑ ΑΛΛΆ ΤΩΡΑ ΠΟΥ ΕΜΕΑΘΕ ΠΩΣ ΔΕΝ ΕΙΜΑΣΤΕ ΑΡΧΙΕΠΙΣΚΟΠΟΥ ΜΑΚΑΡΙΤΟΥ ΔΕΝ ΘΕΛΕΙ ΝΑ ΕΡΘΕΙ</t>
  </si>
  <si>
    <t>Σάββατο, 13 Σεπτεμβρίου 2025</t>
  </si>
  <si>
    <t>Kostas Grigorakis</t>
  </si>
  <si>
    <t>grikonstantin@yahoo.gr</t>
  </si>
  <si>
    <t>ΤΟΝ ΚΑΛΕΣΑ ΚΑΙ ΑΡΧΙΣΕ ΝΑ ΜΟΥ ΚΑΥΚΙΕΤΑΙ ΠΩΣ ΕΊΝΑΙ ΜΕΛΟΣ ΤΟΥ ΕΠΙΜΕΛΗΤΗΡΙΟΥ ΛΑΣΙΘΙΟΥ, ΕΊΝΑΙ ΧΡΟΝΙΑ ΕΚΕΙ ΤΟΝ ΞΕΡΟΥΝ ΛΕΕΙ ΠΡΟΕΔΡΟΙ ΚΑΙ ΑΝΤΙΠΡΟΕΔΡΟΙ ΚΑΙ ΕΊΝΑΙ ΛΕΕΙ ΓΝΩΣΤΟΣ ΚΑΙ ΜΑΛΛΟΝ ΘΑ ΤΟΝ ΞΕΡΟΥΜΕ, ΗΘΕΛΕ ΝΑ ΤΟΥ ΚΑΝΟΥΜΕ ΕΚΠΤΩΣΗ ΚΑΙ ΕΙΠΑ ΘΑ ΡΩΤΗΣΩ ΓΙΑΤΙ ΞΕΡΩ ΠΩΣ ΕΙΝΑΙ ΜΟΝΟ ΓΙΑ ΜΕΛΗ ΤΟΥ ΕΠΙΜΕΛΗΤΗΡΙΟΥ ΗΡΑΚΛΕΙΟ</t>
  </si>
  <si>
    <t>Παρασκεύη, 19 Σεπτεμβρίου 2025</t>
  </si>
  <si>
    <t>Μαρία Στραταντωνακη</t>
  </si>
  <si>
    <t>mariagiannis85@gmail.com</t>
  </si>
  <si>
    <t>ΘΕΛΕΙ ΝΑ ΕΡΘΕΙ ΕΠΕΙΔΗ ΔΕΝ ΤΗΝ ΔΕΧΤΗΚΑΝ ΣΤΟ ΑΡΚΑΛΟΧΩΡΙ ΠΟΥ ΕΊΝΑΙ ΔΩΡΕΑΝ ΚΑΙ ΘΕΛΕΙ ΝΑ ΕΡΘΕΙ 17:00 με 17:30 θα μας πει πότε θέλει</t>
  </si>
  <si>
    <t>16:45 μμ</t>
  </si>
  <si>
    <t>16:54 μμ</t>
  </si>
  <si>
    <t>Δευτέρα, 23 Σεπτεμβρίου 2025</t>
  </si>
  <si>
    <t>16:44 μμ</t>
  </si>
  <si>
    <t>Efthymia Katsika</t>
  </si>
  <si>
    <t>efakik2018@gmail.com</t>
  </si>
  <si>
    <t>Τετάρτη, 24 Σεπτεμβρίου 2025</t>
  </si>
  <si>
    <t>13:42 μμ</t>
  </si>
  <si>
    <t>Κατερίνα Ταρουνά</t>
  </si>
  <si>
    <t>katerinatarouna2@gmail.com</t>
  </si>
  <si>
    <t>ΡΩΤΗΣΕ ΑΝ ΥΠΑΡΧΕΙ ΤΜΗΜΑ ΚΑΙ ΣΤΗΝ ΑΘΗΝΑ ΓΙΑΤΙ ΕΚΕΙΝΗ ΕΚΕΙ ΜΕΝΕΙ ΚΑΙ ΘΕΛΕΙ ΚΑΙ ΜΟΝΟ ΑΥΤΌ ΤΟ ΤΜΗΜΑ, ΔΕΝ ΤΗΝ ΕΝΔΙΑΦΕΡΟΥΝ ΤΑ ΕΞ ΑΠΟΣΤΑΣΕΩΣ ΠΑΡΕΧΟΜΕΝΑ ΠΡΟΓΡΑΜΜΑΤΑ</t>
  </si>
  <si>
    <t>Πέμπτη, 25 Σεπτεμβρίου 2025</t>
  </si>
  <si>
    <t>21:29 μμ</t>
  </si>
  <si>
    <t>Εύα Χαϊνάκη</t>
  </si>
  <si>
    <t>ΕΙΧΑΜΕ ΚΑΝΕΙ ΕΝΗΜΕΡΩΣΗ ΚΑΙ ΘΕΛΕΙ ΝΑ ΚΑΝΕΙ ΕΓΓΡΑΦΗ ΑΛΛΑ ΔΕΝ ΤΗΝ ΒΟΛΕΥΕΙ ΝΑ ΕΡΘΕΙ ΟΠΟΤΕ ΜΟΥ ΕΙΠΕ ΚΑΙ ΤΗΣ ΕΣΤΕΙΛΑ EMAIL</t>
  </si>
  <si>
    <t>Παρασκεύη, 26 Σεπτεμβρίου 2025</t>
  </si>
  <si>
    <t>ΓΕΩΡΓΙΑ ΣΦΑΚΙΑΝΑΚΗ</t>
  </si>
  <si>
    <t>sfakianakig@yahoo.gr</t>
  </si>
  <si>
    <t>ΤΗΝ ΚΑΛΕΣΑ ΗΘΕΛΕ ΝΑ ΔΕΙ ΑΝ ΕΊΝΑΙ ΠΡΒΙ Η ΑΠΟΓΕΥΜΑ ΚΑΙ ΘΕΛΕΙ ΝΑ ΠΑΡΕΙ ΤΟΝ ΟΔΗΓΟ ΣΠΟΥΔΩΝ ΚΑΙ ΜΑΛΛΟΝ ΘΑ ΕΡΘΕΙ ΚΑΙ ΣΤΗΝ ΕΚΔΗΛΩΣΗ ΕΝΗΜΕΡΩΣΗΣ ΓΙΑ ΕΣΩΤΕΡΙΚΗ ΑΡΧΙΤΕΚΤΟΝΙΚΗ ΔΙΑΚΟΣΜΗΣΗ ΚΑΙ ΣΧΕΔΙΑΣΜΟ ΑΝΤΙΚΕΙΜΕΝΩΝ ΠΟΥ ΚΑΝΕΙ Η ΚΥΡΙΑ ΜΠΙΤΖΟΥ</t>
  </si>
  <si>
    <t>Παρασκεύη, 03 Οκτωμβριου 2025</t>
  </si>
  <si>
    <t>Κουντουριαδη Αγγελικη</t>
  </si>
  <si>
    <t>biokinisi@hotmail.com</t>
  </si>
  <si>
    <t>ΕΊΝΑΙ ΑΠΌ ΧΙΟ ΔΕΝ ΣΥΝΝΟΝΟΕΙΤΕ ΚΑΙ ΕΊΝΑΙ ΛΙΓΟ ΌΤΙ ΝΑΝΕ ΕΊΝΑΙ ΛΕΕΙ ΕΠΑΓΓΕΛΜΑΤΙΑΣ ΚΑΙ ΕΚΑΤΣΕ ΚΑΙ ΕΙΠΕ ΤΗΝ ΙΣΤΟΡΙΑ ΤΗΣ ΖΩΗΣ ΤΗΣ</t>
  </si>
  <si>
    <t>Σάββατο, 11 Οκτωμβριου 2025</t>
  </si>
  <si>
    <t>Γιάννης Λιάγκος</t>
  </si>
  <si>
    <t>j.liagos88@gmail.com</t>
  </si>
  <si>
    <t>ΗΘΕΛΕ ΚΑΤΕΥΘΕΙΑΝ ΝΑ ΜΑΘΕΙ ΓΙΑ ΚΟΣΤΟΣ ΑΛΛΑ ΤΟΥ ΕΙΠΑ ΠΩΣ ΔΕΝ ΕΧΟΥΜΕ ΤΟ ΤΜΗΜΑ ΜΕ ΡΩΤΗΣΕ ΚΑΙ ΓΙΑ ΔΙΚΤΥΑ ΚΑΙ ΔΕΝ ΕΧΟΥΜΕ ΚΑΙ ΤΟΥ ΕΙΠΑ ΤΙΣ ΕΙΔΙΚΟΤΗΤΕΣ ΚΑΙ ΔΕΝ ΕΝΔΙΑΦΕΡΕΤΕ</t>
  </si>
  <si>
    <t>16:05 μμ</t>
  </si>
  <si>
    <t>Κορίνα Συλλιγαρδάκη</t>
  </si>
  <si>
    <t>aikasyll@hotmail.com</t>
  </si>
  <si>
    <t>ΜΕ ΡΩΤΗΣΕ ΔΙΑΦΟΡΑ ΠΡΑΓΜΑΤΑ, ΠΡΟΓΡΑΜΜΑ, ΩΡΑΡΙΟ, ΔΙΔΑΚΤΡΑΚΛΠ</t>
  </si>
  <si>
    <t>22:30 μμ</t>
  </si>
  <si>
    <t>Νικόλας Μπαρίκος</t>
  </si>
  <si>
    <t>barikos1@yahoo.gr</t>
  </si>
  <si>
    <t>ΑΥΤΟΣ ΕΧΕΙ ΕΠΙΧΕΙΡΗΣΗ ΚΑΙ ΔΕΝ ΤΟΝΝ ΕΝΔΙΑΦΕΡΕΙ ΚΑΙ ΠΟΛΎ ΓΙΑΤΙ ΘΑ ΛΕΙΠΕΙ ΚΛΠ ΑΛΛΑ ΘΕΛΕΙ ΝΑ ΔΕΙ ΤΟ ΠΡΟΓΡΑΜΜΑ ΚΑΙ ΠΟΙΟΙ ΕΙΝΙΑ ΟΙ ΚΑΘΗΓΗΤΕΣ ΚΑΙ ΤΑ ΒΙΟΓΡΑΦΙΚΑ ΤΟΥΣ ΓΙΑ ΝΑ ΑΠΟΦΑΣΙΣΕΙ ΑΝ ΘΕΛΕΙ</t>
  </si>
  <si>
    <t>Τετάρτη, 15 Οκτωμβρίου 2025</t>
  </si>
  <si>
    <t>ΕΛΕΥΘΕΡΙΟΣ ΚΟΝΤΟΓΙΑΝΝΗΣ</t>
  </si>
  <si>
    <t>lekonto@gmail.com</t>
  </si>
  <si>
    <t xml:space="preserve">ΤΟΥ ΕΙΠΑ ΓΙΑ ΔΩΡΕΑΝ AUTOCAD ΚΛΠ ΚΑΙ ΕΙΠΕ ΘΑ ΤΟ ΣΚΕΥΤΕΙ ΚΑΙ ΘΑ ΜΑΣ ΠΕΙ </t>
  </si>
  <si>
    <t>Σάββατο, 18 Οκτωμβρίου 2025</t>
  </si>
  <si>
    <t>Μαρία Τσαμπουρη</t>
  </si>
  <si>
    <t>mtsampoure2023@gmail.com</t>
  </si>
  <si>
    <t>Εκδήλωση</t>
  </si>
  <si>
    <t>Δευτέρα, 20 Οκτωμβρίου 2025</t>
  </si>
  <si>
    <t>21:06 μμ</t>
  </si>
  <si>
    <t>ΕΜΜΑΝΟΥΕΛΛΑ ΡΙΖΟΥ</t>
  </si>
  <si>
    <t>emmanouellarizou28@yahoo.com</t>
  </si>
  <si>
    <t>Πέμπτη, 23 Οκτωμβρίου 2025</t>
  </si>
  <si>
    <t>ΑΛΚΙΒΙΑΔΗΣ ΛΕΦΑΚΗΣ</t>
  </si>
  <si>
    <t>kaalnima@gmail.com</t>
  </si>
  <si>
    <t>Σάββατο, 25 Οκτωμβρίου 2025</t>
  </si>
  <si>
    <t>Ελενη Κουγιουμουτζη</t>
  </si>
  <si>
    <t>elenikougioumoutzi@yahoo.gr</t>
  </si>
  <si>
    <t>Τετάρτη, 29 Οκτωμβρίου 2025</t>
  </si>
  <si>
    <t>Μαρίνα Μπούκη</t>
  </si>
  <si>
    <t>marinabouki@gmail.com</t>
  </si>
  <si>
    <t>Πέμπτη, 30 Οκτωμβρίου 2025</t>
  </si>
  <si>
    <t>13:41 μμ</t>
  </si>
  <si>
    <t>Αγγελική Σαραπη</t>
  </si>
  <si>
    <t>aggelikis25@yahoo.gr</t>
  </si>
  <si>
    <t>ΕΊΝΑΙ ΦΙΛΗ ΤΗΣ ΠΕΛΑΣ ΚΑΙ ΘΕΛΕΙ ΕΞ ΑΠΟΣΤΑΣΕΩΣ ΝΑ ΠΑΡΑΚΟΛΟΥΘΕΙ.ΤΗΝ ΕΝΗΜΕΡΩΣΑ ΓΙΑ ΌΛΑ ΚΑΙ ΘΑ ΤΟ ΣΚΕΥΤΕΙ ΑΝ ΘΕΛΕΙ ΝΑ ΚΑΝΕΙ ΦΕΒΡΟΥΑΡΙΟ ΚΑΙ ΟΚΤΩΜΒΡΙΟ</t>
  </si>
  <si>
    <t>Τρίτη, 04 Νοεμβρίου 2025</t>
  </si>
  <si>
    <t>Αντώνης Μανιούδης</t>
  </si>
  <si>
    <t>manioudisantonis@gmail.com</t>
  </si>
  <si>
    <t>ΘΕΛΕΙ ΓΙΑ CYBER SECURITY ΟΠΌΤΕ ΔΕΝ ΘΕΛΕΙ ΚΑΜΙΑ ΕΙΔΙΚΟΤΗΤΑ ΕΚΤΟΣ ΑΠΌ ΑΥΤΉ ΚΑΙ ΔΕΝ ΘΕΛΕΙ ΣΕ ΈΝΑ ΧΡΟΝΟ. ΑΝ ΓΙΝΕΙ ΤΜΗΜΑ ΜΑΡΤΙΟ 2026 ΜΟΝΟ ΝΑ ΤΟΥ ΠΟΥΜΕ. ΝΑ ΕΡΘΕΙ ΝΑ ΚΑΝΕΙ ΚΑΙ ΞΕΝΑΓΗΣΗ ΚΛΠ</t>
  </si>
  <si>
    <t>Παρασκεύη, 14 Νοεμβρίου 2025</t>
  </si>
  <si>
    <t>19:22 μμ</t>
  </si>
  <si>
    <t>ΕΙΡΗΝΗ ΜΠΟΥΤΖΑΛΗ</t>
  </si>
  <si>
    <t>iriniboujali@gmail.com</t>
  </si>
  <si>
    <t>ΚΑΛΕΣΑ ΚΑΙ ΔΕΝ ΤΟ ΣΗΚΩΣΕ ΚΑΙ ΕΤΣΙ ΕΣΤΕΙΛΑ EMAIL ΚΑΙ ΠΕΡΙΜΕΝΩ</t>
  </si>
  <si>
    <t>Σάββατο, 15 Νοεμβρίου 2025</t>
  </si>
  <si>
    <t>18:18 μμ</t>
  </si>
  <si>
    <t>Ευαγγελία Παπαστεφανακη</t>
  </si>
  <si>
    <t>eva.papastefanaki@gmail.com</t>
  </si>
  <si>
    <t>ΔΕΝ ΗΞΕΡΕ ΑΝ ΘΕΛΕΙ ΣΕΜΙΝΑΡΙΟ Ή ΙΕΚ ΑΛΛΑ ΘΕΛΕΙ ΜΟΝΟ ΤΕΤΑΡΤΗ ΚΑΙ ΠΑΡΑΣΚΕΥΗ ΚΑΙ ΑΠΟΓΕΥΜΑ</t>
  </si>
  <si>
    <t>Τετάρτη, 19 Νοεμβρίου 2025</t>
  </si>
  <si>
    <t>Χαράλαμπος Σαμιωτης</t>
  </si>
  <si>
    <t>bsamiotis@gmai.com</t>
  </si>
  <si>
    <t>ΔΕΝ ΤΟ ΣΗΚΩΝΕ ΚΑΙ ΕΣΤΕΙΛΑ EMAIL. ΤΕΛΙΚΑ ΜΑΣ ΚΑΛΕΣΕ, ΔΕΝ ΗΞΕΡΕ ΤΙ ΗΘΕΛΕ …ΜΕΓΑΛΟΣ ΗΛΙΚΙΑΚΑ ΚΑΙ ΛΕΕΙ ΑΝ ΠΑΡΩ ΕΙΔΙΚΟΤΗΤΑ ΠΟΤΕ ΘΑ ΠΡΟΣΛΗΦΘΩ ΣΤΑ 70</t>
  </si>
  <si>
    <t>Στέλεχος Διεθνούς Εμπορίου</t>
  </si>
  <si>
    <t>Πέμπτη, 20 Νοεμβρίου 2025</t>
  </si>
  <si>
    <t>Ελευθερία Ανδρουλάκη</t>
  </si>
  <si>
    <t>r_androulaki@yahoo.gr</t>
  </si>
  <si>
    <t>ΜΕ ΚΑΛΕΣΕ, ΤΗΝ ΚΑΛΕΣΑ ΠΙΣΩ ΑΛΛΑ ΔΕΝ ΤΟ ΣΗΚΩΝΕΙ ΚΑΙ ΈΤΣΙ ΕΣΤΕΙΛΑ EMAIL, ΑΛΛΑ ΑΠΌ ΌΤΙ ΦΑΊΝΕΤΑΙ ΔΕΝ ΕΝΔΙΑΦΕΡΕΤΕ</t>
  </si>
  <si>
    <t>Κυριακή, 30 Νοεμβρίου 2025</t>
  </si>
  <si>
    <t>15:14 μμ</t>
  </si>
  <si>
    <t>ΝΟΜΙΖΕ ΠΩΣ ΕΊΝΑΙ ΣΕΜΙΝΑΡΙΟ ΚΑΙ ΣΚΕΥΤΕΤΑΙ ΚΑΙ ΤΑ ΛΕΦΤΑ ΚΑΙ ΘΑ ΓΡΑΦΤΕΙ ΜΕ ΤΗΝ ΓΥΝΑΙΚΑ ΤΟΥ ΚΑΙ ΘΕΛΕΙ ΚΑΛΥΤΕΡΗ ΤΙΜΗ. ΤΟΥ ΣΤΕΙΛΑΜΕ ΚΑΙ EMAIL KAI ΠΕΡΙΝΟΥΜΕ ΕΝΗΜΕΡΩΣΗ</t>
  </si>
  <si>
    <t>Τρίτη, 02 Δεκεμβρίου 2025</t>
  </si>
  <si>
    <t>16:00 μμ</t>
  </si>
  <si>
    <t>Μαρια Νταρδα</t>
  </si>
  <si>
    <t>mar.ntar@gmail.com</t>
  </si>
  <si>
    <t>ΤΗΝ ΚΑΛΕΣΑ ΣΕ ΜΙΣΗ ΩΡΑ ΚΑΙ ΔΕΝ ΤΟ ΣΗΚΩΣΕ ΟΠΟΤΕ ΤΗΣ ΕΣΤΕΙΛΑ EMAIL ΚΑΙ ΠΕΡΙΜΕΝΩ</t>
  </si>
  <si>
    <t>ΜΑΘΗΜΑΤΑ ΧΕΙΜΕΡΙΝΟ ΕΞΑΜΗΝΟ</t>
  </si>
  <si>
    <t>ΜΑΘΗΜΑΤΑ ΕΑΡΙΝΟ ΕΞΑΜΗΝΟ</t>
  </si>
  <si>
    <t>ΓΙΑ ΔΗΜΙΟΥΡΓΙΑ ΛΟΓΑΡΙΑΣΜΟΥ</t>
  </si>
  <si>
    <t>ΟΔΗΓΙΕΣ ΓΙΑ ΣΥΝΔΕΣΗ</t>
  </si>
  <si>
    <t>ΒΗΜΑΤΑ ΓΙΑ ΔΗΜΙΟΥΡΓΙΑ ΛΟΓΑΡΙΑΣΜΟΥ</t>
  </si>
  <si>
    <t>ΠΙΝΑΚΑΣ ΜΕ ΛΟΓΑΡΙΣΜΟΥΣ ΣΤΟ ECLASS</t>
  </si>
  <si>
    <t>ΕΣΩΤΕΡΙΚΗ ΑΡΧΙΤΕΚΤΟΝΙΚΗ ΔΙΑΚΟΣΜΗΣΗ ΚΑΙ ΣΧΕΔΙΑΣΜΟΣ ΑΝΤΙΚΕΙΜΕΝΩΝ</t>
  </si>
  <si>
    <t>first</t>
  </si>
  <si>
    <t>last</t>
  </si>
  <si>
    <t>email</t>
  </si>
  <si>
    <t>id</t>
  </si>
  <si>
    <t>phone</t>
  </si>
  <si>
    <t>username</t>
  </si>
  <si>
    <t>password</t>
  </si>
  <si>
    <t xml:space="preserve">ΣΠΟΥΔΑΣΤΕΣ </t>
  </si>
  <si>
    <t xml:space="preserve">ΜΑΘΗΜΑ </t>
  </si>
  <si>
    <t>ΚΩΔΙΚΟΙ ΜΑΘΗΜΑΤΩΝ ΠΡΩΤΟ ΕΤΟΣ</t>
  </si>
  <si>
    <t>ΜΑΘΗΜΑ</t>
  </si>
  <si>
    <t>ΚΩΔΙΚΟΙ ΜΑΘΗΜΑΤΩΝ ΔΕΥΤΕΡΟ ΕΤΟΣ</t>
  </si>
  <si>
    <t xml:space="preserve">ΘΕΜΑ </t>
  </si>
  <si>
    <t>📘 Οδηγός πρώτης σύνδεσης στην πλατφόρμα eClass ΙΣΑΕΚ</t>
  </si>
  <si>
    <t>papadopoulos</t>
  </si>
  <si>
    <t>bitzou</t>
  </si>
  <si>
    <t>ARCH101</t>
  </si>
  <si>
    <t>ARCH107</t>
  </si>
  <si>
    <t>ΠΑΡΑΓΩΓΑ ΥΛΙΚΑ</t>
  </si>
  <si>
    <t>ARCH114</t>
  </si>
  <si>
    <t>ΟΡΓΑΝΩΣΗ ΕΡΓΟΥ</t>
  </si>
  <si>
    <t>ARCH120</t>
  </si>
  <si>
    <t>ΚΥΡΙΟΣ ΚΕΙΜΕΝΟ</t>
  </si>
  <si>
    <t>ΝΙΚΟΛ</t>
  </si>
  <si>
    <t>anastasiadi</t>
  </si>
  <si>
    <t>chatzideve</t>
  </si>
  <si>
    <t>ARCH102</t>
  </si>
  <si>
    <t>ARCH108</t>
  </si>
  <si>
    <t>ΑΝΑΓΕΝΝΗΣΗ ΚΑΙ ΝΕΟΤΕΡΗ ΤΕΧΝΗ</t>
  </si>
  <si>
    <t>ARCH115</t>
  </si>
  <si>
    <t>ΔΙΑΚΟΣΜΗΤΙΚΕΣ ΜΕΤΑΒΛΗΤΕΣ ΕΦΑΡΜΟΓΕΣ</t>
  </si>
  <si>
    <t>ARCH121</t>
  </si>
  <si>
    <t>skordou</t>
  </si>
  <si>
    <t>ARCH103</t>
  </si>
  <si>
    <t>ARCH109</t>
  </si>
  <si>
    <t>ΜΕΘΟΔΟΛΟΓΙΑ ΜΕΛΕΤΗΣ ΔΙΑΚΟΣΜΗΣΗΣ</t>
  </si>
  <si>
    <t>ARCH116</t>
  </si>
  <si>
    <t>ΨΗΦΙΑΚΟΣ ΦΩΤΟΡΕΑΛΙΣΜΟΣ</t>
  </si>
  <si>
    <t>ARCH122</t>
  </si>
  <si>
    <t>perifanou</t>
  </si>
  <si>
    <t>lyratzakh</t>
  </si>
  <si>
    <t>ARCH104</t>
  </si>
  <si>
    <t>ARCH110</t>
  </si>
  <si>
    <t>ΤΡΙΣΔΙΑΣΤΑΤΗ ΔΙΑΚΟΣΜΗΤΙΚΗ ΑΠΕΙΚΟΝΙΣΗ</t>
  </si>
  <si>
    <t>ARCH117</t>
  </si>
  <si>
    <t>ΔΙΑΚΟΣΜΗΤΙΚΟ ΣΧΕΔΙΟ - ΦΩΤΙΣΜΟΣ</t>
  </si>
  <si>
    <t>ARCH125</t>
  </si>
  <si>
    <t>ΕΥΑ</t>
  </si>
  <si>
    <t xml:space="preserve">ΧΑΙΝΑΚΗ </t>
  </si>
  <si>
    <t>hainaki</t>
  </si>
  <si>
    <t>tzanaki</t>
  </si>
  <si>
    <t>ARCH105</t>
  </si>
  <si>
    <t>ARCH111</t>
  </si>
  <si>
    <t>ΔΙΣΔΙΑΣΤΑΤΗ
ΨΗΦΙΑΚΗ ΣΧΕΔΙΑΣΗ</t>
  </si>
  <si>
    <t>ARCH124</t>
  </si>
  <si>
    <t>ΠΡΑΚΤΙΚΗ ΕΦΑΡΜΟΓΗ ΣΕ ΧΩΡΟΥΣ ΦΙΛΟΞΕΝΙΑΣ</t>
  </si>
  <si>
    <t>ARCH123</t>
  </si>
  <si>
    <t>papadomanolakis</t>
  </si>
  <si>
    <t>ARCH106</t>
  </si>
  <si>
    <t>ΠΡΑΚΤΙΚΗ ΕΦΑΡΜΟΓΗ ΣΕ ΧΩΡΟΥΣ ΕΡΓΑΣΙΑΣ</t>
  </si>
  <si>
    <t>ARCH112</t>
  </si>
  <si>
    <t>ΔΟΜΙΚΑ ΣΤΟΙΧΕΙΑ ΕΣΩΤΕΡΙΚΩΝ ΧΩΡΩΝ</t>
  </si>
  <si>
    <t>ARCH118</t>
  </si>
  <si>
    <t>ΓΡΑΜΜΑΤΕΙΑ</t>
  </si>
  <si>
    <t>SDO111</t>
  </si>
  <si>
    <t>koundouraki</t>
  </si>
  <si>
    <t>ΠΡΑΚΤΙΚΗ ΕΦΑΡΜΟΓΗ ΣΕ ΧΩΡΟΥΣ ΚΑΤΟΙΚΙΑΣ</t>
  </si>
  <si>
    <t>ARCH119</t>
  </si>
  <si>
    <t>markakitrypaki</t>
  </si>
  <si>
    <t>antonakaki</t>
  </si>
  <si>
    <t>anagnostaki</t>
  </si>
  <si>
    <t>ΤΕΧΝΙΚΟΣ ΑΡΤΟΠΟΙΙΑΣ ΚΑΙ ΖΑΧΑΡΟΠΛΑΣΤΙΚΗΣ ΤΕΧΝΗΣ</t>
  </si>
  <si>
    <t>apostolaki</t>
  </si>
  <si>
    <t>bouchalakis</t>
  </si>
  <si>
    <t>arfanaki</t>
  </si>
  <si>
    <t>sava</t>
  </si>
  <si>
    <t>ZAXAROPLASTES101</t>
  </si>
  <si>
    <t>ZAXAROPLASTES107</t>
  </si>
  <si>
    <t>vasileiadi</t>
  </si>
  <si>
    <t>fygetakis</t>
  </si>
  <si>
    <t>ZAXAROPLASTES102</t>
  </si>
  <si>
    <t>ZAXAROPLASTES108</t>
  </si>
  <si>
    <t>ΓΑΛΛΙΚΑ ΙΙ</t>
  </si>
  <si>
    <t>ZAXAROPLASTES113</t>
  </si>
  <si>
    <t>ΑΓΓΛΙΚΑ ΙΙ</t>
  </si>
  <si>
    <t>ZAXAROPLASTES119</t>
  </si>
  <si>
    <t>ΒΗΜΑΤΑ ΓΙΑ ΕΓΓΡΑΦΗ ΧΡΗΣΤΩΝ ΣΤΑ ΜΑΘΗΜΑΤΑ</t>
  </si>
  <si>
    <t>georgioudaki</t>
  </si>
  <si>
    <t>fysarakis</t>
  </si>
  <si>
    <t>ΣΤΟΙΧΕΙΑ ΜΑΓΕΙΡΙΚΗΣ (catering) I</t>
  </si>
  <si>
    <t>ZAXAROPLASTES103</t>
  </si>
  <si>
    <t>ΔΙΑΧΕΙΡΗΣΗ ΠΡΩΤΩΝ ΥΛΩΝ ΙΙ (F&amp;B MANAGEMENT ΙΙ) - ΚΟΣΤΟΛΟΓΗΣΗ ΠΑΡΑΣΚΕΥΑΣΜΑΤΩΝ</t>
  </si>
  <si>
    <t>ZAXAROPLASTES109</t>
  </si>
  <si>
    <t>ΖΑΧΑΡΟΠΛΑΣΤΙΚΗ ΤΕΧΝΗ II</t>
  </si>
  <si>
    <t>ZAXAROPLASTES114</t>
  </si>
  <si>
    <t>ΖΑΧΑΡΟΠΛΑΣΤΙΚΗ ΤΕΧΝΗ IV</t>
  </si>
  <si>
    <t>ZAXAROPLASTES120</t>
  </si>
  <si>
    <t>1. ΠΗΓΑΙΝΟΥΜΕ ΣΤΟ ECLASS ΣΤΗ ΔΙΑΧΕΙΡΗΣΗ ΠΛΑΤΦΟΡΜΑΣ 2. ΜΑΖΙΚΗ ΕΓΓΡΑΦΗ ΧΡΗΣΤΩΝ ΣΕ ΜΑΘΗΜΑΤΑ, 3. ΓΡΑΦΟΥΜΕ USERNAME ΚAI META BAZOYME ΤΟΥΣ ΚΩΔΙΚΟΥΣ ΜΑΘΗΜΑΤΩΝ ΠΟΥ ΘΕΛΟΥΜΕ ΝΑ ΤΟΥΣ ΠΡΟΣΘΕΣΟΥΜΕ 4. ΕΠΙΛΕΓΟΥΜΕ ΤΟΝ ΡΟΛΟ ΠΧ ΕΚΠΑΙΔΕΥΟΜΕΝΟΣ ΚΑΙ ΜΕΤΑ  5. ΠΑΤΑΜΕ ΕΓΓΡΑΦΗ</t>
  </si>
  <si>
    <t>ΔΑΣΚΑΛΑΚΗ ΙΕΡΑΠΕΤΡΙΤΑΚΗ</t>
  </si>
  <si>
    <t>daskalakiierapetritaki</t>
  </si>
  <si>
    <t>kyrlakis</t>
  </si>
  <si>
    <t>ZAXAROPLASTES104</t>
  </si>
  <si>
    <t>ΑΣΤΟΠΟΙΗΤΙΚΗ ΤΕΧΝΗ Ι</t>
  </si>
  <si>
    <t>ZAXAROPLASTES110</t>
  </si>
  <si>
    <t>ΣΤΟΙΧΕΙΑ ΜΑΓΕΙΡΙΚΗΣ (CATERING) II</t>
  </si>
  <si>
    <t>ZAXAROPLASTES115</t>
  </si>
  <si>
    <t>ΑΡΤΟΠΟΙΗΤΙΚΗ ΤΕΧΝΗ ΙΙ</t>
  </si>
  <si>
    <t>ZAXAROPLASTES121</t>
  </si>
  <si>
    <t>zaharakis</t>
  </si>
  <si>
    <t>koumakis</t>
  </si>
  <si>
    <t>ZAXAROPLASTES105</t>
  </si>
  <si>
    <t>ZAXAROPLASTES111</t>
  </si>
  <si>
    <t>ΒΑΣΙΚΕΣ ΑΡΧΕΣ ΔΙΑΤΡΟΦΗΣ</t>
  </si>
  <si>
    <t>ZAXAROPLASTES116</t>
  </si>
  <si>
    <t>ΒΙΩΣΙΜΗ ΑΝΑΠΤΥΞΗ ΣΤΟΝ ΤΟΥΡΙΣΜΟ</t>
  </si>
  <si>
    <t>ZAXAROPLASTES122</t>
  </si>
  <si>
    <t>neonaki</t>
  </si>
  <si>
    <t xml:space="preserve">ΠΡΑΚΤΙΚΗ ΕΦΑΡΜΟΓΗ ΣΤΗΝ ΕΙΔΙΚΟΤΗΤΑ </t>
  </si>
  <si>
    <t>ZAXAROPLASTES106</t>
  </si>
  <si>
    <t>ZAXAROPLASTES112</t>
  </si>
  <si>
    <t>ΔΙΑΧΕΙΡΙΣΗ ΠΡΩΤΩΝ ΥΛΩΝ Ι (F&amp;B MANAGEMENT I) - ΕΛΕΓΧΟΣ ΕΜΠΟΡΕΥΜΑΤΩΝ</t>
  </si>
  <si>
    <t>ZAXAROPLASTES117</t>
  </si>
  <si>
    <t>ZAXAROPLASTES123</t>
  </si>
  <si>
    <t xml:space="preserve">ΦΑΡΣΑΡΗ </t>
  </si>
  <si>
    <t>farsari</t>
  </si>
  <si>
    <t>vogiatzis</t>
  </si>
  <si>
    <t>ZAXAROPLASTES118</t>
  </si>
  <si>
    <t>fragiadaki</t>
  </si>
  <si>
    <t>xaniotakis</t>
  </si>
  <si>
    <t>aplada</t>
  </si>
  <si>
    <t>ΤΕΧΝΙΚΟΣ ΜΑΓΕΙΡΙΚΗΣ ΤΕΧΝΗΣ ΑΡΧΙΜΑΓΕΙΡΑΣ CHEF</t>
  </si>
  <si>
    <t>ECLASS ΣΥΝΔΕΣΜΟΣ</t>
  </si>
  <si>
    <t>CHEF101</t>
  </si>
  <si>
    <t>ΕΙΣΑΓΩΓΗ ΣΤΗ ΓΕΝΙΚΗ ΛΟΓΙΣΤΙΚΗ</t>
  </si>
  <si>
    <t>SDO103</t>
  </si>
  <si>
    <t>https://eclass-isaek.katartisi.gr/</t>
  </si>
  <si>
    <t>CHEF102</t>
  </si>
  <si>
    <t>SDO104</t>
  </si>
  <si>
    <t>ΕΙΔΙΚΑ ΘΕΜΑΤΑ ΓΕΝΙΚΗΣ ΛΟΓΙΣΤΙΚΗΣ</t>
  </si>
  <si>
    <t>SDO112</t>
  </si>
  <si>
    <t>andrianakieirini</t>
  </si>
  <si>
    <t>CHEF106</t>
  </si>
  <si>
    <t>SDO105</t>
  </si>
  <si>
    <t>ΕΜΠΟΡΙΚΟ ΔΙΚΑΙΟ</t>
  </si>
  <si>
    <t>SDO113</t>
  </si>
  <si>
    <t>veloglou</t>
  </si>
  <si>
    <t>CHEF103</t>
  </si>
  <si>
    <t>SDO106</t>
  </si>
  <si>
    <t>ΕΙΔΙΚΑ ΘΕΜΑΤΑ ΟΙΚΟΝΟΜΙΚΩΝ ΜΑΘΗΜΑΤΙΚΩΝ</t>
  </si>
  <si>
    <t>SDO114</t>
  </si>
  <si>
    <t>kalafati</t>
  </si>
  <si>
    <t>CHEF104</t>
  </si>
  <si>
    <t>SDO107</t>
  </si>
  <si>
    <t>ΕΙΔΙΚΑ ΘΕΜΑΤΑ ΣΤΑΤΙΣΤΙΚΗΣ</t>
  </si>
  <si>
    <t>SDO115</t>
  </si>
  <si>
    <t>manolakaki2</t>
  </si>
  <si>
    <t>CHEF105</t>
  </si>
  <si>
    <t>SDO108</t>
  </si>
  <si>
    <t>ΕΙΔΙΚΑ ΘΕΜΑΤΑ ΔΙΟΙΚΗΣΗΣ ΕΠΙΧΕΙΡΗΣΕΩΝ</t>
  </si>
  <si>
    <t>SDO116</t>
  </si>
  <si>
    <t>ΝΤΙΣΠΥΡΑΚΗ</t>
  </si>
  <si>
    <t>dispiraki</t>
  </si>
  <si>
    <t>SDO109</t>
  </si>
  <si>
    <t>ΟΙΚΟΝΟΜΙΚΗ ΤΩΝ ΕΠΙΧΕΡΗΣΕΩΝ</t>
  </si>
  <si>
    <t>SDO117</t>
  </si>
  <si>
    <t>parasirieirini2007@gmail.com</t>
  </si>
  <si>
    <t>parasiri</t>
  </si>
  <si>
    <t>SDO110</t>
  </si>
  <si>
    <t>ΕΠΙΧΕΙΡΗΣΙΑΚΕΣ ΕΠΙΚΟΙΝΩΝΙΕΣ</t>
  </si>
  <si>
    <t>SDO118</t>
  </si>
  <si>
    <t>tzanidaki</t>
  </si>
  <si>
    <t xml:space="preserve"> ΜΑΡΙΛΕΝΑ</t>
  </si>
  <si>
    <t>ΧΡΗΣΤΑΚΗ</t>
  </si>
  <si>
    <t>christaki</t>
  </si>
  <si>
    <t>ΣΤΕΛΕΧΟΣ ΥΠΗΡΕΣΙΩΝ ΑΕΡΟΜΕΤΑΦΟΡΑΣ</t>
  </si>
  <si>
    <t>alexi</t>
  </si>
  <si>
    <t>AERO111</t>
  </si>
  <si>
    <t>georgantonaki</t>
  </si>
  <si>
    <t>AERO112</t>
  </si>
  <si>
    <t>ellinikakis</t>
  </si>
  <si>
    <t>AERO113</t>
  </si>
  <si>
    <t>ΕΦΑΡΜΟΣΜΕΝΗ ΑΕΡΟΠΟΡΙΚΗ ΟΡΟΛΟΓΙΑ ΣΤΑ ΑΓΓΛΙΚΑ</t>
  </si>
  <si>
    <t>AERO121</t>
  </si>
  <si>
    <t>karatzis</t>
  </si>
  <si>
    <t>AERO114</t>
  </si>
  <si>
    <t>ΕΦΑΡΜΟΣΜΕΝΗ ΑΕΡΟΠΟΡΙΚΗ ΟΡΟΛΟΓΙΑ ΣΤΑ ΓΑΛΛΙΚΑ</t>
  </si>
  <si>
    <t>AERO122</t>
  </si>
  <si>
    <t>koumaki</t>
  </si>
  <si>
    <t>AERO115</t>
  </si>
  <si>
    <t>ΜΑΡΚΕΤΙΝΓΚ ΑΕΡΟΔΡΟΜΙΩΝ ΚΑΙ ΑΕΡΟΠΟΡΙΚΩΝ ΕΤΑΙΡΕΙΩΝ</t>
  </si>
  <si>
    <t>AERO123</t>
  </si>
  <si>
    <t>kounalakis</t>
  </si>
  <si>
    <t>AERO116</t>
  </si>
  <si>
    <t>ΛΕΙΤΟΥΡΓΙΕΣ ΕΤΑΙΡΕΙΩΝ ΕΠΙΓΕΙΑΣ ΕΞΥΠΗΡΕΤΗΣΗΣ – ΕΞΥΠΗΡΕΤΗΣΗ ΕΠΙΒΑΤΩΝ/ΙΔΩΝ Ή ΠΕΛΑΤΩΝ/ΙΣΣΩΝ (ΑΝΑΧΩΡΗΣΗΣ/AIRSIDE)</t>
  </si>
  <si>
    <t>kypraios</t>
  </si>
  <si>
    <t>AERO117</t>
  </si>
  <si>
    <t>ΠΡΟΒΛΕΨΗ ΖΗΤΗΣΗΣ ΑΕΡΟΠΟΡΙΚΩΝ ΕΙΣΙΤΗΡΙΩΝ ΚΑΙ ΑΝΑΛΥΣΗ ΑΓΟΡΑΣ</t>
  </si>
  <si>
    <t>AERO125</t>
  </si>
  <si>
    <t>malliotaki</t>
  </si>
  <si>
    <t>AERO118</t>
  </si>
  <si>
    <t>ΛΕΙΤΟΥΡΓΙΕΣ ΕΤΑΙΡΕΙΩΝ ΕΠΙΓΕΙΑΣ ΕΞΥΠΗΡΕΤΗΣΗΣ – ΕΞΥΠΗΡΕΤΗΣΗ ΑΕΡΟΣΚΑΦΩΝ (ΑΝΕΦΟΔΙΑΣΜΟΣ, ΣΤΑΘΜΕΥΣΗ, РАМПА)</t>
  </si>
  <si>
    <t>AERO126</t>
  </si>
  <si>
    <t>skordulis</t>
  </si>
  <si>
    <t>AERO110</t>
  </si>
  <si>
    <t>ΕΦΑΡΜΟΣΜΕΝΑ ΣΥΣΤΗΜΑΤΑ ΚΡΑΤΗΣΕΩΝ ΑΕΡΟΠΟΡΙΚΩΝ ΕΙΣΙΤΗΡΙΩΝ</t>
  </si>
  <si>
    <t>AERO127</t>
  </si>
  <si>
    <t>skoula</t>
  </si>
  <si>
    <t>ΕΦΑΡΜΟΓΗ ΣΤΗΝ ΚΑΤΑΣΚΕΥΗ ΑΕΡΟΠΟΡΙΚΟΥ ΝΑΥΛΟΥ ΚΑΙ ΤΙΜΟΛΟΓΗΣΗ ΑΕΡΟΠΟΡΙΚΩΝ ΕΙΣΙΤΗΡΙΩΝ</t>
  </si>
  <si>
    <t>AERO128</t>
  </si>
  <si>
    <t>AERO119</t>
  </si>
  <si>
    <t>ΤΕΧΝΙΚΟΣ ΜΑΓΕΙΡΙΚΗΣ ΤΕΧΝΗΣ (1ο ΕΤΟΣ)</t>
  </si>
  <si>
    <t>andrianaki</t>
  </si>
  <si>
    <t>gavaletakis</t>
  </si>
  <si>
    <t>kaplani</t>
  </si>
  <si>
    <t>ΚΛΟΝΤΙΑΝ</t>
  </si>
  <si>
    <t>ΚΑΡΕΜΑΝΑΙ</t>
  </si>
  <si>
    <t>karemanai</t>
  </si>
  <si>
    <t>koumakisc</t>
  </si>
  <si>
    <t>ΣΤΥΛΙΑΡΑΣ</t>
  </si>
  <si>
    <t>styliaras</t>
  </si>
  <si>
    <t>ΚΕΝΔΡΙΣΤΑΚΗ</t>
  </si>
  <si>
    <t>kleio</t>
  </si>
  <si>
    <t>ΜΑΝΙΟΥΔΑΚΗΣ</t>
  </si>
  <si>
    <t>manioudakis</t>
  </si>
  <si>
    <t>moysaki</t>
  </si>
  <si>
    <t>papadaki</t>
  </si>
  <si>
    <t xml:space="preserve">ΕΜΜΑΝΟΥΕΛΑ </t>
  </si>
  <si>
    <t>rizou</t>
  </si>
  <si>
    <t>trigoni</t>
  </si>
  <si>
    <t>tsikandilakis</t>
  </si>
  <si>
    <t>fioretzis</t>
  </si>
  <si>
    <t>ΣΤΕΛΕΧΟΣ ΥΠΗΡΕΣΙΩΝ ΑΕΡΟΜΕΤΑΦΟΡΑΣ (2ο ΕΤΟΣ)</t>
  </si>
  <si>
    <t>manolakaki</t>
  </si>
  <si>
    <t>maragaki</t>
  </si>
  <si>
    <t>smyrnaki</t>
  </si>
  <si>
    <t>stamataki</t>
  </si>
  <si>
    <t>stamatakis</t>
  </si>
  <si>
    <t>USERNAME</t>
  </si>
  <si>
    <t>Office_ID</t>
  </si>
  <si>
    <t>url</t>
  </si>
  <si>
    <t>ISAEKEP005</t>
  </si>
  <si>
    <t>HERLP2901</t>
  </si>
  <si>
    <t>katartisi123</t>
  </si>
  <si>
    <t>Amadeus Selling Platform Connect</t>
  </si>
  <si>
    <t>ISAEKEP004</t>
  </si>
  <si>
    <t>ISAEKEP003</t>
  </si>
  <si>
    <t>Μόνο από το EDGE όχι από CHROME</t>
  </si>
  <si>
    <t>ISAEKEP002</t>
  </si>
  <si>
    <t>ISAEKEP006</t>
  </si>
  <si>
    <t>ISAEKEP007</t>
  </si>
  <si>
    <t>ISAEKEP001</t>
  </si>
  <si>
    <t>MENOUN</t>
  </si>
  <si>
    <t>amadeus1</t>
  </si>
  <si>
    <t>ISAEKEP008</t>
  </si>
  <si>
    <t>ISAEKEP009</t>
  </si>
  <si>
    <t>ΚΆΘΕ ΔΕΥΤΕΡΑ ΚΑΝΟΥΝ RESET</t>
  </si>
  <si>
    <t xml:space="preserve">PIN ΓΙΑ ΕΞΥΠΗΡΕΤΗΣΗ </t>
  </si>
  <si>
    <t>ΤΗΛΕΦΩΝΟ ΕΞΥΠΗΡΕΤΗΣΗΣ</t>
  </si>
  <si>
    <t xml:space="preserve">ΣΙΚΙΩΤΑΚΗ ΑΠΌ ΕΜΠΟΡΙΚΟ ΤΜΗΜΑ </t>
  </si>
  <si>
    <t>ΔΕ. ΤΕΧΝΙΚΩΝ ΣΧΟΛΩΝ</t>
  </si>
  <si>
    <t xml:space="preserve">ΠΑΣΠΑΡΑΚΗ </t>
  </si>
  <si>
    <t>ΚΡΗΤΗ TV</t>
  </si>
  <si>
    <t>ΠΡΟΕΔΡΟΣ</t>
  </si>
  <si>
    <t xml:space="preserve"> ΚΑΡΚΑΝΑΚΗΣ ΒΑΓΓΕΛΗΣ</t>
  </si>
  <si>
    <t>karkanakis@gmail.com, president@ebeh.gr</t>
  </si>
  <si>
    <t>ΚΟΥΜΑΝΤΑΚΗΣ/ ΣΚΟΥΡΑ</t>
  </si>
  <si>
    <t>2810398147/8</t>
  </si>
  <si>
    <t>ΚΑΛΟ ΜΕΣΗΜΕΡΙ</t>
  </si>
  <si>
    <t>ΑΝΤΙΠΡΟΕΔΡΟΣ Α</t>
  </si>
  <si>
    <t>ΜΑΡΑΓΚΑΚΗΣ ΔΡΑΚΟΣ</t>
  </si>
  <si>
    <t>drakosmar@gmail.com</t>
  </si>
  <si>
    <t>ΓΕΝΙΚΟΣ ΓΡΑΜΜΑΤΕΑΣ</t>
  </si>
  <si>
    <t>ΣΙΦΡΗΣ ΓΕΩΡΓΙΟΣ</t>
  </si>
  <si>
    <t>sifrisgeo@gmail.com</t>
  </si>
  <si>
    <t xml:space="preserve">ΟΙΚΟΝΟΜΙΚΟΣ ΕΠΟΠΤΗΣ </t>
  </si>
  <si>
    <t>ΚΑΨΑΛΑΚΗΣ ΙΩΑΝΝΗΣ</t>
  </si>
  <si>
    <t>info@kapsalakis.gr</t>
  </si>
  <si>
    <t>ΜΕΛΟΣ</t>
  </si>
  <si>
    <t>ΜΠΡΙΤΖΟΛΑΚΗΣ ΣΤΕΦΑΝΟΣ</t>
  </si>
  <si>
    <t>sbritzolakis@gmail.com</t>
  </si>
  <si>
    <t>ΤΑΒΕΡΝΑΡΑΚΗΣ ΓΕΩΡΓΙΟΣ</t>
  </si>
  <si>
    <t>geo.tavern@gmail.com</t>
  </si>
  <si>
    <t>ΕΡΓΑΣΙΕΣ ΓΙΑ ΤΟ ΚΤΉΡΙΟ</t>
  </si>
  <si>
    <t>ΙΔΙΟΤΗΤΑ</t>
  </si>
  <si>
    <t>Μπρίνταλος Γιώργος</t>
  </si>
  <si>
    <t>φύλακας</t>
  </si>
  <si>
    <t xml:space="preserve">ΤΕΧΝΙΚΟΣ ΝΕΡΟΥ ΡΟΥΒΑΣ </t>
  </si>
  <si>
    <t>συντηρηση ψυκτών νερού ΡΟΥΒΑΣ</t>
  </si>
  <si>
    <t>Σιδεράκης Κώστας</t>
  </si>
  <si>
    <t>ψυκτικός</t>
  </si>
  <si>
    <t>ΑΝ ΧΑΛΑΣΕΙ ΨΥΓΕΙΟ ΚΛΠ</t>
  </si>
  <si>
    <t>Καρουζάκης Γεώργιος</t>
  </si>
  <si>
    <t>αλουμινάς</t>
  </si>
  <si>
    <t>Μασαούτης Βασίλειος</t>
  </si>
  <si>
    <t>ηλεκτρολόγος</t>
  </si>
  <si>
    <t>ΑΝ ΧΑΛΑΣΟΥΝ ΤΑ ΦΩΤΑ ΚΛΠ</t>
  </si>
  <si>
    <t xml:space="preserve">Καλούδης Ιωάννης </t>
  </si>
  <si>
    <t>μηχανολόγος</t>
  </si>
  <si>
    <t>Στεφανάκης</t>
  </si>
  <si>
    <t>επισκευή απολυμαντικών wc</t>
  </si>
  <si>
    <t>Βασίλης - Ηλίας</t>
  </si>
  <si>
    <t>2810360026-027</t>
  </si>
  <si>
    <t>τεχνικός εκτυπωτή</t>
  </si>
  <si>
    <t>Βολοσυράκης Μανόλης</t>
  </si>
  <si>
    <t>υδραυλικός</t>
  </si>
  <si>
    <t>ΑΝ ΧΑΛΑΣΟΥΝ ΒΡΙΣΕΣ ΚΛΠ</t>
  </si>
  <si>
    <t>Καλέργης Δημήτριος</t>
  </si>
  <si>
    <t>Τζομπανάκης Ιωάννης</t>
  </si>
  <si>
    <t>υδραυλικος</t>
  </si>
  <si>
    <t>Χάρης Σμυρλής (παλιός συντηρητής)</t>
  </si>
  <si>
    <t>ηλεκτρολόγος κ.α.</t>
  </si>
  <si>
    <t xml:space="preserve">Χρήστος Ζαχαράκης </t>
  </si>
  <si>
    <t>Οικοδομικές εργασίες, ελαιογρωματισμοί</t>
  </si>
  <si>
    <t>Λεονταράκης Τάσος</t>
  </si>
  <si>
    <t>Τεχνικός Ασφαλείας</t>
  </si>
  <si>
    <t>miele</t>
  </si>
  <si>
    <t>επισκευές σε γκαραζόπορτες</t>
  </si>
  <si>
    <t xml:space="preserve">ΓΙΑ ΓΚΑΡΑΖΟΠΟΡΤΑ </t>
  </si>
  <si>
    <t>Καλογεράκης Γιώργος</t>
  </si>
  <si>
    <t>6972252362/2813014649</t>
  </si>
  <si>
    <t>φυάλες υγραερίου κτλ</t>
  </si>
  <si>
    <t>Μονιάκης Μανώλης</t>
  </si>
  <si>
    <t>περιφράξεις</t>
  </si>
  <si>
    <t>Λεκάκης</t>
  </si>
  <si>
    <t>ξυλουργός</t>
  </si>
  <si>
    <t>Καπετάνιος</t>
  </si>
  <si>
    <t xml:space="preserve">Κώστας </t>
  </si>
  <si>
    <t xml:space="preserve">υδροφόρα </t>
  </si>
  <si>
    <t>Γρηγορέλης Χάρης</t>
  </si>
  <si>
    <t>απολύμανση</t>
  </si>
  <si>
    <t xml:space="preserve">Ηλίας </t>
  </si>
  <si>
    <t>αυτόματος πωλητής(ψύκτης)</t>
  </si>
  <si>
    <t>Σάββας</t>
  </si>
  <si>
    <t>κηπουρός</t>
  </si>
  <si>
    <t xml:space="preserve">Σταματάκη Ραφαέλα </t>
  </si>
  <si>
    <t>CANDIA καθαριότητα</t>
  </si>
  <si>
    <t>Σταματάκης Γεώργιος</t>
  </si>
  <si>
    <t>Αβραάμ Νίκος</t>
  </si>
  <si>
    <t>πλακατζής</t>
  </si>
  <si>
    <t>Αβραάμ Γρηγόριος</t>
  </si>
  <si>
    <t>2810314476, 6932250113</t>
  </si>
  <si>
    <t>ασφάλεια κτιρίου</t>
  </si>
  <si>
    <t>Καρίτης</t>
  </si>
  <si>
    <t>συντήρηση</t>
  </si>
  <si>
    <t>Καραπιπεράκης</t>
  </si>
  <si>
    <t>Δίκτυα. ΙΤ Τεχνικών σχολών</t>
  </si>
  <si>
    <t>Αμπαρτζάκη Στέλλα</t>
  </si>
  <si>
    <t>Εξωτερικό Λογιστήριο</t>
  </si>
  <si>
    <t>Αστρινάκης Γιάννης</t>
  </si>
  <si>
    <t>γυψοσανίδες</t>
  </si>
  <si>
    <t>αμοβολή</t>
  </si>
  <si>
    <t>Μιχάλης</t>
  </si>
  <si>
    <t>μόνωση</t>
  </si>
  <si>
    <t xml:space="preserve">Δολαψάκης </t>
  </si>
  <si>
    <t>Αρμάντο Μπαϊράμη LUXUS Cleaning</t>
  </si>
  <si>
    <t>luxuscleaning13@gmail.com   6992327304</t>
  </si>
  <si>
    <t>καθαριότητα</t>
  </si>
  <si>
    <t>Συντήρηση αυτόματου πωλητή</t>
  </si>
  <si>
    <t xml:space="preserve">Ζαφείρης </t>
  </si>
  <si>
    <t>ΤΕΧΝΙΚΟ ΤΜΗΜΑ ΠΗΓΑΣΟΥ</t>
  </si>
  <si>
    <t>Κοτανίδη ΥΠΟΥΡΓΕΙΟ</t>
  </si>
  <si>
    <t>2103442418, ekotanidi@minedu.gov.gr</t>
  </si>
  <si>
    <t>ekotanidi@minedu.gov.gr</t>
  </si>
  <si>
    <t>Καράτζης Παντελής KMG</t>
  </si>
  <si>
    <t>ΕΊΝΑΙ ΥΠΕΥΘΥΝΟΣ ΓΙΑ ΤΑ ΔΙΚΤΥΑ (ΠΧ ΌΧΙ INTERNET)</t>
  </si>
  <si>
    <t>Αντώνης Καλογερακης</t>
  </si>
  <si>
    <t>2813022652, 6989416655</t>
  </si>
  <si>
    <t xml:space="preserve">Βοήθεια στην διαχείρηση social media </t>
  </si>
  <si>
    <t>socialbuildersgr@gmail.com</t>
  </si>
  <si>
    <t>info@socialbuilders.gr</t>
  </si>
  <si>
    <t>Μελεσσανάκη Έλενα</t>
  </si>
  <si>
    <t>2810280280, 6909851880</t>
  </si>
  <si>
    <t>TASTE ACADEMY ΓΡΑΜΜΑΤΕΙΑ</t>
  </si>
  <si>
    <t>ΛΟΓΟΘΕΤΗΣ ΑΠΌ ΠΑΡΑΛΛΗΛΟ</t>
  </si>
  <si>
    <t>ΣΧΕΔΙΑΣΤΗΡΙΑ</t>
  </si>
  <si>
    <t>ΣΚΟΥΝΤΗΣ - ΚΡΙΒΕΚ</t>
  </si>
  <si>
    <t>KRIVEK</t>
  </si>
  <si>
    <t>ΠΡΟΜΗΘΕΥΤΕΣ ΤΗΛΕΦΩΝΑ</t>
  </si>
  <si>
    <t>Προμηθευτής</t>
  </si>
  <si>
    <t>Είδος/Προϊόντα</t>
  </si>
  <si>
    <t>Johnson + Κωστάκης Γιάννης-6937220264</t>
  </si>
  <si>
    <t>απορριπαντικά,σφουγγάρια,σακούλες</t>
  </si>
  <si>
    <t>Αλιμπράντης Βαγγέλης Αθήνα</t>
  </si>
  <si>
    <t>Ζαχαρόπαστα, είδη διακόσμησης</t>
  </si>
  <si>
    <t>Ανδρουλάκης Γιάννης</t>
  </si>
  <si>
    <t>Έλαια-ηλιέλαια</t>
  </si>
  <si>
    <t>androulakis@hotmail.com</t>
  </si>
  <si>
    <t>Αυγοδιατροφική ΣΠ FOODS</t>
  </si>
  <si>
    <t>Αυγό, παστεριωμένο κρόκο και ασπράδι</t>
  </si>
  <si>
    <t>papasxoi@gmail.com</t>
  </si>
  <si>
    <t>Βελιβασάκης ΑΕ</t>
  </si>
  <si>
    <t>Άλευρα, άχνη, κρέμα γάλακτος, τυριά</t>
  </si>
  <si>
    <t>office@velivasakis.com   yannis@velivasakis.com</t>
  </si>
  <si>
    <t xml:space="preserve">6947304604/2810 542810 </t>
  </si>
  <si>
    <t xml:space="preserve">Βιδάκης Γιάννης </t>
  </si>
  <si>
    <t xml:space="preserve">Ξηροί καρποί </t>
  </si>
  <si>
    <t>vidakis@vidakis.gr</t>
  </si>
  <si>
    <t>2810257410/6977559017</t>
  </si>
  <si>
    <t>Βιοερευνητικά εργαστήρια Στεφανάκη Στέλλα</t>
  </si>
  <si>
    <t>Ανάλυση νερού-χημείο</t>
  </si>
  <si>
    <t>desk@biolabcrete.gr</t>
  </si>
  <si>
    <t>Γιώργος Ασπυρτάκης</t>
  </si>
  <si>
    <t>Διακρίβωση οργάνων-Metrocal</t>
  </si>
  <si>
    <t xml:space="preserve">Δασκαλάκης </t>
  </si>
  <si>
    <t>Ψάρια, Θαλασσινά, κατεψυγμένα</t>
  </si>
  <si>
    <t>2810333094-95</t>
  </si>
  <si>
    <t>Ηλιάδης Νίκος</t>
  </si>
  <si>
    <t>κάβα-ποτά</t>
  </si>
  <si>
    <t>sales@enopolio.gr</t>
  </si>
  <si>
    <t>Καλημέρα Φρούτα</t>
  </si>
  <si>
    <t>Φρούτα-Λαχανικά</t>
  </si>
  <si>
    <t>accounts@kalimerafrouta.gr</t>
  </si>
  <si>
    <t>Καλουδάκης Μηνάς</t>
  </si>
  <si>
    <t>Α' ύλες Ζαχαροπλαστικής/Είδη συσκευασίας</t>
  </si>
  <si>
    <t>orders@kaloudakis.com</t>
  </si>
  <si>
    <t>2810222705/6973089597</t>
  </si>
  <si>
    <t>Κορώνη</t>
  </si>
  <si>
    <t>info@koronisa.gr</t>
  </si>
  <si>
    <t>2810261410/6976972162</t>
  </si>
  <si>
    <t>Κουρλετάκης Μανώλης</t>
  </si>
  <si>
    <t>έλαια, μαργαρίνη</t>
  </si>
  <si>
    <t>Κρητικός Κόμβος-ΒΑΚΑΝΑ</t>
  </si>
  <si>
    <t>υγρό καθαριστικό για inox</t>
  </si>
  <si>
    <t>Κωστάκης Γιάννης</t>
  </si>
  <si>
    <t>μίγματα απορριπαντικών/johnson</t>
  </si>
  <si>
    <t>Μπελιμπασάκης Δημήτρης cerci</t>
  </si>
  <si>
    <t>Α' ύλες κρέμα γάλακτος-σοκολάτα</t>
  </si>
  <si>
    <t>Μύλοι Κρήτης (κος Παπαπαναγής)</t>
  </si>
  <si>
    <t>Άλευρα</t>
  </si>
  <si>
    <t>ddp@mills.gr</t>
  </si>
  <si>
    <t xml:space="preserve">Πανακάκης </t>
  </si>
  <si>
    <t>Μπαχαρικά-αλάτι</t>
  </si>
  <si>
    <t>panakakis.emm@gmail.com</t>
  </si>
  <si>
    <t>Πανακάκης Μανώλης</t>
  </si>
  <si>
    <t>Α' ύλες Ζαχαροπλαστικής/μαγειρικής</t>
  </si>
  <si>
    <t>Παρλαμάς Γιάννης</t>
  </si>
  <si>
    <t>parlamas@gmail.com</t>
  </si>
  <si>
    <t>2810222421/6944227245</t>
  </si>
  <si>
    <t>Πουράτος HELLAS</t>
  </si>
  <si>
    <t>kvafeiadis@puratos.com</t>
  </si>
  <si>
    <t>Προκοπάκης Γιάννης</t>
  </si>
  <si>
    <t>τυροκομικά-μυζήθρα</t>
  </si>
  <si>
    <t xml:space="preserve">Ρινακάκης </t>
  </si>
  <si>
    <t>Σιδέρης Χαράλαμπος</t>
  </si>
  <si>
    <t>φύλλο κρούστας-καταϊφι</t>
  </si>
  <si>
    <t>Σταθάκης</t>
  </si>
  <si>
    <t>Μπαχαρικά</t>
  </si>
  <si>
    <t>info@stathakis-market.gr</t>
  </si>
  <si>
    <t>2810281343/6977428271</t>
  </si>
  <si>
    <t xml:space="preserve">Σταυρακάκης Μύρων </t>
  </si>
  <si>
    <t>Α' ύλες Ζαχαροπλαστικής</t>
  </si>
  <si>
    <t>Συλιγάρδος ΟΕ (Νίκος)</t>
  </si>
  <si>
    <t>φρέσκο αιγοπρόβιο γάλα,τυροκομικά, μυζήθρα</t>
  </si>
  <si>
    <t xml:space="preserve">Σαριδάκης Γιάννης </t>
  </si>
  <si>
    <t>Στολές εργασίας</t>
  </si>
  <si>
    <t>info@sww.gr</t>
  </si>
  <si>
    <t>6998488488/2810261000</t>
  </si>
  <si>
    <t>ΧΕΙΜΕΡΙΝΟ ΕΞΑΜΗΝΟ</t>
  </si>
  <si>
    <t>ΕΑΡΙΝΟ ΕΞΑΜΗΝΟ</t>
  </si>
  <si>
    <t>ΕΞΑΜΗΝΟ</t>
  </si>
  <si>
    <t>ΚΑΘΗΓΗΤΗΣ</t>
  </si>
  <si>
    <t>ΠΤΥΧΙΟ</t>
  </si>
  <si>
    <t>ΩΡΕΣ</t>
  </si>
  <si>
    <t>ΚΩΔΙΚΟΣ ECLASS</t>
  </si>
  <si>
    <t>ΑΠΟΥΣΙΕΣ</t>
  </si>
  <si>
    <t>ΕΣΩΤΕΡΙΚΗ ΑΡΧΙΤΕΚΤΟΝΙΚΗ ΚΑΙ ΔΙΑΚΟΣΜΗΣΗ ΚΑΙ ΣΧΕΔΙΑΣΜΟΣ ΑΝΤΙΚΕΙΜΕΝΟΥ</t>
  </si>
  <si>
    <t>ΕΣΩΤΕΡΙΚΗ ΑΡΧΙΤΕΚΤΟΝΙΚΗ ΚΑΙ ΔΙΑΚΟΣΜΗΣΗ</t>
  </si>
  <si>
    <t>1ο</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</si>
  <si>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νέο ενιαίο κλάδο εκπαιδευτικών ΠΕ 81 Πολιτικών Μηχανικών – Αρχιτεκτόνων μόνο ειδικότητας Αρχιτεκτόνων Μηχανικών ΑΕΙ.</t>
  </si>
  <si>
    <t>2ο</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</si>
  <si>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το νέο ενιαίο κλάδο εκπαιδευτικών ΠΕ 81 Πολιτικών Μηχανικών – Αρχιτεκτόνων μόνο ειδικότητας Αρχιτεκτόνων Μηχανικών ΑΕΙ, ελλείψει αυτών, από το νέο ενιαίο κλάδο εκπαιδευτικών ΠΕ08 ΑΕΙ.</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</si>
  <si>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το νέο ενιαίο κλάδο εκπαιδευτικών ΠΕ08 (εκτός της ειδικότητας πτυχίου Τμήματος Θεωρίας και Ιστορίας της Τέχνης της ΑΣΚΤ ΑΕΙ).</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</si>
  <si>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</si>
  <si>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το νέο ενιαίο κλάδο εκπαιδευτικών ΠΕ 81 Πολιτικών Μηχανικών – Αρχιτεκτόνων μόνο ειδικότητας Αρχιτεκτόνων Μηχανικών ΑΕΙ.</t>
  </si>
  <si>
    <t>3ο</t>
  </si>
  <si>
    <t>Επίπεδο σπουδών εκπαιδευτή/τριας κατά το Εθνικό Πλαίσιο Προσόντων: 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το νέο ενιαίο κλάδο εκπαιδευτικών ΠΕ 81 Πολιτικών Μηχανικών – Αρχιτεκτόνων μόνο ειδικότητας Αρχιτεκτόνων Μηχανικών ΑΕΙ, ελλείψει αυτών, από το νέο ενιαίο κλάδο εκπαιδευτικών ΠΕ08 ΑΕΙ.</t>
  </si>
  <si>
    <t>4ο</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</si>
  <si>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 ελλείψει αυτών, από ειδικότητες ΠΕ89.02 Σχεδιασμού και Παραγωγής Προϊόντων, μόνο ειδικότητος ΠΕ18.44 Σχεδιασμού και Τεχνολογίας Ξύλου και Επίπλου ΑΤΕΙ.</t>
  </si>
  <si>
    <t>Πτυχίο Ανώτατης Εκπαίδευσης ΤΕΙ/ΑΕΙ (Επίπεδο 6), νέου ενιαίου κλάδου εκπαιδευτικών ΠΕ89 Εφαρμοσμένων Τεχνών, από ειδικότητες ΠΕ89.01 Καλλιτεχνικών Σπουδών, κατά προτεραιότητα ειδικότητας Διακοσμητικής ΑΤΕΙ/ΑΕΙ, ΠΕ 89.27 ή ΠΕ0004 ή Εσωτερικής Αρχιτεκτονικής Διακόσμησης και Σχεδιασμού Αντικειμένων ΑΤΕΙ/ΑΕΙ, ελλείψει αυτών, ειδικότητας Εσωτερικής Αρχιτεκτονικής ΑΕΙ</t>
  </si>
  <si>
    <t>BUSINESS ENGLISH AND TOURISM TERMINOLOGY Α + Β ΕΞΑΜΗΝΟ</t>
  </si>
  <si>
    <t>ΜΠΟΥΧΑΛΑΚΗΣ ΜΑΝΩΛΗΣ</t>
  </si>
  <si>
    <t>Πτυχιούχοι Ανώτατης Εκπαίδευσης ΑΕΙ/ΤΕΙ αγγλικής γλώσσας και φιλολογίας, του κλάδου εκπαιδευτικών ΠΕ Αγγλικής Γλώσσας ή εκπαιδευτικής επάρκειας.</t>
  </si>
  <si>
    <t>AERO101</t>
  </si>
  <si>
    <t>Πτυχιούχοι Ανώτατης Εκπαίδευσης ΑΕΙ/ΤΕΙ αγγλικής γλώσσας και φιλολογίας, του κλάδου εκπαιδευτικών ΠΕ Αγγλικής Γλώσσας.</t>
  </si>
  <si>
    <t>ΓΑΛΛΙΚΑ Α + Β ΕΞΑΜΗΝΟ</t>
  </si>
  <si>
    <t>ΣΑΒΑ ΜΙΚΑΕΛΑ</t>
  </si>
  <si>
    <t>Πτυχιούχοι Ανώτατης Εκπαίδευσης ΑΕΙ/ΤΕΙ γαλλικής γλώσσας και φιλολογίας, του κλάδου εκπαιδευτικών ΠΕ Γαλλικής Γλώσσας.</t>
  </si>
  <si>
    <t>AERO102</t>
  </si>
  <si>
    <t>ΤΟΥΡΙΣΜΟΣ ΚΑΙ ΑΕΡΟΠΟΡΙΚΗ ΒΙΟΜΗΧΑΝΙΑ ΜΕΤΑΦΟΡΩΝ Α + Β ΕΞΑΜΗΝΟ</t>
  </si>
  <si>
    <t>ΜΑΡΚΑΚΗ ΤΡΥΠΑΚΗ ΠΕΛΑΓΙΑ</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</si>
  <si>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</si>
  <si>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AERO103</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</si>
  <si>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</si>
  <si>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ΤΑΞΙΔΙΩΤΙΚΗ ΓΕΩΓΡΑΦΙΑ ΚΑΙ ΤΑΞΙΔΙΩΤΙΚΟΙ ΟΔΗΓΟΙ Α + Β ΕΞΑΜΗΝΟ</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</si>
  <si>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</si>
  <si>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AERO104</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</si>
  <si>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</si>
  <si>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ΟΡΓΑΝΩΣΗ ΚΑΙ ΛΕΙΤΟΥΡΓΙΑ ΤΟΥΡΙΣΤΙΚΟΥ ΓΡΑΦΕΙΟΥ ΚΑΙ ΑΕΡΟΠΟΡΙΚΗΣ ΕΤΑΙΡΕΙΑΣ Α + Β ΕΞΑΜΗΝΟ</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</si>
  <si>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</si>
  <si>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AERO105</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</si>
  <si>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(Επιπέδου 5),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</si>
  <si>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ΤΟΥΡΙΣΤΙΚΟ ΚΑΙ ΑΕΡΟΠΟΡΙΚΟ ΜΑΡΚΕΤΙΝΓΚ  Α + Β ΕΞΑΜΗΝΟ</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</si>
  <si>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80: Οικονομίας. Ελλείψει των προηγουμένων, πτυχιούχοι Ανώτατης. Εκπαίδευσης ΑΕΙ/ΤΕΙ κατεύθυνσης εμπορίας και διαφήμισης (marketing) του ενοποιημένου κλάδου εκπαιδευτικών ΠΕ Οικονομίας.
Ελλείψει των προηγουμένων, Πτυχιούχοι Ανώτατης Εκπαίδευσης ΑΕΙ/ΤΕΙ κατεύθυνσης διοίκησης επιχειρήσεων ή λογιστικής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</si>
  <si>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AERO106</t>
  </si>
  <si>
    <t>Κατά προτεραιότητα, πτυχιούχοι Ανώτατης Εκπαίδευσης ΑΕΙ/ΤΕΙ (Επιπέδου 6)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Ανώτατης Εκπαίδευσης ΑΕΙ/ΤΕΙ (Επιπέδου 6) κατεύθυνσης εμπορίας και διαφήμισης (marketing) του ενοποιημένου κλάδου εκπαιδευτικών ΠΕ Οικονομίας.
Ελλείψει των προηγουμένων, Πτυχιούχοι Ανώτατης Εκπαίδευσης ΑΕΙ/ΤΕΙ (Επιπέδου 6) κατεύθυνσης διοίκησης επιχειρήσεων ή λογιστικής του ενοποιημένου κλάδου εκπαιδευτικών ΠΕ Οικονομίας.
Ελλείψει των προηγουμένων, πτυχιούχοι τουριστικής κατεύθυνσης (Επιπέδου 5),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</si>
  <si>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ΑΕΡΟΠΟΡΙΚΟ ΔΙΚΑΙΟ ΚΑΙ ΔΙΕΘΝΕΙΣ ΣΧΕΣΕΙΣ (IATA – UFTAA – ICAO – BSP) Α + Β ΕΞΑΜΗΝΟ</t>
  </si>
  <si>
    <t>ΚΑΛΟΓΕΡΑΚΗΣ ΜΙΧΑΛΗΣ</t>
  </si>
  <si>
    <t>Πτυχιούχοι Ανώτατης Εκπαίδευσης ΑΕΙ/ΤΕΙ κατεύθυνσης νομικής και πολιτικών επιστημών του ενοποιημένου κλάδου εκπαιδευτικών ΠΕ Κοινωνικών Επιστημών.</t>
  </si>
  <si>
    <t>AERO107</t>
  </si>
  <si>
    <t>Πτυχιούχοι Ανώτατης Εκπαίδευσης ΑΕΙ/ΤΕΙ (Επιπέδου 6) κατεύθυνσης νομικής και πολιτικών επιστημών του ενοποιημένου κλάδου εκπαιδευτικών ΠΕ Κοινωνικών Επιστημών.</t>
  </si>
  <si>
    <t>ΜΕΤΑΦΟΡΑ ΕΜΠΟΡΕΥΜΑΤΩΝ CARGO Α + Β ΕΞΑΜΗΝΟ</t>
  </si>
  <si>
    <t>Κατά προτεραιότητα, πτυχιούχοι Ανώτατης Εκπαίδευσης ΑΕΙ/ΤΕΙ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</si>
  <si>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AERO108</t>
  </si>
  <si>
    <t>Κατά προτεραιότητα, πτυχιούχοι Ανώτατης Εκπαίδευσης ΑΕΙ/ΤΕΙ (Επιπέδου 6) κατεύθυνσης διοίκησης τουρισμού ή και τουριστικών επιχειρήσεων του ενοποιημένου κλάδου εκπαιδευτικών ΠΕ Οικονομίας. Ελλείψει των προηγουμένων, πτυχιούχοι τουριστικής κατεύθυνσης (Επιπέδου 5),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</si>
  <si>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ΑΕΡΟΠΟΡΙΚΟΙ ΝΑΥΛΟΙ Α + Β ΕΞΑΜΗΝΟ</t>
  </si>
  <si>
    <t>ΡΕΠΑΝΑΚΗ ΝΤΕΠΗ</t>
  </si>
  <si>
    <t>AERO109</t>
  </si>
  <si>
    <t xml:space="preserve">ΑΕΡΟΠΟΡΙΚΟΙ ΝΑΥΛΟΙ Α + Β ΕΞΑΜΗΝΟ </t>
  </si>
  <si>
    <t>ΠΡΑΚΤΙΚΗ ΕΦΑΡΜΟΓΗ ΣΤΗΝ ΕΙΔΙΚΟΤΗΤΑ Α + Β ΕΞΑΜΗΝΟ</t>
  </si>
  <si>
    <t>Πτυχιούχοι Ανώτατης Εκπαίδευσης ΑΕΙ/ΤΕΙ (Επιπέδου 6) αγγλικής γλώσσας και φιλολογίας, του κλάδου εκπαιδευτικών ΠΕ Αγγλικής Γλώσσας.</t>
  </si>
  <si>
    <t>Πτυχιούχοι Ανώτατης Εκπαίδευσης ΑΕΙ/ΤΕΙ (Επιπέδου 6) γαλλικής γλώσσας και φιλολογίας, του κλάδου εκπαιδευτικών ΠΕ Γαλλικής Γλώσσας.</t>
  </si>
  <si>
    <t>Κατά προτεραιότητα, πτυχιούχοι Ανώτατης Εκπαίδευσης ΑΕΙ/ΤΕΙ (Επιπέδου 6) κατεύθυνσης διοίκησης τουρισμού ή και τουριστικών επιχειρήσεων του ενοποιημένου κλάδου εκπαιδευτικών ΠΕ 80: Οικονομίας. Ελλείψει των προηγουμένων, πτυχιούχοι Ανώτατης Εκπαίδευσης ΑΕΙ/ΤΕΙ (Επιπέδου 6) κατεύθυνσης εμπορίας και διαφήμισης (marketing) του ενοποιημένου κλάδου εκπαιδευτικών ΠΕ Οικονομίας. Ελλείψει των προηγουμένων, Πτυχιούχοι Ανώτατης Εκπαίδευσης ΑΕΙ/ΤΕΙ (Επιπέδου 6) κατεύθυνσης διοίκησης επιχειρήσεων ή λογιστικής του ενοποιημένου κλάδου εκπαιδευτικών ΠΕ Οικονομίας. Ελλείψει των προηγουμένων, πτυχιούχοι τουριστικής κατεύθυνσης (Επιπέδου 5), είτε Ανωτέρων Σχολών, είτε Ινστιτούτων Επαγγελματικής Κατάρτισης (με πιστοποίηση αρχικής επαγγελματικής κατάρτισης αποφοίτων ΙΕΚ), είτε Επαγγελματικής Ειδικότητας (απόφοιτοι τάξης μαθητείας ΕΠΑΛ) με πενταετή. επαγγελματική προϋπηρεσία σε ανάλογο αντικείμενο.</t>
  </si>
  <si>
    <t>ΨΑΘΑΚΗΣ ΜΙΧΑΛΗΣ</t>
  </si>
  <si>
    <t>Κατά προτεραιότητα, πτυχιούχοι Ανώτατης Εκπαίδευσης ΑΕΙ/ΤΕΙ (Επιπέδου 6) κατεύθυνσης δημόσιας υγιεινής του ενοποιημένου κλάδου εκπαιδευτικών ΠΕΥγείας – Πρόνοιας – Ευεξίας. Ελλείψει των προηγούμενων, Πτυχιούχοι Ανώτατης Εκπαίδευσης ΑΕΙ/ΤΕΙ (Επιπέδου 6) κατεύθυνσης ιατρών του ενοποιημένου κλάδου εκπαιδευτικών ΠΕ Υγείας – Πρόνοιας – Ευεξίας. Ελλείψει των προηγούμενων, Πτυχιούχοι Ανώτατης Εκπαίδευσης ΑΕΙ/ΤΕΙ (Επιπέδου 6) κατεύθυνσης νοσηλευτικής του ενοποιημένου κλάδου εκπαιδευτικών ΠΕ Υγείας – Πρόνοιας – Ευεξίας.</t>
  </si>
  <si>
    <t>ΦΥΓΕΤΑΚΗ ΜΑΡΙΑ</t>
  </si>
  <si>
    <t>Πτυχιούχος ΑΕΙ,ΑΤΕΙ Οικονομικής ή Διοικητικής Σχολής ή Πτυχιούχος ΑΕΙ Χρηματοοικονομικής &amp; Λογιστικής</t>
  </si>
  <si>
    <t>ΝΙΚΗ ΑΝΑΓΝΩΣΤΑΚΗ</t>
  </si>
  <si>
    <t>Πτυχιούχος ΑΕΙ Νομικής Σχολής</t>
  </si>
  <si>
    <t>ΖΕΑΚΗ ΕΜΜΑΝΟΥΕΛΑ</t>
  </si>
  <si>
    <t>Πτυχιούχος ΑΕΙ Οικονομικής ή Μαθηματικής Σχολής</t>
  </si>
  <si>
    <t>ΠΑΠΑΔΟΜΑΝΟΛΑΚΗΣ ΔΗΜΗΤΡΗΣ</t>
  </si>
  <si>
    <t>Πτυχιούχος ΑΕΙ,ΑΤΕΙ Οικονομικής ή Διοικητικής Σχολής ή Πτυχιούχος ΑΕΙ συναφούς ειδικότητας</t>
  </si>
  <si>
    <t>Πτυχιούχος ΑΕΙ, ΑΤΕΙ κατεύθυνσης Πληροφορικής ή Πτυχιούχος ΑΕΙ,ΑΤΕΙ Οικονομικής ή Διοικητικής Σχολής κάτοχος ECDL ή αντίστοιχου επιπέδου διπλώματος χρήσης Η/Υ</t>
  </si>
  <si>
    <t>Πτυχιούχος ΑΕΙ,ΑΤΕΙ Οικονομικής ή Διοικητικής Σχολής ή Πτυχιούχος Διαφήμισης και Δημοσίων Σχέσεων</t>
  </si>
  <si>
    <t xml:space="preserve">ΤΕΧΝΙΚΟΣ ΑΡΤΟΠΟΙΙΑΣ - ΖΑΧΑΡΟΠΛΑΣΤΙΚΗΣ </t>
  </si>
  <si>
    <t>Επίπεδο σπουδών εκπαιδευτή/τριας κατά το Εθνικό Πλαίσιο Προσόντων: Πτυχίο Γαλλικής Φιλολογίας, ελλείψει αυτού, πτυχίο ΑΕΙ/ΤΕΙ με επάρκεια διδασκαλίας στην αντίστοιχη γλώσσα</t>
  </si>
  <si>
    <t>Επίπεδο σπουδών εκπαιδευτή/τριας κατά το Εθνικό Πλαίσιο Προσόντων: Πτυχίο Γαλλικής Φιλολογίας, ελλείψει αυτού, Πτυχίο ΑΕΙ/ΤΕΙ με επάρκεια διδασκαλίας στην αντίστοιχη γλώσσα</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</si>
  <si>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 ελλείψει αυτών,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t>
  </si>
  <si>
    <t>ΦΥΣΑΡΑΚΗΣ ΔΗΜΗΤΡΗΣ</t>
  </si>
  <si>
    <t>3+4=7</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</si>
  <si>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 ελλείψει αυτών, Πτυχίο Διοίκησης Τουριστικών Επιχειρήσεων ΑΕΙ/ΤΕΙ, ελλείψει αυτού,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t>
  </si>
  <si>
    <t>ΑΠΛΑΔΑ ΣΟΦΙΑ - ΧΑΡΑ</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</si>
  <si>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 ελλείψει αυτών, Πτυχίο Διοίκησης Τουριστικών Επιχειρήσεων ΑΕΙ/ΤΕΙ, ελλείψει αυτών,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t>
  </si>
  <si>
    <t>1+2=3</t>
  </si>
  <si>
    <t>Επίπεδο σπουδών εκπαιδευτή/τριας κατά το Εθνικό Πλαίσιο Προσόντων: Πτυχίο Διαιτολογίας - Διατροφής ΑΕΙ/ΤΕΙ, ελλείψει αυτού, Πτυχίο Οικιακής Οικονομίας και Πτυχίο Οικονομίας και Βιώσιμης Ανάπτυξης, ελλείψει αυτών, Πτυχίο Τεχνολογίας Τροφίμων ΑΕΙ/ΤΕΙ ή/και Πτυχίο Χημείας ΑΕΙ ή/και Πτυχίο Γεωπονίας με κατεύθυνση στα τρόφιμα ΑΕΙ/ΤΕΙ</t>
  </si>
  <si>
    <t>ΥΓΕΙΙΝΗ ΚΑΙ ΑΣΦΑΛΕΙΑ</t>
  </si>
  <si>
    <t>ΝΕΟΝΑΚΗ ΜΑΡΙΝΑ</t>
  </si>
  <si>
    <t>Επίπεδο σπουδών εκπαιδευτή/τριας κατά το Εθνικό Πλαίσιο Προσόντων: Πτυχίο Υγιεινολόγου ΑΕΙ/ΤΕΙ, ελλείψει αυτού, Πτυχίο Διαιτολογίας-Διατροφής ΑΕΙ/ΤΕΙ ή/και Τεχνολογίας Τροφίμων ΑΕΙ/ΤΕΙ ή/και Πτυχίο Χημείας ΑΕΙ, ελλείψει αυτών, Πτυχίο Γεωπονίας με κατεύθυνση στα τρόφιμα ΑΕΙ/ΤΕΙ, ελλείψει αυτών, πτυχίο ΑΕΙ/ΤΕΙ με αριθμό μητρώου στο Μητρώο Εκπαιδευτών του ΕΦΕΤ</t>
  </si>
  <si>
    <t xml:space="preserve">Επίπεδο σπουδών εκπαιδευτή/τριας κατά το Εθνικό Πλαίσιο Προσόντων: Πτυχίο Διοίκησης Τουριστικών Επιχειρήσεων ΑΕΙ/ΤΕΙ, ελλείψει αυτού, Πτυχίο Διοίκησης Επιχειρήσεων ή/και Πτυχίο Σπουδών Οικονομίας και Διοίκησης, ελλείψει αυτών, Πτυχίο ΣΤΕ/ΤΕΕ/ΕΠΑΣ Τουριστικών Επαγγελμάτων ή ΙΕΚ της Ομάδας Προσανατολισμού «Επαγγελμάτων Τουριστικών Επιχειρήσεων και Επιχειρήσεων Φιλοξενίας» και κατά προτεραιότητα ειδικότητας Ξενοδοχειακή Τέχνη ή/και Τεχνικός Τουριστικών μονάδων και Επιχειρήσεων φιλοξενίας (Υπηρεσία υποδοχής − Υπηρεσία ορόφων − Εμπορευματογνωσία) </t>
  </si>
  <si>
    <t>Επίπεδο σπουδών εκπαιδευτή/τριας κατά το Εθνικό Πλαίσιο Προσόντων: Πτυχίο Διαιτολογίας - Διατροφής ΑΕΙ/ΤΕΙ, ελλείψει αυτού, Πτυχίο Τεχνολογίας Τροφίμων ΑΕΙ/ΤΕΙ ή/και Πτυχίο Χημείας ΑΕΙ ή/και Πτυχίο Γεωπονίας με κατεύθυνση στα τρόφιμα ΑΕΙ/ΤΕΙ</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</si>
  <si>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 ελλείψει αυτών, Πτυχίο Διοίκησης Τουριστικών Επιχειρήσεων ΑΕΙ/ΤΕΙ, ελλείψει αυτού,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t>
  </si>
  <si>
    <t>ΚΟΥΜΑΚΗΣ ΚΩΣΤΑΣ</t>
  </si>
  <si>
    <t>Επίπεδο σπουδών εκπαιδευτή/τριας κατά το Εθνικό Πλαίσιο Προσόντων: Πτυχίο Αγγλικής Φιλολογίας, ελλείψει αυτού, πτυχίο ΑΕΙ/ΤΕΙ με επάρκεια διδασκαλίας στην αντίστοιχη γλώσσα</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</si>
  <si>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 ελλείψει αυτών,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t>
  </si>
  <si>
    <t>1+4=5</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</si>
  <si>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Aρτοποιός-Aρτοτεχνίτης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 ελλείψει αυτών,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t>
  </si>
  <si>
    <t>ΧΑΝΙΩΤΑΚΗΣ ΧΑΡΑΛΑΜΠΟΣ</t>
  </si>
  <si>
    <t>Επίπεδο σπουδών εκπαιδευτή/τριας κατά το Εθνικό Πλαίσιο Προσόντων: Πτυχίο Διοίκησης Τουριστικών Επιχειρήσεων ΑΕΙ/ΤΕΙ, ελλείψει αυτού, Πτυχίο Διοίκησης Επιχειρήσεων ή/και Πτυχίο Σπουδών Οικονομίας και Διοίκησης, ελλείψει αυτών, Πτυχίο ΣΤΕ/ΤΕΕ/ΕΠΑΣ Τουριστικών Επαγγελμάτων ή ΙΕΚ της Ομάδας Προσανατολισμού «Επαγγελμάτων Τουριστικών Επιχειρήσεων και Επιχειρήσεων Φιλοξενίας» και κατά προτεραιότητα ειδικότητας Ξενοδοχειακή Τέχνη ή/και Τεχνικός Τουριστικών μονάδων και Επιχειρήσεων φιλοξενίας (Υπηρεσία υποδοχής − Υπηρεσία ορόφων − Εμπορευματογνωσία)</t>
  </si>
  <si>
    <t>Επίπεδο σπουδών εκπαιδευτή/τριας κατά το Εθνικό Πλαίσιο Προσόντων: Πτυχίο Διοίκησης Τουριστικών Επιχειρήσεων ΑΕΙ/ΤΕΙ, ελλείψει αυτού, Πτυχίο Περιβάλλοντος ΑΕΙ/ΤΕΙ ή/και Διαχείριση Αγροτικού Περιβάλλοντος και Φυσικών πόρων με κατεύθυνση ή μεταπτυχιακό τίτλο στον Τουρισμό ή τις Νέες Τεχνολογίες ή/και Πτυχίο Οικιακής Οικονομίας ή/και Πτυχίο Οικονομίας και Βιώσιμης Ανάπτυξης, ελλείψει αυτών, Πτυχίο Τεχνολογίας Τροφίμων ΑΕΙ/ΤΕΙ ή/και Πτυχίο Χημείας ΑΕΙ ή/και Πτυχίο Γεωπονίας με κατεύθυνση στα τρόφιμα ΑΕΙ/ΤΕΙ με κατεύθυνση ή μεταπτυχιακό τίτλο στον Τουρισμό</t>
  </si>
  <si>
    <t>ΒΟΓΙΑΤΖΗΣ ΔΙΟΝΥΣΗΣ</t>
  </si>
  <si>
    <t>Επίπεδο σπουδών εκπαιδευτή/τριας κατά το Εθνικό Πλαίσιο Προσόντων: Πτυχίο Διοίκησης Τουριστικών Επιχειρήσεων ΑΕΙ/ΤΕΙ, ελλείψει αυτού, Πτυχίο Σπουδών Οικονομίας και Διοίκησης, ελλείψει αυτού, πτυχίο ΣΤΕ/ΤΕΕ/ΕΠΑΣ Τουριστικών Επαγγελμάτων ή ΙΕΚ της Ομάδας Προσανατολισμού «Επαγγελμάτων Τουριστικών Επιχειρήσεων και Επιχειρήσεων Φιλοξενίας» και κατά προτεραιότητα ειδικότητας Ξενοδοχειακή Τέχνη ή/και Τεχνικός Τουριστικών μονάδων και Επιχειρήσεων φιλοξενίας (Υπηρεσία υποδοχής − Υπηρεσία ορόφων − Εμπορευματογνωσία)</t>
  </si>
  <si>
    <t>ΤΕΧΝΙΚΟΣ ΜΑΓΕΙΡΙΚΗΣ ΤΕΧΝΗΣ</t>
  </si>
  <si>
    <t>Επίπεδο σπουδών εκπαιδευτή/τριας κατά το Εθνικό Πλαίσιο Προσόντων: Πτυχίο ΣΤΕ/ΤΕΕ/ΕΠΑΣ Τουριστικών Επαγγελμάτων και κατά προτεραιότητα ειδικότητας Ζαχαροπλαστικής Τέχνης ή/και Τεχνίτης Αρτοποιίας - Ζαχαροπλαστικής ή/και ΙΕΚ της Ομάδας Προσανατολισμού «Επαγγελμάτων Τουριστικών Επιχειρήσεων και Επιχειρήσεων Φιλοξενίας» και κατά προτεραιότητα ειδικότητας Τεχνικός Αρτοποιίας – Ζαχαροπλαστικής, ελλείψει αυτών, Πτυχίο Διοίκησης Τουριστικών Επιχειρήσεων ΑΕΙ/ΤΕΙ, ελλείψει αυτών, Πτυχίο ΣΤΕ/ΤΕΕ/ΕΠΑΣ Τουριστικών Επαγγελμάτων και κατά προτεραιότητα ειδικότητας Μαγειρικής Τέχνης ή/και ΙΕΚ της Ομάδας Προσανατολισμού «Επαγγελμάτων Τουριστικών Επιχειρήσεων και Επιχειρήσεων Φιλοξενίας» και κατά προτεραιότητα Τεχνικός Μαγειρικής Τέχνης (Αρχιμάγειρας)</t>
  </si>
  <si>
    <t>Επίπεδο σπουδών εκπαιδευτή/τριας: Πτυχίο Γαλλικής Φιλολογίας ΑΕΙ. Ελλείψει αυτού, πτυχίο ΑΕΙ/ΤΕΙ με επάρκεια διδασκαλίας στη γαλλική γλώσσα.</t>
  </si>
  <si>
    <t>CHEF107</t>
  </si>
  <si>
    <t>ΤΕΧΝΗ ΜΑΓΕΙΡΙΚΗΣ ΙΙ</t>
  </si>
  <si>
    <t>Επίπεδο σπουδών εκπαιδευτή/τριας: Πτυχίο ΣΤΕ/ΤΕΕ/ΕΠΑΣ Τουριστικών Επαγγελμάτων ή/και ΙΕΚ της Ομάδας Προσανατολισμού «Επαγγελμάτων Τουριστικών Επιχειρήσεων και Επιχειρήσεων Φιλοξενίας» και, κατά προτεραιότητα, ειδικότητα Μαγειρική Τέχνη ή/και Τεχνικός Μαγειρικής Τέχνης (Αρχιμάγειρας). Ελλείψει αυτών, πτυχίο Διοίκησης Τουριστικών Επιχειρήσεων ΑΕΙ/ΤΕΙ.</t>
  </si>
  <si>
    <t>CHEF108</t>
  </si>
  <si>
    <t>Επίπεδο σπουδών εκπαιδευτή/τριας: Πτυχίο Γαλλικής Φιλολογίας ΑΕΙ. Ελλείψει αυτού πτυχίο ΑΕΙ/ΤΕΙ με επάρκεια διδασκαλίας στη γαλλλική γλώσσα.</t>
  </si>
  <si>
    <t>ΣΤΟΙΧΕΙΑ ΖΑΧΑΡΟΠΛΑΣΤΙΚΗΣ ΙΙ</t>
  </si>
  <si>
    <t>Επίπεδο σπουδών εκπαιδευτή/τριας: Πτυχίο ΣΤΕ/ΤΕΕ/ΕΠΑΣ Τουριστικών Επαγγελμάτων ή/και ΙΕΚ της Ομάδας Προσανατολισμού «Επαγγελμάτων Τουριστικών Επιχειρήσεων και Επιχειρήσεων Φιλοξενίας» και, κατά προτεραιότητα, ειδικότητα Τεχνικός Αρτοποιίας – Ζαχαροπλαστικής. Ελλείψει αυτών, ειδικότητα Μαγειρική Τέχνη. Ελλείψει αυτών, πτυχίο Διοίκησης Τουριστικών Επιχειρήσεων ΑΕΙ/ΤΕΙ.</t>
  </si>
  <si>
    <t>CHEF109</t>
  </si>
  <si>
    <t>ΚΥΡΛΑΚΗΣ ΜΑΡΙΟΣ - ΠΕΤΡΟΥΛΑΚΗ ΤΟΝΙΑ</t>
  </si>
  <si>
    <t>4+3=7</t>
  </si>
  <si>
    <t>Επίπεδο σπουδών εκπαιδευτή/τριας: Πτυχίο Διαιτολογίας – Διατροφής ΑΕΙ/ΤΕΙ. Ελλείψει αυτού, πτυχίο Τεχνολογίας Τροφίμων ΑΕΙ/ΤΕΙ ή/και πτυχίο Χημείας ΑΕΙ ή/και πτυχίο Γεωπονίας με κατεύθυνση στα τρόφιμα ΑΕΙ/ΤΕΙ.</t>
  </si>
  <si>
    <t>CHEF110</t>
  </si>
  <si>
    <t>FOOD &amp; BEVERAGE MANAGEMENT I (ΕΛΕΓΧΟΣ ΕΜΠΟΡΕΥΜΑΤΩΝ)</t>
  </si>
  <si>
    <t>Επίπεδο σπουδών εκπαιδευτή/τριας: Πτυχίο Διοίκησης Τουριστικών Επιχειρήσεων ΑΕΙ/ΤΕΙ. Ελλείψει αυτού, πτυχίο ΣΤΕ/ΤΕΕ/ΕΠΑΣ Τουριστικών Επαγγελμάτων ή/και ΙΕΚ της Ομάδας Προσανατολισμού «Επαγγελμάτων Τουριστικών Επιχειρήσεων και Επιχειρήσεων Φιλοξενίας» και, κατά προτεραιότητα, ειδικότητα Ξενοδοχειακή Τέχνη ή/και Τεχνικός Τουριστικών Μονάδων και Επιχειρήσεων φιλοξενίας (Υπηρεσία υποδοχής − Υπηρεσία ορόφων − Εμπορευματογνωσία).</t>
  </si>
  <si>
    <t>CHEF111</t>
  </si>
  <si>
    <t>Επίπεδο σπουδών εκπαιδευτή/τριας: Πτυχίο Υγιεινολόγου ΑΕΙ/ΤΕΙ. Ελλείψει αυτού, πτυχίο Διαιτολογίας – Διατροφής ΑΕΙ/ΤΕΙ ή/και Τεχνολογίας Τροφίμων ΑΕΙ/ΤΕΙ ή/και Χημείας ΑΕΙ ή/και Γεωπονίας με κατεύθυνση στα τρόφιμα ΑΕΙ/ΤΕΙ. Ελλείψει αυτών, πτυχίο ΑΕΙ/ΤΕΙ με αριθμό μητρώου στο Μητρώο Εκπαιδευτών του ΕΦΕΤ.</t>
  </si>
  <si>
    <t>ΠΡΑΚΤΙΚΗ ΕΦΑΡΜΟΓΗ Β΄</t>
  </si>
  <si>
    <t>CHEF112</t>
  </si>
  <si>
    <t>Επίπεδο σπουδών εκπαιδευτή/τριας: Πτυχίο Τεχνολογίας Τροφίμων ΑΕΙ/ΤΕΙ. Ελλείψει αυτού, πτυχίο Διαιτολογίας-Διατροφής ΑΕΙ/ΤΕΙ ή/και πτυχίο Χημείας ΑΕΙ ή/και πτυχίο Γεωπονίας με κατεύθυνση στα τρόφιμα ΑΕΙ/ΤΕΙ.</t>
  </si>
  <si>
    <t>ΩΡΕΣ ΜΑΘΗΜΑΤΟΣ</t>
  </si>
  <si>
    <t>ΟΡΙΟ ΑΠΟΥΣΙΩΝ</t>
  </si>
  <si>
    <t>Γαλλικά Ι</t>
  </si>
  <si>
    <t>Αγγλικά Ι</t>
  </si>
  <si>
    <t>Ζαχαροπλαστική τέχνη I</t>
  </si>
  <si>
    <t>Ζαχαροπλαστική τέχνη ΙΙΙ</t>
  </si>
  <si>
    <t>Στοιχεία μαγειρικής (catering) I</t>
  </si>
  <si>
    <t>Διαχείριση πρώτων υλών ΙΙ (F&amp;B management ΙΙ) - Κοστολόγηση παρασκευασμάτων</t>
  </si>
  <si>
    <t>Υγιεινή και ασφάλεια</t>
  </si>
  <si>
    <t>Αρτοποιητική τέχνη Ι</t>
  </si>
  <si>
    <t>Τροφογνωσία</t>
  </si>
  <si>
    <t>Οργάνωση και λειτουργία αρτοζαχαροπλαστείου</t>
  </si>
  <si>
    <t>Πρακτική εφαρμογή στην ειδικότητα</t>
  </si>
  <si>
    <t xml:space="preserve">ΓΕΝΙΚΕΣ ΠΛΗΡΟΦΟΡΙΕΣ </t>
  </si>
  <si>
    <t xml:space="preserve">4 ΕΞΑΜΗΝΑ </t>
  </si>
  <si>
    <t>ΜΗ ΕΠΙΣΙΤΙΣΤΙΚΑ</t>
  </si>
  <si>
    <t>ΕΠΙΣΙΤΙΣΤΙΚΑ</t>
  </si>
  <si>
    <t>ΓΙΑ ΟΛΕΣ ΤΙΣ ΕΔΙΚΟΤΗΤΕΣ ΓΙΑ ΠΛΗΡΟΦΟΡΙΕΣ</t>
  </si>
  <si>
    <t>https://iek.katartisi.gr/eidikotites/</t>
  </si>
  <si>
    <t>Αλληλεπίδραση που υπάρχει ανά τύπο δημοσίευσης, σε κάθε ένα από τα social media</t>
  </si>
  <si>
    <t>Ετήσιες Αναρτήσεις ανά social media</t>
  </si>
  <si>
    <t xml:space="preserve"> Μέσος Όρος Engagement Rate ανά Social Media</t>
  </si>
  <si>
    <t xml:space="preserve">Social Media που έχει παρουσία το </t>
  </si>
  <si>
    <t>Facebook</t>
  </si>
  <si>
    <t>Ακόλουθοι</t>
  </si>
  <si>
    <t>Instagram</t>
  </si>
  <si>
    <t>YouTube</t>
  </si>
  <si>
    <t>LinkedIn</t>
  </si>
  <si>
    <t>ΕΠΩΝΥΜΙΑ</t>
  </si>
  <si>
    <t>ΔΙΕΥΘΥΝΣΗ</t>
  </si>
  <si>
    <t xml:space="preserve">WEBSITE </t>
  </si>
  <si>
    <t>ΚΕΚ</t>
  </si>
  <si>
    <t>Μήνας</t>
  </si>
  <si>
    <t>Αναρτήσεις</t>
  </si>
  <si>
    <t xml:space="preserve">Αντιδράσεις </t>
  </si>
  <si>
    <t>Μέσος Όρος Αλληλεπίδρασης</t>
  </si>
  <si>
    <t xml:space="preserve">Μήνας </t>
  </si>
  <si>
    <t>Ημερομηνίες</t>
  </si>
  <si>
    <t>Θέμα Συνοπτικά</t>
  </si>
  <si>
    <t>Κατηγορία Περιεχομένου</t>
  </si>
  <si>
    <t>Βοηθητική Στήλη</t>
  </si>
  <si>
    <t>Είδος Περιεχομένου</t>
  </si>
  <si>
    <t xml:space="preserve">Hashtags </t>
  </si>
  <si>
    <t>like</t>
  </si>
  <si>
    <t>comment</t>
  </si>
  <si>
    <t>share</t>
  </si>
  <si>
    <t>Engagement Rate</t>
  </si>
  <si>
    <t># ΑΡΙΘΜΟΣ</t>
  </si>
  <si>
    <t>Hashtags</t>
  </si>
  <si>
    <t>Εγγεγραμμένοι</t>
  </si>
  <si>
    <t>ΔΙΑΚΡΟΤΗΜΑ ΟΜΙΛΟΣ ΦΡΟΝΤΙΣΤΗΡΙΩΝ</t>
  </si>
  <si>
    <t>1. Λεωφόρος 62 Μαρτύρων 58 (2810260144 &amp; branch108@edu.diakrotima.gr)    2. Λεωφόρος Κνωσού 227 και Γερουλάνου 2 (2810210045 &amp; branch072@edu.diakrotima.gr)    3. Λεωφόρος Κνωσού 210 (2810214985 &amp; branch072@edu.diakrotima.gr)   4.Λασιθίου ανάληψη χερσονήσου Ταχ. Κώδικας 700 14 (2897302537 &amp; branch112@edu.diakrotima.gr)</t>
  </si>
  <si>
    <t>https://www.diakrotima.gr/</t>
  </si>
  <si>
    <r>
      <rPr>
        <b/>
        <u/>
        <sz val="11"/>
        <color theme="1"/>
        <rFont val="Aptos Narrow"/>
        <family val="2"/>
        <scheme val="minor"/>
      </rPr>
      <t>Σύντομο σενάριο τηλεφώνο</t>
    </r>
    <r>
      <rPr>
        <b/>
        <sz val="11"/>
        <color theme="1"/>
        <rFont val="Aptos Narrow"/>
        <family val="2"/>
        <scheme val="minor"/>
      </rPr>
      <t xml:space="preserve">υ </t>
    </r>
    <r>
      <rPr>
        <sz val="11"/>
        <color theme="1"/>
        <rFont val="Aptos Narrow"/>
        <family val="2"/>
        <scheme val="minor"/>
      </rPr>
      <t xml:space="preserve">                                                                                            «Καλησπέρα σας, είμαι η [Όνομα] από τις Τεχνικές Σχολές του Επιμελητηρίου Ηρακλείου. Θα ήθελα να σας ενημερώσω για μια συνεργασία που μπορεί να ωφελήσει το φροντιστήριό σας.  Μέσω του ΚΕΒΙΔΙΜ–ΚΕΚ προσφέρουμε σεμινάρια για καθηγητές και σπουδαστές άνω των 18 ετών, όπως Τεχνητή Νοημοσύνη, Βοηθός Λογιστή, Υπολογιστές με Πιστοποίηση και Εκπαίδευση Εκπαιδευτών Ενηλίκων. Σε φροντιστήρια που θα φιλοξενήσουν ενημερωτικό μας υλικό παρέχουμε ειδική έκπτωση 15% στα προγράμματα αυτά.  Να σας στείλω ένα σύντομο email με πληροφορίες και να κανονίσουμε να σας αφήσουμε μερικά φυλλάδια;»</t>
    </r>
  </si>
  <si>
    <r>
      <rPr>
        <b/>
        <u/>
        <sz val="11"/>
        <color theme="1"/>
        <rFont val="Aptos Narrow"/>
        <family val="2"/>
        <scheme val="minor"/>
      </rPr>
      <t>Προτεινόμενο Email</t>
    </r>
    <r>
      <rPr>
        <u/>
        <sz val="11"/>
        <color theme="1"/>
        <rFont val="Aptos Narrow"/>
        <family val="2"/>
        <scheme val="minor"/>
      </rPr>
      <t xml:space="preserve">
</t>
    </r>
    <r>
      <rPr>
        <sz val="11"/>
        <color theme="1"/>
        <rFont val="Aptos Narrow"/>
        <family val="2"/>
        <charset val="161"/>
        <scheme val="minor"/>
      </rPr>
      <t xml:space="preserve">
Θέμα: Πρόταση συνεργασίας με τις Τεχνικές Σχολές του Επιμελητηρίου Ηρακλείου
Αξιότιμοι κύριοι/κυρίες,
Εκ μέρους των Τεχνικών Σχολών του Επιμελητηρίου Ηρακλείου, θα θέλαμε να σας προτείνουμε μια συνεργασία που μπορεί να προσφέρει προστιθέμενη αξία στο φροντιστήριό σας, στους καθηγητές σας και στους σπουδαστές σας άνω των 18 ετών.
Συγκεκριμένα, μέσω του ΚΕΒΙΔΙΜ – ΚΕΚ υλοποιούμε εξειδικευμένα σεμινάρια που ανταποκρίνονται στις σύγχρονες ανάγκες της αγοράς εργασίας, όπως:
Τεχνητή Νοημοσύνη
Βοηθός Λογιστή
Μαθήματα Υπολογιστών με Πιστοποίηση
Εκπαίδευση Εκπαιδευτών Ενηλίκων
Στο πλαίσιο συνεργασίας με φροντιστηριακούς ομίλους, προσφέρουμε:
Ειδική έκπτωση 15% σε όλα τα παραπάνω σεμινάρια για τα μέλη/μαθητές σας.
Παροχή ενημερωτικού υλικού (φυλλάδια, αφίσες) που μπορεί να φιλοξενηθεί στον χώρο σας, ώστε να έχουν εύκολη πρόσβαση οι ενδιαφερόμενοι.
Με αυτόν τον τρόπο, το φροντιστήριό σας θα ενισχύσει την εικόνα του ως φορέας που στηρίζει ουσιαστικά την περαιτέρω εξέλιξη εκπαιδευτικών και σπουδαστών, ενώ οι ίδιοι θα έχουν τη δυνατότητα να αποκτήσουν νέες δεξιότητες με άμεση επαγγελματική προοπτική.
Θα χαρούμε να συζητήσουμε πιο αναλυτικά τη συνεργασία μας και να σας αποστείλουμε έντυπο υλικό. Παραμένουμε στη διάθεσή σας για οποιαδήποτε διευκρίνιση.
Με εκτίμηση,
[Ονοματεπώνυμο]
[Θέση]
Τεχνικές Σχολές Επιμελητηρίου Ηρακλείου
Τηλ.: [αριθμός]
Email: [διεύθυνση]</t>
    </r>
  </si>
  <si>
    <t>Βοηθητική Στήλη και Εξήγηση</t>
  </si>
  <si>
    <t>Μάρτιος</t>
  </si>
  <si>
    <t>Φυλάδιο ΙΙΕΚ</t>
  </si>
  <si>
    <t>Εικόνα</t>
  </si>
  <si>
    <t>ΜΑΘΗΜΑΤΙΚΟΣ ΝΟΥΣ</t>
  </si>
  <si>
    <t>2810390008 info@mathimatikosnous.gr</t>
  </si>
  <si>
    <t>Λεωφόρος Δημοκρατίας 59Γ, 713 06 Ηράκλειο Ηρακλείου</t>
  </si>
  <si>
    <t>https://www.mathimatikosnous.gr/</t>
  </si>
  <si>
    <t>Θέμα</t>
  </si>
  <si>
    <t>Αριθμός Αναρτήσεων</t>
  </si>
  <si>
    <t>Μέση Αλληλεπίδραση</t>
  </si>
  <si>
    <t>Γενικές Ανακοινώσεις</t>
  </si>
  <si>
    <t>Απρίλιος</t>
  </si>
  <si>
    <t>Αναδημοσίευση από κ.Δαναλάκη Πρακτική Άσκηση μαγειρικής</t>
  </si>
  <si>
    <t>Εικόνα + Κέιμενο</t>
  </si>
  <si>
    <t>ΦΡΟΝΤΙΣΤΗΡΙ ΕΠΙΣΤΗΜΩΝ</t>
  </si>
  <si>
    <t>2810323699   6973381468    karadpapad@gmail.com</t>
  </si>
  <si>
    <t>Ομήρου 9, Ατσαλένιο - Νέες Κλαζομενές, 713 06 Ηράκλειο Ηρακλείου</t>
  </si>
  <si>
    <t>https://www.frontistiri.gr/</t>
  </si>
  <si>
    <r>
      <rPr>
        <b/>
        <sz val="11"/>
        <color rgb="FFFF3399"/>
        <rFont val="Aptos Narrow"/>
        <family val="2"/>
        <charset val="161"/>
        <scheme val="minor"/>
      </rPr>
      <t xml:space="preserve">(1) </t>
    </r>
    <r>
      <rPr>
        <b/>
        <sz val="11"/>
        <color theme="1"/>
        <rFont val="Aptos Narrow"/>
        <family val="2"/>
        <charset val="161"/>
        <scheme val="minor"/>
      </rPr>
      <t>Γενικές Ανακοινώσεις</t>
    </r>
  </si>
  <si>
    <t>Συμμετοχή σε εκδήλωση (κοινωνική, αναπτυξιακή)</t>
  </si>
  <si>
    <t>Μάϊος</t>
  </si>
  <si>
    <t>Δημιουργίες Φοιτητών Τμήματος Ζαχαροπλαστικής</t>
  </si>
  <si>
    <t>Εικόνα + Κέιμενο + Σύνδεσμος</t>
  </si>
  <si>
    <t>ΠΥΡΗΝΑΣ</t>
  </si>
  <si>
    <t>2810232288           info@pyr.gr</t>
  </si>
  <si>
    <t>Πρακτικίδη Ζαχαρία 20, Ατσαλένιο - Νέες Κλαζομενές, 713 06 Ηράκλειο Ηρακλείου</t>
  </si>
  <si>
    <t>https://www.pyr.gr/</t>
  </si>
  <si>
    <t xml:space="preserve">Συμμετοχή σε συνέδρια και άλλες επιστημονικές δράσεις </t>
  </si>
  <si>
    <t>Ιούνιος</t>
  </si>
  <si>
    <t>Αναδημοσίευση από Χατζηντεβέ Εκδομή στο Ιστορικό Μουσείο Ηρακλείου</t>
  </si>
  <si>
    <t>Εικόνα + Κείμενο</t>
  </si>
  <si>
    <t>ΜΕΘΟΔΟΣ</t>
  </si>
  <si>
    <t>Υψηλάντου 11, 713 05 Ηράκλειο Ηρακλείου</t>
  </si>
  <si>
    <t>https://methodos-edu.gr/</t>
  </si>
  <si>
    <t>Καλεσμένοι σε μαθήματα</t>
  </si>
  <si>
    <t>Ιούλιος</t>
  </si>
  <si>
    <t>Γλυκά από τους σπουδαστές Τμήματος Ζαχαροπλαστικής</t>
  </si>
  <si>
    <t>ΘΕΜΕΛΙΟ</t>
  </si>
  <si>
    <t>Ταγματάρχη Τζουλάκη Μιχαήλ 14, Άγιος Δημήτριος, 712 02 Ηράκλειο Ηρακλείου</t>
  </si>
  <si>
    <t>https://themelio-her.gr/</t>
  </si>
  <si>
    <t xml:space="preserve">Δράσεις με συμμετοχή φοιτητών </t>
  </si>
  <si>
    <t>Αύγουστος</t>
  </si>
  <si>
    <t>Αναδημοσίευση από German Hellenic Chamber of Industry and Commerce Σεμινάριο Εξοικονόμησης Ενέργιας</t>
  </si>
  <si>
    <t>Εικόνα + Κείμενο + Σύνδεσμος</t>
  </si>
  <si>
    <t>#PartnerForEducation, #ParthnerForGrowth, #AHKAkademie</t>
  </si>
  <si>
    <t>Η ΟΛΟΚΛΗΡΩΣΗ ΤΗΣ ΠΑΙΔΕΙΑΣ</t>
  </si>
  <si>
    <t>2810342813 &amp; 6993000210</t>
  </si>
  <si>
    <t>Πετράκη Λουκά 24, 71305</t>
  </si>
  <si>
    <r>
      <rPr>
        <b/>
        <sz val="11"/>
        <color rgb="FFFF3399"/>
        <rFont val="Aptos Narrow"/>
        <family val="2"/>
        <charset val="161"/>
        <scheme val="minor"/>
      </rPr>
      <t xml:space="preserve">(2) </t>
    </r>
    <r>
      <rPr>
        <b/>
        <sz val="11"/>
        <color theme="1"/>
        <rFont val="Aptos Narrow"/>
        <family val="2"/>
        <charset val="161"/>
        <scheme val="minor"/>
      </rPr>
      <t>Συμμετοχή σε εκδήλωση (κοινωνική, αναπτυξιακή)</t>
    </r>
  </si>
  <si>
    <r>
      <t xml:space="preserve">Κάτω από </t>
    </r>
    <r>
      <rPr>
        <b/>
        <sz val="11"/>
        <color theme="1"/>
        <rFont val="Aptos Narrow"/>
        <family val="2"/>
        <charset val="161"/>
        <scheme val="minor"/>
      </rPr>
      <t>2%</t>
    </r>
    <r>
      <rPr>
        <sz val="11"/>
        <color theme="1"/>
        <rFont val="Aptos Narrow"/>
        <family val="2"/>
        <charset val="161"/>
        <scheme val="minor"/>
      </rPr>
      <t xml:space="preserve"> η αλληλεπίδραση είναι χαμηλή</t>
    </r>
  </si>
  <si>
    <t>Ευχές (εποχιακές)</t>
  </si>
  <si>
    <t>Σεπτέμβριος</t>
  </si>
  <si>
    <t>Ανακοίνωση για εκδήλωση με θέμα Διαχείρηση Παρασίτων λόγω κλιματικής αλλαγής</t>
  </si>
  <si>
    <t>Σύνδεσμος</t>
  </si>
  <si>
    <t>ΔΙΑΒΑΣΤΕΡΑΚΙΑ</t>
  </si>
  <si>
    <t>2810823411 &amp; 6986829582</t>
  </si>
  <si>
    <t>Κλεάνθους 76, 71307</t>
  </si>
  <si>
    <t>Άλλο</t>
  </si>
  <si>
    <t>Οκτώμβριος</t>
  </si>
  <si>
    <t xml:space="preserve">Εκπαιδευτική εξόρμιση στην Αλευροβιομηχανία Μύλων Αρκαδίου ΑΒΕΕ </t>
  </si>
  <si>
    <t>#ΙΙΕΚΕπιμεληηρίουΗρακλείου, #ΜύλοιΑρκαδίου, #Αλευροβιομηχανία, #ΕκπαιδευτικήΕξόρμηση, #Αρτοποιία, #ΠαράδοσηΚαιΚαινοτομία</t>
  </si>
  <si>
    <t>ΚΥΚΛΟΣ</t>
  </si>
  <si>
    <t>2810821883    info@frontistiriokyklos.edu.gr</t>
  </si>
  <si>
    <t>Καζαντζάκη Νίκου, 71414</t>
  </si>
  <si>
    <t>https://frontistiriokyklos.edu.gr/</t>
  </si>
  <si>
    <r>
      <t xml:space="preserve">Πάνω από </t>
    </r>
    <r>
      <rPr>
        <b/>
        <sz val="11"/>
        <color theme="1"/>
        <rFont val="Aptos Narrow"/>
        <family val="2"/>
        <charset val="161"/>
        <scheme val="minor"/>
      </rPr>
      <t>7%</t>
    </r>
    <r>
      <rPr>
        <sz val="11"/>
        <color theme="1"/>
        <rFont val="Aptos Narrow"/>
        <family val="2"/>
        <charset val="161"/>
        <scheme val="minor"/>
      </rPr>
      <t xml:space="preserve"> η αλληλεπίδραση είναι εξαιρετική</t>
    </r>
  </si>
  <si>
    <t>Στοιχεία Facebook</t>
  </si>
  <si>
    <t>Νοέμβριος</t>
  </si>
  <si>
    <t>Συνταγές από Τμήμα Μαγειρικής</t>
  </si>
  <si>
    <t>#Μαγειρική, #ΦοιτητέςΣεφ, #ΙΙΕΚΕπιμελητηρίουΗρακλείου, #ΝέεςΣυνταγές</t>
  </si>
  <si>
    <t>ΦΙΛΟΜΑΘΕΙΑ</t>
  </si>
  <si>
    <t>2810528680 &amp; 6946550923</t>
  </si>
  <si>
    <t>Δυοβουνιώτη 1, 71305 </t>
  </si>
  <si>
    <t>Κατηγορία</t>
  </si>
  <si>
    <t>Δεκέμβριος</t>
  </si>
  <si>
    <t>Αναδημοσίευση Γλυκά από κ.Καπετανάκη</t>
  </si>
  <si>
    <t>Βίντεο + Κείμενο + Σύνδεσμος</t>
  </si>
  <si>
    <t>ΘΕΤΙΚΟ</t>
  </si>
  <si>
    <t>2810289743   info@thetiko.edu.gr</t>
  </si>
  <si>
    <t>Δαιδάλου 11, Άγιος Τίτος, 71202</t>
  </si>
  <si>
    <t>https://thetiko.edu.gr/</t>
  </si>
  <si>
    <r>
      <rPr>
        <b/>
        <sz val="11"/>
        <color rgb="FFFF3399"/>
        <rFont val="Aptos Narrow"/>
        <family val="2"/>
        <charset val="161"/>
        <scheme val="minor"/>
      </rPr>
      <t>(3)</t>
    </r>
    <r>
      <rPr>
        <b/>
        <sz val="11"/>
        <color theme="1"/>
        <rFont val="Aptos Narrow"/>
        <family val="2"/>
        <charset val="161"/>
        <scheme val="minor"/>
      </rPr>
      <t xml:space="preserve"> Σεμινάρια</t>
    </r>
  </si>
  <si>
    <r>
      <t xml:space="preserve">Οτιδήποτε είναι ανάμεσα στο </t>
    </r>
    <r>
      <rPr>
        <b/>
        <sz val="11"/>
        <color theme="1"/>
        <rFont val="Aptos Narrow"/>
        <family val="2"/>
        <charset val="161"/>
        <scheme val="minor"/>
      </rPr>
      <t xml:space="preserve">2% </t>
    </r>
    <r>
      <rPr>
        <sz val="11"/>
        <color theme="1"/>
        <rFont val="Aptos Narrow"/>
        <family val="2"/>
        <charset val="161"/>
        <scheme val="minor"/>
      </rPr>
      <t>και</t>
    </r>
    <r>
      <rPr>
        <b/>
        <sz val="11"/>
        <color theme="1"/>
        <rFont val="Aptos Narrow"/>
        <family val="2"/>
        <charset val="161"/>
        <scheme val="minor"/>
      </rPr>
      <t xml:space="preserve"> 7%</t>
    </r>
    <r>
      <rPr>
        <sz val="11"/>
        <color theme="1"/>
        <rFont val="Aptos Narrow"/>
        <family val="2"/>
        <charset val="161"/>
        <scheme val="minor"/>
      </rPr>
      <t xml:space="preserve"> είναι μέση αλληλεπίδραση</t>
    </r>
  </si>
  <si>
    <t>Στοιχεία Επικοινωνίας</t>
  </si>
  <si>
    <t>Ιανουάριος</t>
  </si>
  <si>
    <t>Ζαχαροπλαστικές Δημιουργίες από φοιτητές</t>
  </si>
  <si>
    <t>#Ζαχαροπλαστική, #Φοιτητικές Δημιουργίες, ΙΕΕΚΕπιμελητηρίου Ηρακλείου</t>
  </si>
  <si>
    <r>
      <rPr>
        <b/>
        <sz val="11"/>
        <color rgb="FFFF3399"/>
        <rFont val="Aptos Narrow"/>
        <family val="2"/>
        <charset val="161"/>
        <scheme val="minor"/>
      </rPr>
      <t>(3)</t>
    </r>
    <r>
      <rPr>
        <b/>
        <sz val="11"/>
        <color theme="1"/>
        <rFont val="Aptos Narrow"/>
        <family val="2"/>
        <charset val="161"/>
        <scheme val="minor"/>
      </rPr>
      <t xml:space="preserve"> Συμμετοχή σε συνέδρια και άλλες επιστημονικές δράσεις </t>
    </r>
  </si>
  <si>
    <t>ΠΕΔΙΟ ΕΠΙΤΥΧΙΑΣ</t>
  </si>
  <si>
    <t>2810327883 &amp; 6974555455    pedioepityxias@gmail.com</t>
  </si>
  <si>
    <t>Λεωφόρος Κνωσού 237, 71409</t>
  </si>
  <si>
    <t>https://www.pedioepityxias.gr/</t>
  </si>
  <si>
    <t>Διαφάνεια Σελίδας</t>
  </si>
  <si>
    <t>Φεβρουάριος</t>
  </si>
  <si>
    <t>Εκδρομή Φοιτητών Μαγειρικής Τέχνης στο οινοποιείο Αλεξάκης</t>
  </si>
  <si>
    <t>#ΜαγειρικήΤέχνη, #Οικονολογία, #ΕκπαιδευτικήΕκδρομή, #οινοποιείοαλεξάκη</t>
  </si>
  <si>
    <t>ΜΑΘΗΤΕΙΟΝ</t>
  </si>
  <si>
    <t>2813021193  mathition.2016@gmail.com</t>
  </si>
  <si>
    <t>Πρακτικίδη Ζαχαρία 9, Ατσαλένιο - Νέες Κλαζομενές, 71306</t>
  </si>
  <si>
    <t>https://www.mathiteion.gr/</t>
  </si>
  <si>
    <t>Αν έχει κάποια περιγραφή στα "Σχετικά με το χρήστη"</t>
  </si>
  <si>
    <t>Μέσος Όρος Ανά μήνα</t>
  </si>
  <si>
    <t>Αναδημμοσίευση από τις Τεχνικές Σχολές Επιμελητηρίου Ηρακλείου. Συμμετοχή Φοιτητών στο σεμινάριο Κρητικές Γεύσεις</t>
  </si>
  <si>
    <t>ΟΛΟΚΛΗΡΩΣΗ</t>
  </si>
  <si>
    <t>2810312123 &amp; 6944935130  info@oloklirosi.gr</t>
  </si>
  <si>
    <t>Λεωφόρος 62 Μαρτύρων 150, Καμίνια, 71303</t>
  </si>
  <si>
    <t>https://oloklirosi.gr/</t>
  </si>
  <si>
    <t>Εκδηλώσεις</t>
  </si>
  <si>
    <t>Τυπική Απόκλιση</t>
  </si>
  <si>
    <t>Διημερίδα για την Αυλή Πολιτιστική Κληρονομιά</t>
  </si>
  <si>
    <t>ΜΑΘΑΙΝΩ</t>
  </si>
  <si>
    <t>2810211748 &amp; 6947009774</t>
  </si>
  <si>
    <t>Λεωφόρος Κνωσού 207, Ατσαλένιο - Νέες Κλαζομενές, 71409</t>
  </si>
  <si>
    <t>http://www.mathainw.gr/</t>
  </si>
  <si>
    <r>
      <rPr>
        <b/>
        <sz val="11"/>
        <color rgb="FFFF3399"/>
        <rFont val="Aptos Narrow"/>
        <family val="2"/>
        <charset val="161"/>
        <scheme val="minor"/>
      </rPr>
      <t>(4)</t>
    </r>
    <r>
      <rPr>
        <b/>
        <sz val="11"/>
        <color rgb="FFCC00FF"/>
        <rFont val="Aptos Narrow"/>
        <family val="2"/>
        <charset val="161"/>
        <scheme val="minor"/>
      </rPr>
      <t xml:space="preserve"> </t>
    </r>
    <r>
      <rPr>
        <b/>
        <sz val="11"/>
        <color theme="1"/>
        <rFont val="Aptos Narrow"/>
        <family val="2"/>
        <charset val="161"/>
        <scheme val="minor"/>
      </rPr>
      <t>Καλεσμένοι σε μαθήματα</t>
    </r>
  </si>
  <si>
    <t xml:space="preserve">Αγαπημένα </t>
  </si>
  <si>
    <t>Αναρτήσεις στο σύνολο</t>
  </si>
  <si>
    <t>ΕΝ ΟΙΚΩ</t>
  </si>
  <si>
    <t>2810313890   info@en-oiko.com</t>
  </si>
  <si>
    <t>1. Φραγκάκη Ευαγγελίας 2, Καμίνια, 71303  (2810313890)                        2. Κατεχάκη Νικόλαου 18, 71307(2810235566)</t>
  </si>
  <si>
    <t>https://eggrafes.en-oiko.com/</t>
  </si>
  <si>
    <t>Ακολουθούνται</t>
  </si>
  <si>
    <t>Early Entry εγγραφές στο ΙΙΕΚ</t>
  </si>
  <si>
    <t>ΟΡΟΣΗΜΟ</t>
  </si>
  <si>
    <t>2810222723 &amp; 6974954588</t>
  </si>
  <si>
    <t>Αγίου Τρύφωνος 14, 71408 </t>
  </si>
  <si>
    <t>https://www.orosimo.gr/site/index.php</t>
  </si>
  <si>
    <t>Περισσότερα  Καρτέλες</t>
  </si>
  <si>
    <t>ΙΔΙΑΙΤΕΡΟΝ</t>
  </si>
  <si>
    <t>2810250448   
idiaiteron@hotmail.com</t>
  </si>
  <si>
    <t>Κονδυλάκη Ιωάννη 90, 71305</t>
  </si>
  <si>
    <t>https://idiaiteron.gr/</t>
  </si>
  <si>
    <t>Στοιχεία Instagram</t>
  </si>
  <si>
    <t>ΕΠΙΛΟΓΗ</t>
  </si>
  <si>
    <t>2810282213    epilogh@gmail.com</t>
  </si>
  <si>
    <t>Λεωφόρος Δημοκρατίας 4, 713 06</t>
  </si>
  <si>
    <t>https://www.epilogh.edu.gr/</t>
  </si>
  <si>
    <r>
      <rPr>
        <b/>
        <sz val="11"/>
        <color rgb="FFFF3399"/>
        <rFont val="Aptos Narrow"/>
        <family val="2"/>
        <charset val="161"/>
        <scheme val="minor"/>
      </rPr>
      <t>(5)</t>
    </r>
    <r>
      <rPr>
        <b/>
        <sz val="11"/>
        <color theme="1"/>
        <rFont val="Aptos Narrow"/>
        <family val="2"/>
        <charset val="161"/>
        <scheme val="minor"/>
      </rPr>
      <t xml:space="preserve"> Δράσεις με συμμετοχή φοιτητών </t>
    </r>
  </si>
  <si>
    <t>Εορταστικές Δημιουργίες από φοιτητές Ζαχαροπλαστικής</t>
  </si>
  <si>
    <t>Εικόονα + Κείμενο + Σύνδεσμος</t>
  </si>
  <si>
    <t>#ΙΙΕΚΕπιμεληηρίουΗρακλείου, #ΑρτοποιίαΖαχαροπλαστική, #ΠασχαλινάΤσουρέκια, #Καλιτσούνια, #Πάσχα2024</t>
  </si>
  <si>
    <t>ΠΟΥΚΑΜΙΣΑΣ</t>
  </si>
  <si>
    <t>2810245300 info@poukamisas.gr</t>
  </si>
  <si>
    <t>Πάροδος Μινωταύρου 14, Άγιος Δημήτριος, Πίσω από τον ΟΤΕ, 71202</t>
  </si>
  <si>
    <t>https://www.poukamisas.gr/</t>
  </si>
  <si>
    <t>Πληροφορίες</t>
  </si>
  <si>
    <t xml:space="preserve">Βίντεο   </t>
  </si>
  <si>
    <t>ΠΑΙΔΑΓΩΓΗ</t>
  </si>
  <si>
    <t>2810528523 info@pedagogycenter.gr</t>
  </si>
  <si>
    <t>Ανωγείων 77, 71304</t>
  </si>
  <si>
    <t>https://pedagogycenter.gr/</t>
  </si>
  <si>
    <t xml:space="preserve">Προσθεσή με Ετικέτα </t>
  </si>
  <si>
    <t>ΔΟΜΗ</t>
  </si>
  <si>
    <t>2810262141 &amp; 6944763762   officialdomiedu@gmail.com</t>
  </si>
  <si>
    <t>Μερκούρη Μελίνας 35, 71305</t>
  </si>
  <si>
    <t>https://domiedu.gr/</t>
  </si>
  <si>
    <t>Ακολουθεί</t>
  </si>
  <si>
    <t>ΟΡΙΖΟΝΤΕΣ</t>
  </si>
  <si>
    <t>2810230012   secretx@horizontes.gr</t>
  </si>
  <si>
    <t>Λεωφόρος Παπαναστασίου Αλέξανδρου 173, 71409</t>
  </si>
  <si>
    <t>https://www.horizontes.gr/</t>
  </si>
  <si>
    <r>
      <rPr>
        <b/>
        <sz val="11"/>
        <color rgb="FFFF3399"/>
        <rFont val="Aptos Narrow"/>
        <family val="2"/>
        <charset val="161"/>
        <scheme val="minor"/>
      </rPr>
      <t>(6)</t>
    </r>
    <r>
      <rPr>
        <b/>
        <sz val="11"/>
        <color theme="1"/>
        <rFont val="Aptos Narrow"/>
        <family val="2"/>
        <charset val="161"/>
        <scheme val="minor"/>
      </rPr>
      <t xml:space="preserve"> Ευχές (εποχιακές)</t>
    </r>
  </si>
  <si>
    <t>Στοιχεία Youtube</t>
  </si>
  <si>
    <t>ΣΥΝΔΙΔΑΣΚΑΛΕΙΟ</t>
  </si>
  <si>
    <t>Εθνομαρτύρων 28, 71409</t>
  </si>
  <si>
    <t xml:space="preserve">Περιγραφή </t>
  </si>
  <si>
    <t>ΘΕΩΡΙΑ ΚΑΙ ΠΡΑΞΗ</t>
  </si>
  <si>
    <t>2810223306        theoprax@hotmail.com</t>
  </si>
  <si>
    <t>Έβανς Άρθουρ 16, Βαλιδέ Τζαμί, 71201</t>
  </si>
  <si>
    <t>https://www.theoria-praxi.gr/</t>
  </si>
  <si>
    <t>Σύνδεσμοι</t>
  </si>
  <si>
    <t>ΣΧΗΜΑ</t>
  </si>
  <si>
    <t>2810763176  &amp;   6944383620     sxima@otenet.gr</t>
  </si>
  <si>
    <t>71500 Χάνι Κοκκίνη Ηρακλείου</t>
  </si>
  <si>
    <t>https://www.sxima.fro.gr/</t>
  </si>
  <si>
    <r>
      <rPr>
        <b/>
        <sz val="11"/>
        <color rgb="FFFF3399"/>
        <rFont val="Aptos Narrow"/>
        <family val="2"/>
        <charset val="161"/>
        <scheme val="minor"/>
      </rPr>
      <t>(7)</t>
    </r>
    <r>
      <rPr>
        <b/>
        <sz val="11"/>
        <color theme="1"/>
        <rFont val="Aptos Narrow"/>
        <family val="2"/>
        <charset val="161"/>
        <scheme val="minor"/>
      </rPr>
      <t xml:space="preserve"> Άλλο</t>
    </r>
  </si>
  <si>
    <t>Αριθμός Βίντεο</t>
  </si>
  <si>
    <t>Playlist</t>
  </si>
  <si>
    <t>Στοιχεία LinkedIn</t>
  </si>
  <si>
    <t>Jobs</t>
  </si>
  <si>
    <t>Page Options</t>
  </si>
  <si>
    <t>Όνομα</t>
  </si>
  <si>
    <t>E-mail Επικοινωνίας</t>
  </si>
  <si>
    <t>Ημέρα και ώρα Ραντεβού</t>
  </si>
  <si>
    <t>Κινητό Τηλέφωνο</t>
  </si>
  <si>
    <t>ΣΗΜΕΙΩΣΕΙΣ ΑΝ ΔΕΝ ΜΠΟΡΕΙ</t>
  </si>
  <si>
    <t>ΠΑΡΑΣΚΕΥΗ 12/09/2025</t>
  </si>
  <si>
    <t>ΔΕΥΤΕΡΑ 15/09/2025</t>
  </si>
  <si>
    <t>ΤΡΙΤΗ 16/09/2027</t>
  </si>
  <si>
    <t>ΠΑΡΑΣΚΕΥΗ 12/09/2025               (14:30-15:30)</t>
  </si>
  <si>
    <t>10:00-11:00</t>
  </si>
  <si>
    <t>ΚΥΡΛΑΚΗΣ ΜΑΡΙΟΣ 6955515575</t>
  </si>
  <si>
    <t>ΚΟΥΜΑΚΗΣ ΚΩΝΣΤΑΝΤΙΝΟΣ 6974120129</t>
  </si>
  <si>
    <t>ΛΥΡΑΤΖΑΚΗ ΕΛΕΝΗ 6955951660</t>
  </si>
  <si>
    <t>ΔΕΥΤΕΡΑ 15/09/2025                                      (10:00-11:00)</t>
  </si>
  <si>
    <t>11:00-12:00</t>
  </si>
  <si>
    <t>ΠΑΠΑΔΟΜΑΝΩΛΑΚΗΣ ΔΗΜΗΤΡΗΣ  6945452188</t>
  </si>
  <si>
    <t>ΜΑΡΑΚΗΣ ΜΙΧΑΛΗΣ 6970651783</t>
  </si>
  <si>
    <t>ΠΑΡΑΣΚΕΥΗ 12/09/2025               (10:00-11:00)</t>
  </si>
  <si>
    <t>12:00-13:00</t>
  </si>
  <si>
    <t>ΜΑΝΤΑΦΑΡΑ ΒΑΣΩ 6976616585</t>
  </si>
  <si>
    <t>ΑΚΥΡΩΜΕΝΟ                               ΠΑΡΑΣΚΕΥΗ 12/09/2025               (15:00-16:00)</t>
  </si>
  <si>
    <t>13:00-14:00</t>
  </si>
  <si>
    <t>ΤΡΙΤΗ 16/09/2025                                    (14:00-15:00)</t>
  </si>
  <si>
    <t>14:00-15:00</t>
  </si>
  <si>
    <t>ΜΠΙΤΖΟΥ ΘΕΟΔΟΣΙΑ 6944632864</t>
  </si>
  <si>
    <t>ΤΡΙΤΗ 16/09/2025                            (10:00-11:00)</t>
  </si>
  <si>
    <t>15:00-16:00</t>
  </si>
  <si>
    <t>ΜΑΡΚΑΚΗ ΤΡΥΠΑΚΗ ΠΕΛΑΓΙΑ 6948486899</t>
  </si>
  <si>
    <t>ΔΕΥΤΕΡΑ 15/09/2025                                      (11:00-12:00)</t>
  </si>
  <si>
    <t xml:space="preserve">ΣΤΕΛΕΧΟΣ ΔΙΟΙΚΗΣΗΣ ΚΑΙ ΟΙΚΟΝΟΜΙΑΣ </t>
  </si>
  <si>
    <t>ΒΑΣΩ</t>
  </si>
  <si>
    <t>basomad@gmail.com</t>
  </si>
  <si>
    <t>ΔΕΥΤΕΡΑ 15/09/2025                                      (12:00-13:00)</t>
  </si>
  <si>
    <t>ΑΠΟΦΟΙΤΗ ΤΕΧΝΙΚΟΣ ΜΑΓΕΙΡΙΚΗΣ ΤΕΧΝΗΣ ΑΡΧΙΜΑΓΕΙΡΑΣ CHEF</t>
  </si>
  <si>
    <t>mixalismarakis2005@gmail.com</t>
  </si>
  <si>
    <t>ΤΡΙΤΗ 16/09/2025                            (11:00-12:00)</t>
  </si>
  <si>
    <t>ΑΠΟΦΟΙΤΟΣ ΤΕΧΝΙΚΟΣ ΜΑΓΕΙΡΙΚΗΣ ΤΕΧΝΗΣ ΑΡΧΙΜΑΓΕΙΡΑΣ CHEF</t>
  </si>
  <si>
    <t>ΚΥΡΛΑΚΗΣ ΜΑΡΙΟΣ ΤΕΧΝΙΚΟΣ ΜΑΓΕΙΡΙΚΗΣ ΤΕΧΝΗΣ</t>
  </si>
  <si>
    <t>ΚΟΥΜΑΚΗΣ ΚΩΝΣΤΑΝΤΙΝΟΣ ΤΕΧΝΙΚΟΣ ΑΡΤΟΠΟΙΙΑΣ ΚΑΙ ΖΑΧΑΡΟΠΛΑΣΤΙΚΗΣ ΤΕΧΝΗΣ</t>
  </si>
  <si>
    <t>ΛΥΡΑΤΖΑΚΗ ΕΛΕΝΗ ΕΣΩΤΕΡΙΚΗ ΑΡΧΙΤΕΚΤΟΝΙΚΗ ΔΙΑΚΟΣΜΗΣΗ ΚΑΙ ΣΧΕΔΙΑΣΜΟΣ ΑΝΤΙΚΕΙΜΕΝΩΝ</t>
  </si>
  <si>
    <t>ΠΑΠΑΔΟΜΑΝΩΛΑΚΗΣ ΔΗΜΗΤΡΗΣ  ΣΤΕΛΕΧΟΣ ΔΙΟΙΚΗΣΗΣ ΚΑΙ ΟΙΚΟΝΟΜΙΑΣ</t>
  </si>
  <si>
    <t>ΜΑΡΑΚΗΣ ΜΙΧΑΛΗΣ ΑΠΟΦΟΙΤΟΣ ΤΕΧΝΙΚΟΣ ΜΑΓΕΙΡΙΚΗΣ ΤΕΧΝΗΣ</t>
  </si>
  <si>
    <t>ΜΑΝΤΑΦΑΡΑ ΒΑΣΩ ΑΠΟΦΟΙΤΗ ΤΕΧΝΙΚΟΣ ΜΑΓΕΙΡΙΚΗΣ ΤΕΧΝΗΣ</t>
  </si>
  <si>
    <t>ΑΠΛΑΔΑ ΣΟΦΙΑ ΧΑΡΑ ΤΕΧΝΙΚΟΣ ΑΡΤΟΠΟΙΙΑΣ ΚΑΙ ΖΑΧΑΡΟΠΛΑΣΤΙΚΗΣ ΤΕΧΝΗΣ</t>
  </si>
  <si>
    <t xml:space="preserve">ΜΠΙΤΖΟΥ ΘΕΟΔΟΣΙΑ ΕΣΩΤΕΡΙΚΗ ΑΡΧΙΤΕΚΤΟΝΙΚΗ ΔΙΑΚΟΣΜΗΣΗ ΚΑΙ ΣΧΕΔΙΑΣΜΟΣ ΑΝΤΙΚΕΙΜΕΝΩΝ </t>
  </si>
  <si>
    <t>ΜΑΡΚΑΚΗ ΤΡΥΠΑΚΗ ΠΕΛΑΓΙΑ ΣΤΕΛΕΧΟΣ ΥΠΗΡΕΣΙΩΝ ΑΕΡΟΜΕΤΑΦΟΡΑΣ</t>
  </si>
  <si>
    <t>ΗΜ/ΝΙΑ</t>
  </si>
  <si>
    <t>ΩΡΑ ΕΙΣΟΔΟΥ</t>
  </si>
  <si>
    <t>ΩΡΑ ΑΠΟΧΩΡΗΣΗΣ</t>
  </si>
  <si>
    <t>Γενική Γραμματέας</t>
  </si>
  <si>
    <t>Καφετζοπούλου Όλγα</t>
  </si>
  <si>
    <t>okafetzopoulou@minedu.gov.gr;
gsvetll@minedu.gov.gr</t>
  </si>
  <si>
    <t>Δ/ντής Γραφείου</t>
  </si>
  <si>
    <t>Μπαλωμένος Θεόδωρος</t>
  </si>
  <si>
    <t>thmpalomenos@minedu.gov.gr;
gsvetll@minedu.gov.gr</t>
  </si>
  <si>
    <t>Καρσιώτη Μαρία</t>
  </si>
  <si>
    <t>mkarsioti@minedu.gov.gr</t>
  </si>
  <si>
    <t>Μελίσσα Ευθαλία</t>
  </si>
  <si>
    <t>emelissa@minedu.gov.gr</t>
  </si>
  <si>
    <t xml:space="preserve">Μπολτσή Βασιλική </t>
  </si>
  <si>
    <t>vmpoltsi@minedu.gov.gr;
wordlskillsgreece@minedu.gov.gr;
pepal@minedu.gov.gr</t>
  </si>
  <si>
    <t xml:space="preserve">Σπηλιόπουλος Ιωάννης </t>
  </si>
  <si>
    <t>ispiliopoulos@minedu.gov.gr</t>
  </si>
  <si>
    <t>Χαϊμαλά Παναγιώτα</t>
  </si>
  <si>
    <t>pchaimala@minedu.gov.gr</t>
  </si>
  <si>
    <t>Ψαθά Κωνσταντίνα</t>
  </si>
  <si>
    <t>konstapsath@minedu.gov.gr</t>
  </si>
  <si>
    <t>Προϊστάμενος Γενικής Διεύθυνσης Ε.Ε.Κ.Δ.Β.Μ.&amp;Ν.</t>
  </si>
  <si>
    <t>Μάλλιος Γεώργιος</t>
  </si>
  <si>
    <t>mallios@minedu.gov.gr; gdvetll@minedu.gov.gr</t>
  </si>
  <si>
    <t>Γραμματεία</t>
  </si>
  <si>
    <t>Γκολιά Ειρήνη</t>
  </si>
  <si>
    <t>egolia@minedu.gov.gr</t>
  </si>
  <si>
    <t>Λυρατζοπούλου Ευστρατία</t>
  </si>
  <si>
    <t>elyratzopoulou@minedu.gov.gr</t>
  </si>
  <si>
    <t>ΔΙΕΥΘΥΝΣΕΙΣ &amp; ΤΜΗΜΑΤΑ ΤΗΣ Γ.Γ.Ε.E.Κ.&amp;.Δ.Β.Μ.</t>
  </si>
  <si>
    <t>ΕΠΩΝΥΜΟ/ΟΝΟΜΑ</t>
  </si>
  <si>
    <t>Διεύθυνση Σχεδιασμού και Ανάπτυξης Ε.Ε.Κ. και Δ.Β.Μ.</t>
  </si>
  <si>
    <t xml:space="preserve">Αναπληρώτρια Προϊσταμένη  Διευύθυνσης </t>
  </si>
  <si>
    <t>Χαλκιά Δήμητρα</t>
  </si>
  <si>
    <t xml:space="preserve">dchalkia@minedu.gov.gr;
dpdvetll@minedu.gov.gr 
</t>
  </si>
  <si>
    <t xml:space="preserve">Γραμματεία </t>
  </si>
  <si>
    <t>Τμήμα Α Σχεδιασμού Πολιτικών για την Ε.Ε.Κ και Δ.Β.Μ</t>
  </si>
  <si>
    <t>Προϊσταμένη Τμήματος</t>
  </si>
  <si>
    <t xml:space="preserve">dchalkia@minedu.gov.gr, 
dpd-policy@minedu.gov.gr
</t>
  </si>
  <si>
    <t>Αναστασίου Άννα</t>
  </si>
  <si>
    <t>aanastasiou@minedu.gov.gr</t>
  </si>
  <si>
    <t>Θανόπουλος Κώστας</t>
  </si>
  <si>
    <t xml:space="preserve">kthanopoulos@minedu.gov.gr 
</t>
  </si>
  <si>
    <t>Καραβαγγέλη Βασιλική</t>
  </si>
  <si>
    <t>vkaravangeli@minedu.gov.gr</t>
  </si>
  <si>
    <t>Νιώρας Αθανάσιος</t>
  </si>
  <si>
    <t>anioras@minedu.gov.gr</t>
  </si>
  <si>
    <t>Ντούμα Σπυριδούλα</t>
  </si>
  <si>
    <t>sntouma@minedu.gov.gr</t>
  </si>
  <si>
    <t xml:space="preserve">Τζανή Μυρσίνη </t>
  </si>
  <si>
    <t xml:space="preserve">mtzani@minedu.gov.gr;
</t>
  </si>
  <si>
    <t>Τμήμα Β' Σύνδεσης της Ε.Ε.Κ και Δ.Β.Μ με την Αγορά Εργασίας</t>
  </si>
  <si>
    <t>Προϊστάμενος Τμήματος</t>
  </si>
  <si>
    <t>Τσαγκατάκης Αθανάσιος</t>
  </si>
  <si>
    <t>atsagatakis@minedu.gov.gr 
dpd-vetlabor@minedu.gov.gr</t>
  </si>
  <si>
    <t>Καλαθά Κυριακή</t>
  </si>
  <si>
    <t xml:space="preserve">kkalatha@minedu.gov.gr 
</t>
  </si>
  <si>
    <t xml:space="preserve">Καρναβά Ελευθερία </t>
  </si>
  <si>
    <t xml:space="preserve">ekarnava@minedu.gov.gr;
</t>
  </si>
  <si>
    <t>Παπαδολιοπούλου Σταματία</t>
  </si>
  <si>
    <t xml:space="preserve">spapadoliopoulou@minedu.gov.gr 
</t>
  </si>
  <si>
    <t>Τμήμα Γ' Ευρωπαϊκών και Διεθνών Θεμάτων</t>
  </si>
  <si>
    <t>Πάντα Ευαγγελία</t>
  </si>
  <si>
    <t>epanta@minedu.gov.gr
dpd-euint@minedu.gov.gr</t>
  </si>
  <si>
    <t xml:space="preserve">Καρατζιά  Όλγα </t>
  </si>
  <si>
    <t>okaratzia@minedu.gov.gr</t>
  </si>
  <si>
    <t xml:space="preserve">Νέζη Σοφία </t>
  </si>
  <si>
    <t>snezi@minedu.gov.gr</t>
  </si>
  <si>
    <t xml:space="preserve">Τσαμανή Δήμητρα </t>
  </si>
  <si>
    <t>dtsamani@minedu.gov.gr</t>
  </si>
  <si>
    <t>Διεύθυνση Εφαρμογής Επαγγελματικής Κατάρτισης</t>
  </si>
  <si>
    <t xml:space="preserve">Αναπληρώτρια Προϊσταμένη Διεύθυνσης </t>
  </si>
  <si>
    <t>Αδάμ Ευαγγελία</t>
  </si>
  <si>
    <t xml:space="preserve">eadam@minedu.gov.gr
</t>
  </si>
  <si>
    <t xml:space="preserve">Ανδρεοπούλου Παναγιώτα </t>
  </si>
  <si>
    <t>pandreopoulou@minedu.gov.gr</t>
  </si>
  <si>
    <t>Τμήμα Α' Οργάνωσης και Εφαρμογής Επαγγελματικής Κατάρτισης</t>
  </si>
  <si>
    <t>Καραβίτης Βασίλειος</t>
  </si>
  <si>
    <t>vkaravitis@minedu.gov.gr, katartisi_deek@minedu.gov.gr</t>
  </si>
  <si>
    <t xml:space="preserve">Δαρζέντα Ειρήνη </t>
  </si>
  <si>
    <t>edarzenta@minedu.gov.gr</t>
  </si>
  <si>
    <t xml:space="preserve">Μπράκη Ελένη </t>
  </si>
  <si>
    <t>empraki@minedu.gov.gr</t>
  </si>
  <si>
    <t>Παπανικολοπούλου Άλκηστις</t>
  </si>
  <si>
    <t>apapanikolopoulou@minedu.gov.gr</t>
  </si>
  <si>
    <t xml:space="preserve">Παπαπετρόπουλος Θεόδωρος </t>
  </si>
  <si>
    <t>thpapapetropoulos@minedu.gov.gr</t>
  </si>
  <si>
    <t xml:space="preserve"> Τμήμα Β' Οργάνωσης &amp; Εφαρμογής Μεταλυκειακού Έτους Τάξη Μαθητείας</t>
  </si>
  <si>
    <t xml:space="preserve">Προϊστάμενος Τμήματος </t>
  </si>
  <si>
    <t xml:space="preserve">Παπαμανώλης Γεώργιος </t>
  </si>
  <si>
    <t>gpapapamanoliws@minedu.gov.gr
mathiteiadeek@minedu.gov.gr</t>
  </si>
  <si>
    <t>Λομποτέση Ιουλία</t>
  </si>
  <si>
    <t>ilompotesi@minedu.gov.gr</t>
  </si>
  <si>
    <t xml:space="preserve">Μελετίου Ασημίνα </t>
  </si>
  <si>
    <t>ameletiou@minedu.gov.gr</t>
  </si>
  <si>
    <t xml:space="preserve">Τζίτζιφα  Παρασκευή </t>
  </si>
  <si>
    <t>ptzitzifa@minedu.gov.gr;</t>
  </si>
  <si>
    <t>Τμήμα Γ' Προσωπικού και Υποστήριξης Επαγγελμ. Κατάρτισης</t>
  </si>
  <si>
    <t>eadam@minedu.gov.gr
prosopikodeek@minedu.gov.gr</t>
  </si>
  <si>
    <t>Αποστολάκη Μαριλένα</t>
  </si>
  <si>
    <t>mapostolaki@minedu.gov.gr</t>
  </si>
  <si>
    <t>Βαρθάλη Ωραιάνθη</t>
  </si>
  <si>
    <t>ovarthali@minedu.gov.gr</t>
  </si>
  <si>
    <t>Βλάχου Χρυσή</t>
  </si>
  <si>
    <t xml:space="preserve">chvlachou@minedu.gov.gr
</t>
  </si>
  <si>
    <t xml:space="preserve">Ζαφειρόπουλος Κωνσταντίνος </t>
  </si>
  <si>
    <t xml:space="preserve">kzafiropoulos@minedu.gov.gr
</t>
  </si>
  <si>
    <t>Κοντογιάννη Αθηνά</t>
  </si>
  <si>
    <t>akontogianni@minedu.gov.gr</t>
  </si>
  <si>
    <t xml:space="preserve">
Μαράκος Παντελεήμων</t>
  </si>
  <si>
    <t>pmarakos@minedu.gov.gr</t>
  </si>
  <si>
    <t>Μπαλαγιάννη Φωτεινή</t>
  </si>
  <si>
    <t>fmpalagianni@minedu.gov.gr</t>
  </si>
  <si>
    <t xml:space="preserve">Χατζησπύρου Βαρβάρα </t>
  </si>
  <si>
    <t>vchatzispyrou@minedu.gov.gr</t>
  </si>
  <si>
    <t>Διεύθυνση Διά Βίου Μάθησης</t>
  </si>
  <si>
    <t>Προϊσταμένη Δ/νσης</t>
  </si>
  <si>
    <t xml:space="preserve">
ddvm1@minedu.gov.gr</t>
  </si>
  <si>
    <t>Σκληρού Σωτηρία</t>
  </si>
  <si>
    <t>ssklirou@minedu.gov.gr</t>
  </si>
  <si>
    <t>Τμήμα Α' Οργάνωσης και Εφαρμογής Εκπαίδευσης Ενηλίκων</t>
  </si>
  <si>
    <t>Μουζάκης Διονύσιος</t>
  </si>
  <si>
    <t>dmouzakis@minedu.gov.gr
eken @minedu.gov.gr</t>
  </si>
  <si>
    <t xml:space="preserve">
Σαλάππα Αγγελική</t>
  </si>
  <si>
    <t>asalappa@minedu.gov.gr</t>
  </si>
  <si>
    <t xml:space="preserve">Σταματοπούλου Ρεβέκα </t>
  </si>
  <si>
    <t xml:space="preserve">rstamatopoulou@minedu.gov.gr 
</t>
  </si>
  <si>
    <t>Τσαούση Ευαγγελία</t>
  </si>
  <si>
    <t xml:space="preserve">etsaousi@minedu.gov.gr
</t>
  </si>
  <si>
    <t xml:space="preserve">Χαραλάμπους Αθηνά </t>
  </si>
  <si>
    <t>acharalampous@minedu.gov.gr</t>
  </si>
  <si>
    <t>Τμήμα Β' Προσωπικού και Υποστήριξης Διά Βίου Μάθησης</t>
  </si>
  <si>
    <t>Αναπληρώτρια  Προϊσταμένη Τμήματος</t>
  </si>
  <si>
    <t xml:space="preserve">Λεμονή Αντιγόνη </t>
  </si>
  <si>
    <t xml:space="preserve">alemoni@minedu.gov.gr,  
hr- sde@minedu.gov.gr </t>
  </si>
  <si>
    <t>Βακονδίου Μαρινέτ</t>
  </si>
  <si>
    <t>mvakondiou@minedu.gov.gr</t>
  </si>
  <si>
    <t xml:space="preserve">Δασκαλάκης Νίκος </t>
  </si>
  <si>
    <t>ndaskalakis@minedu.gov.gr</t>
  </si>
  <si>
    <t xml:space="preserve">Κόλλια Αικατερίνη </t>
  </si>
  <si>
    <t>kkollia@minedu.gov.gr</t>
  </si>
  <si>
    <t>Κουρτικάκης Ζαχαρίας</t>
  </si>
  <si>
    <t>zkourtikakis@minedu.gov.gr</t>
  </si>
  <si>
    <t>Παπακωνσταντίνου Ευάγγελος</t>
  </si>
  <si>
    <t>evagelos.papakwnstantinou@minedu.gov.gr</t>
  </si>
  <si>
    <t>Σταυρουλάκη Αικατερίνη</t>
  </si>
  <si>
    <t>astavroulaki@minedu.gov.gr</t>
  </si>
  <si>
    <t>Τμήμα Γ' Εκπαιδευτικής Υποστήριξης Ειδικών Πληθυσμιακών Ομάδων</t>
  </si>
  <si>
    <t>Λευθεριώτου Πιέρα</t>
  </si>
  <si>
    <t>pleftheriotou@minedu.gov.gr
teipo @minedu.gov.gr</t>
  </si>
  <si>
    <t>Καλοκαιρινού Σεβαστή</t>
  </si>
  <si>
    <t xml:space="preserve">skalokerinou@minedu.gov.gr 
</t>
  </si>
  <si>
    <t xml:space="preserve">Μαστρογιάννης Αθανάσιος </t>
  </si>
  <si>
    <t xml:space="preserve">amastrogiannis@minedu.gov.gr;
</t>
  </si>
  <si>
    <t>Ντότσικα Σοφία</t>
  </si>
  <si>
    <t>sntotsika@minedu.gov.gr</t>
  </si>
  <si>
    <t>Χαχλά Ιωσηφίνα</t>
  </si>
  <si>
    <t xml:space="preserve">ichachla@minedu.gov.gr
</t>
  </si>
  <si>
    <t xml:space="preserve">Διεύθυνση Εποπτείας Φορέων Επαγγελματικής Κατάρτισης και Δ.Β.Μ. </t>
  </si>
  <si>
    <t xml:space="preserve">Παπακωνσταντίνου Βασιλική </t>
  </si>
  <si>
    <t>vpapakonstantinou@minedu.gov.gr</t>
  </si>
  <si>
    <t>Μπαξεβάνη Αγγελική</t>
  </si>
  <si>
    <t xml:space="preserve">ampaksevani@minedu.gov.gr </t>
  </si>
  <si>
    <t>Τμήμα Α΄ Διοίκησης και Εποπτείας Δημοσίων Φορέων Ε.Ε.Κ.</t>
  </si>
  <si>
    <t>Ντασάκη Αγγελική</t>
  </si>
  <si>
    <t>antasaki@minedu.gov.gr, dedfeek@minedu.gov.gr</t>
  </si>
  <si>
    <t xml:space="preserve">Μικέλη Κωνσταντίνα </t>
  </si>
  <si>
    <t>kmikeli@minedu.gov.gr</t>
  </si>
  <si>
    <t>Τμήμα  Β΄Αδειόδότησης Ιδιωτικών Φορέων Επαγγελματικής Κατάρτισης και Δ.Β.Μ.</t>
  </si>
  <si>
    <t xml:space="preserve">Κοσόγλου Ελευθερία </t>
  </si>
  <si>
    <t>210344 2385</t>
  </si>
  <si>
    <t xml:space="preserve">ekosoglou@minedu.gov.gr, adiodotisi@minedu.gov.gr </t>
  </si>
  <si>
    <t>Βαρδάκη Ευανθία</t>
  </si>
  <si>
    <t>210344 2520</t>
  </si>
  <si>
    <t>evardaki@minedu.gov.gr, adiodotisi@minedu.gov.gr</t>
  </si>
  <si>
    <t xml:space="preserve">Καλαθάς Κωνσταντίνος </t>
  </si>
  <si>
    <t xml:space="preserve">kkalathas@minedu.gov.gr
</t>
  </si>
  <si>
    <t xml:space="preserve">Κασκαρίκα Ισιδώρα </t>
  </si>
  <si>
    <t xml:space="preserve">isikas@minedu.gov.gr
</t>
  </si>
  <si>
    <t>Μεταξά Ευτυχία</t>
  </si>
  <si>
    <t>emetaksa@minedu.gov.gr</t>
  </si>
  <si>
    <t>Παπαρδέλης Κωνσταντίνος</t>
  </si>
  <si>
    <t xml:space="preserve">kpapardelis@minedu.gov.gr 
</t>
  </si>
  <si>
    <t xml:space="preserve">Σταμπέλου Χρυσούλα </t>
  </si>
  <si>
    <t>chstampelou@minedu.gov.gr</t>
  </si>
  <si>
    <t xml:space="preserve">Σωτήρχου Αικατερίνη </t>
  </si>
  <si>
    <t>ekaterini.sotirchou@minedu.gov.gr</t>
  </si>
  <si>
    <t>Τσάπαρη Ουρανία</t>
  </si>
  <si>
    <t>otsapari@minedu.gov.gr</t>
  </si>
  <si>
    <t>Τμήμα Γ΄ Εποπτείας της Λειτουργίας Ιδιωτικών Φορέων Ε.Κ. και Δ.Β.Μ.</t>
  </si>
  <si>
    <t>Αγαλοπούλου Ελένη</t>
  </si>
  <si>
    <t xml:space="preserve">eagalopoulou@minedu.gov.gr, epoptia@minedu.gov.gr 
</t>
  </si>
  <si>
    <t>Ζαφείρη Ιωάννα</t>
  </si>
  <si>
    <t>izafeiri@minedu.gov.gr</t>
  </si>
  <si>
    <t>Κατσού Φωτεινή</t>
  </si>
  <si>
    <t xml:space="preserve">fkatsou@minedu.gov.gr
</t>
  </si>
  <si>
    <t xml:space="preserve">Κοτανίδη Ελένη </t>
  </si>
  <si>
    <t xml:space="preserve">ekotanidi@minedu.gov.gr 
</t>
  </si>
  <si>
    <t xml:space="preserve">Μαυραγάνη Βασιλική </t>
  </si>
  <si>
    <t>vasiliki.mavragani@minedu.gov.gr</t>
  </si>
  <si>
    <t>Μουσαμά Σπυριδούλα</t>
  </si>
  <si>
    <t xml:space="preserve">smousama@minedu.gov.gr
</t>
  </si>
  <si>
    <t xml:space="preserve">Μούτσιου  Λυδία </t>
  </si>
  <si>
    <t>lmoutsiou@minedu.gov.gr</t>
  </si>
  <si>
    <t>Τζώρτζη Δήμητρα</t>
  </si>
  <si>
    <t>dtzortzi@minedu.gov.gr</t>
  </si>
  <si>
    <t>Διεύθυνση Τεκμηρίωσης και Επικοινωνίας της Ε.Ε.Κ.Δ.Β.Μ. και Νεολαίας</t>
  </si>
  <si>
    <t xml:space="preserve"> Αναπληρώτρια Προϊσταμένη Διεύθυνσης</t>
  </si>
  <si>
    <t>Σωτηροπούλου Νικολέττα</t>
  </si>
  <si>
    <t>nsotiropoulou@minedu.gov.gr,
tmep@minedu.gov.gr</t>
  </si>
  <si>
    <t>Τμήμα Α' Τεκμηρίωσης της Ε.Ε.Κ Δ.Β.Μ και Νεολαίας</t>
  </si>
  <si>
    <t>Αναπληρωτής Προϊστάμενος  Τμήματος</t>
  </si>
  <si>
    <t xml:space="preserve">Κασάρας Κωνσταντίνος </t>
  </si>
  <si>
    <t>kkasaras@minedu.gov.gr,
tekm-a@minedu.gov.gr</t>
  </si>
  <si>
    <t>Γυπαράκης Θεοχάρης</t>
  </si>
  <si>
    <t>thgyparakis@minedu.gov.gr</t>
  </si>
  <si>
    <t xml:space="preserve">Καραλή Ευαγγελία </t>
  </si>
  <si>
    <t>ekarali@minedu.gov.gr</t>
  </si>
  <si>
    <t xml:space="preserve">Παντελιά Στυλιανή </t>
  </si>
  <si>
    <t>spantelia@minedu.gov.gr</t>
  </si>
  <si>
    <t>Τμήμα Β' Εκπαιδευτικής Τεχνολογίας της Ε.Ε.Κ.Δ.Β.Μ και Νεολαίας</t>
  </si>
  <si>
    <t xml:space="preserve">Πανταζή Αθηνά </t>
  </si>
  <si>
    <t>apantazi@minedu.gov.gr</t>
  </si>
  <si>
    <t>Μαρτίδης Χρήστος</t>
  </si>
  <si>
    <t>chmartidis@minedu.gov.gr</t>
  </si>
  <si>
    <t>Τμήμα Γ' Επικοινωνίας της Ε.Ε.Κ.Δ.Β.Μ. και Νεολαίας</t>
  </si>
  <si>
    <t xml:space="preserve">Προϊσταμένη Τμήματος </t>
  </si>
  <si>
    <t>Παπαευθυμίου Μαρία</t>
  </si>
  <si>
    <t>mpapaefthymiou@minedu.gov.gr</t>
  </si>
  <si>
    <t>Πριοβόλου Μαρία</t>
  </si>
  <si>
    <t xml:space="preserve">mpriovolou@minedu.gov.gr </t>
  </si>
  <si>
    <t>Τμήμα Δ' Περιφερειακών Δράσεων Ε.Ε.Κ Δ.Β.Μ και Νεολαίας</t>
  </si>
  <si>
    <t>Σπυράτου Ευαγγελία</t>
  </si>
  <si>
    <t>espyratou@minedu.gov.gr;
neagenia.thess@minedu.gov.gr</t>
  </si>
  <si>
    <t>Κωδικός / Μοντέλο</t>
  </si>
  <si>
    <t>Περιγραφή – Προδιαγραφές</t>
  </si>
  <si>
    <t>Ισχύς</t>
  </si>
  <si>
    <t>Διαστάσεις</t>
  </si>
  <si>
    <t>Χωρητικότητα</t>
  </si>
  <si>
    <t>Τιμή Τεμ. (€)</t>
  </si>
  <si>
    <t>Έκπτωση</t>
  </si>
  <si>
    <t>Τελική Τιμή (€)</t>
  </si>
  <si>
    <t>FRIGOGAS</t>
  </si>
  <si>
    <t>227950 – Electrolux SKYLINE PRO Combi Boilerless</t>
  </si>
  <si>
    <t>Ηλεκτρικός combi boilerless, 5x 40x60 cm, digital interface, LED, αυτόματο καθάρισμα, πρόγραμμα συνταγών, ψεκασμός, διπλό τζάμι</t>
  </si>
  <si>
    <t>11,10 kW, 380–415V</t>
  </si>
  <si>
    <t>867x775x808 mm</t>
  </si>
  <si>
    <t>6x GN 1/1 (40x60 cm)</t>
  </si>
  <si>
    <t>10.420,80 (2 τεμ.)</t>
  </si>
  <si>
    <t>ΗΜΕΡΟΜΗΝΙΕΣ ΜΑΘΗΜΑΤΩΝ</t>
  </si>
  <si>
    <t xml:space="preserve">ΩΡΑ ΕΝΑΡΞΗΣ </t>
  </si>
  <si>
    <t xml:space="preserve">ΩΡΑ ΛΗΞΗΣ </t>
  </si>
  <si>
    <t>ΣΗΜΕΙΩΣΕΙΣ ΜΑΘΗΜΑΤΩΝ</t>
  </si>
  <si>
    <t>ΣΥΜΒΑΣΗ VS ΤΙΜΟΛΟΓΙΟ</t>
  </si>
  <si>
    <t>EB-8F</t>
  </si>
  <si>
    <t>Φούρνος 4 λαμαρίνες 60x40, ηλεκτρομηχανικός, ψεκασμός, διπλό τζάμι, φως, θερμοστάτης 50–300°C</t>
  </si>
  <si>
    <t>6,7 kW</t>
  </si>
  <si>
    <t>85,9x79,7x65,7 cm</t>
  </si>
  <si>
    <t>4x 60x40 cm</t>
  </si>
  <si>
    <t>1.862,00 (2 τεμ.)</t>
  </si>
  <si>
    <t xml:space="preserve">Πέμπτη 8 Ιανουαρίου 2025 </t>
  </si>
  <si>
    <t>Καραμανής–Μυριδάκης</t>
  </si>
  <si>
    <t>BERU464S – Modular Function</t>
  </si>
  <si>
    <t>Κυκλοθερμικός ηλεκτρικός, ηλεκτρονικός/μηχανικός έλεγχος, GN2/3–GN1/1 ή 60x40, ψεκασμός, διπλό τζάμι, φωτισμός, θερμοκρασία 50–270°C</t>
  </si>
  <si>
    <t>3,5 kW / 230V</t>
  </si>
  <si>
    <t>72,4x73x59,7 cm</t>
  </si>
  <si>
    <t>7x GN1/1 ή 60x40 cm</t>
  </si>
  <si>
    <t>–</t>
  </si>
  <si>
    <t>1.163,40 (1 τεμ.)</t>
  </si>
  <si>
    <t>Τρίτη 13 Ιανουαρίου 2025</t>
  </si>
  <si>
    <t>H7530 – KARAMCO</t>
  </si>
  <si>
    <t>Κυκλοθερμικός ανοξείδωτος, 2 μοτέρ, GN1/1 ή 60x40, θερμοστάτης 50–250°C, χρονοδιακόπτης 120’, ψεκασμός, διπλό τζάμι</t>
  </si>
  <si>
    <t>2,9 kW</t>
  </si>
  <si>
    <t>67,5x56,5x53 cm</t>
  </si>
  <si>
    <t>Δεν επιλέχθηκε (0 τεμ.)</t>
  </si>
  <si>
    <t>Πέμπτη 15 Ιανουαρίου 2025</t>
  </si>
  <si>
    <t>Τρίτη 20 Ιανουρίου 2025</t>
  </si>
  <si>
    <t>Πέμπτη 22 Ιανουαρίου 2025</t>
  </si>
  <si>
    <t>Τρίτη 27 Ιανουαρίου 2025</t>
  </si>
  <si>
    <t>10.420,80 (2 τεμ.) με εκπτωση 35%</t>
  </si>
  <si>
    <t>Πέμπτη 29 Ιανουαρίου 2025</t>
  </si>
  <si>
    <t>1.862,00 (2 τεμ.) με έκπτωση 30%</t>
  </si>
  <si>
    <t>735 (1 τεμ)</t>
  </si>
  <si>
    <t>ΚΑΡΕΜΑΝΑΙ ΚΛΟΝΤΙΑΝ</t>
  </si>
  <si>
    <t>ΚΑΛΑΦΑΤΗ ΜΑΡΙΑ - ΜΑΡΙΝΑ</t>
  </si>
  <si>
    <t xml:space="preserve">ΜΑΝΩΛΑΚΑΚΗ ΚΩΝΣΤΑΝΤΙΝΑ </t>
  </si>
  <si>
    <t>Επώνυμο</t>
  </si>
  <si>
    <t>Τμήμα</t>
  </si>
  <si>
    <t>Καθηγητές Τμήματος</t>
  </si>
  <si>
    <t>Classter</t>
  </si>
  <si>
    <t>ΠΗΓΑΣΟΣ - ΕΠΙΣΗΜΟ</t>
  </si>
  <si>
    <t>ΑΤΟΜΑ ΓΙΑ ΕΚΔΗΛΩΣΗ</t>
  </si>
  <si>
    <t>ΤΗΛΕΦΩΝΑ ΓΙΑ ΓΙΟΡΤΗ 24/06</t>
  </si>
  <si>
    <t>Μέρες που δεν έκανε μάθημα</t>
  </si>
  <si>
    <t>ΚΑΘΗΓΗΤΕΣ ΓΙΑ REEL</t>
  </si>
  <si>
    <t>ΒΙΟΓΡΑΦΙΚΟ</t>
  </si>
  <si>
    <t>ΠΟΡΕΙΑ</t>
  </si>
  <si>
    <t>ΩΡΕΣ ΜΑΡΤΙΟΥ</t>
  </si>
  <si>
    <t>ΩΡΕΣ ΑΠΡΙΛΙΟΥ</t>
  </si>
  <si>
    <t>ΩΡΕΣ ΜΑΙΟΥ</t>
  </si>
  <si>
    <t>ΩΡΕΣ ΙΟΥΝΙΟΥ</t>
  </si>
  <si>
    <t>ΣΥΝΟΛΟ ΩΡΩΝ</t>
  </si>
  <si>
    <t>ΕΝΗΜΕΡΩΣΗ</t>
  </si>
  <si>
    <t>ΑΡΧΙΤΕΚΤΟΝΙΚΗ Δ ΕΞΑΜΗΝΟ</t>
  </si>
  <si>
    <t>ΑΡΧΙΤΕΚΤΟΝΙΚΗ Β ΕΞΑΜΗΝΟ</t>
  </si>
  <si>
    <t>ΖΑΧΑΡΟΠΛΑΣΤΙΚΗ Δ ΕΞΑΜΗΝΟ</t>
  </si>
  <si>
    <t>ΖΑΧΑΡΟΠΛΑΣΤΙΚΗ Β ΕΞΑΜΗΝΟ</t>
  </si>
  <si>
    <t>ΜΑΓΕΙΡΙΚΗ Δ ΕΞΑΜΗΝΟ</t>
  </si>
  <si>
    <t>ΑΕΡΟΜΕΤΑΦΟΡΑ Β ΕΞΑΜΗΝΟ</t>
  </si>
  <si>
    <t>ΔΕΥΤΕΡΑ</t>
  </si>
  <si>
    <t xml:space="preserve">ΤΡΙΤΗ </t>
  </si>
  <si>
    <t xml:space="preserve">ΤΕΤΑΡΤΗ </t>
  </si>
  <si>
    <t xml:space="preserve">ΠΕΜΠΤΗ </t>
  </si>
  <si>
    <t>ΠΑΡΑΣΚΕΥΗ</t>
  </si>
  <si>
    <t xml:space="preserve">ΜΑΘΉΜΑΤΑ </t>
  </si>
  <si>
    <t>ΑΛΑΓΜΕΝΑ ΠΡΟΓΡΑΜΜΑΤΑ</t>
  </si>
  <si>
    <t>ΕΚΠΑΙΔΕΥΤΗΣ</t>
  </si>
  <si>
    <t>ΤΜΗΜΑΤΑ</t>
  </si>
  <si>
    <t>ΜΑΘΗΜΑΤΑ</t>
  </si>
  <si>
    <t xml:space="preserve">ΩΡΕΣ </t>
  </si>
  <si>
    <t>ΗΜΕΡΟΜΗΝΙΑ ΠΟΥ ΔΕΝ ΠΡΑΓΜΑΤΟΠΟΙΗΘΗΚΕ ΤΟ ΜΑΘΗΜΑ</t>
  </si>
  <si>
    <t>ΔΕΥΤΕΡΑ 28/04</t>
  </si>
  <si>
    <t>ΤΡΙΤΗ 29/04</t>
  </si>
  <si>
    <t>ΤΕΤΑΡΤΗ 30/04</t>
  </si>
  <si>
    <t>ΠΕΜΠΤΗ 01/05</t>
  </si>
  <si>
    <t>ΠΑΡΑΣΚΕΥΗ 02/05</t>
  </si>
  <si>
    <t xml:space="preserve">ΤΜΗΜΑΤΑ ΠΟΥ ΕΧΟΥΜΑΙ ΟΛΕΣ ΤΙΣ ΠΡΟΟΔΟΥΣ ΣΤΑ ΧΕΡΙΑ ΜΑΣ </t>
  </si>
  <si>
    <t>ΠΟΙΟΙ ΔΕΝ ΕΧΟΥΝ ΣΤΕΙΛΕΙ</t>
  </si>
  <si>
    <t>ΔΕΥΤΕΡΑ 02/06</t>
  </si>
  <si>
    <t>ΤΡΙΤΗ 03/06</t>
  </si>
  <si>
    <t>ΤΕΤΑΡΤΗ 04/06</t>
  </si>
  <si>
    <t>ΠΕΜΠΤΗ 05/06</t>
  </si>
  <si>
    <t>ΠΑΡΑΣΚΕΥΗ 06/06</t>
  </si>
  <si>
    <t>ΕΠΕΞΗΓΗΣΗ ΧΡΩΜΑΤΩΝ</t>
  </si>
  <si>
    <t>ΕΊΝΑΙ ΟΚ</t>
  </si>
  <si>
    <t>ΠΕΡΙΜΕΝΟΥΜΕ</t>
  </si>
  <si>
    <t xml:space="preserve">ΝΑ ΡΩΤΗΣΟΥΜΕ ΑΠΌ ΚΟΝΤΑ </t>
  </si>
  <si>
    <t>Τμήμα/τα</t>
  </si>
  <si>
    <t>Ωρολόγιο</t>
  </si>
  <si>
    <t>ΣΧΟΛΙΑ ΠΟΥ ΝΑ ΕΦΙΣΤΟΥΝ ΠΡΟΣΟΧΗ Ή ΚΑΠΟΙΑ ΠΑΡΑΤΗΡΗΣΗ</t>
  </si>
  <si>
    <t>TMHMATA</t>
  </si>
  <si>
    <t>ΑΠΑΝΤΗΣΕΙΣ/ ΣΠΟΥΔΑΣΤΕΣ</t>
  </si>
  <si>
    <t>ΑΠΑΝΤΗΣΕΙΣ</t>
  </si>
  <si>
    <t>ΠΟΣΟΣΤΟ</t>
  </si>
  <si>
    <t>ΠΙΝΑΚΕΣ ΓΙΑ ΓΡΗΓΟΡΗ ΑΞΙΟΛΟΓΗΣΗ ΚΑΙ ΒΟΗΘΕΙΑ ΣΤΙΣ ΑΝΑΦΟΡΕΣ</t>
  </si>
  <si>
    <t>ΑΞΙΟΛΟΓΗΣΕΙΣ ΠΟΥ ΑΦΟΡΟΥΝ ΓΓΕΝΙΚΑ ΘΕΜΑΤΑ ΤΑ ΟΠΟΙΑ ΕΊΝΑΙ ΙΔΙΑ ΓΙΑ ΌΛΑ ΤΑ ΤΜΗΜΑΤΑ</t>
  </si>
  <si>
    <t>1. ΣΥΝΕΠΕΙΑ ΚΑΙ ΣΥΜΠΕΡΙΦΟΡΑ</t>
  </si>
  <si>
    <t>2. ΠΛΗΡΟΦΟΡΗΣΗ</t>
  </si>
  <si>
    <t>3.ΓΡΑΜΜΑΤΕΙΑΚΗ ΥΠΟΣΤΗΡΙΞΗ, ΕΞΥΠΗΡΕΤΗΣΗ</t>
  </si>
  <si>
    <t>4. ΙΚΑΝΟΤΗΤΑ ΕΠΙΛΥΣΗΣ ΠΡΟΒΛΗΜΑΤΩΝ ΚΑΤΆ ΤΗΝ ΔΙΑΡΚΕΙΑ ΤΟΥ ΠΡΟΓΡΑΜΜΑΤΟΣ</t>
  </si>
  <si>
    <t>5. ΣΧΟΛΙΑ</t>
  </si>
  <si>
    <t>ΥΠΟΔΟΜΕΣ - ΑΙΘΟΥΣΕΣ ΔΙΕΞΑΓΩΓΗΣ</t>
  </si>
  <si>
    <t>1. ΚΑΤΑΛΛΗΛΟΤΗΤΑ ΧΩΡΩΝ - ΥΠΟΔΟΜΕΣ</t>
  </si>
  <si>
    <t xml:space="preserve">2. ΕΠΑΡΚΕΙΑ ΧΟΡΩΝ </t>
  </si>
  <si>
    <t>3. ΟΠΤΙΚΟΑΚΟΥΣΤΙΚΑ ΜΕΣΑ (ΔΙΑΘΕΣΙΜΟΤΗΤΑ ΚΑΙ ΧΡΗΣΗ)</t>
  </si>
  <si>
    <t>4. ΣΧΟΛΙΑ</t>
  </si>
  <si>
    <t>CLASSTER - ΕΚΠΑΙΔΕΥΤΙΚΗ ΠΛΑΤΦΟΡΜΑ</t>
  </si>
  <si>
    <t>1. ΕΥΧΡΗΣΤΙΑ ΚΑΙ ΠΛΟΗΓΗΣΗ</t>
  </si>
  <si>
    <t>2. ΟΡΓΑΝΩΣΗ ΚΑΙ ΔΟΜΗ ΠΛΗΡΟΦΟΡΙΑΣ</t>
  </si>
  <si>
    <t>3. ΛΕΙΤΟΥΡΓΙΚΟΤΗΤΑ ΚΑΙ ΑΞΙΟΠΙΣΤΙΑ</t>
  </si>
  <si>
    <t>4. ΥΠΟΣΤΗΡΙΞΗ ΚΑΙ ΒΟΗΘΕΙΑ</t>
  </si>
  <si>
    <t>ΑΞΙΟΛΟΓΗΣΕΙΣ ΠΟΥ ΑΦΟΡΟΥΝ ΕΚΠΑΙΔΕΥΤΕΣ</t>
  </si>
  <si>
    <t>1. ΣΥΜΠΕΡΙΦΟΡΑ - ΕΥΓΕΝΕΙΑ</t>
  </si>
  <si>
    <t>2. ΓΝΩΣΕΙΣ ΕΚΠΑΙΔΕΥΤΩΝ</t>
  </si>
  <si>
    <t>3. ΜΕΤΑΔΟΤΙΚΟΤΗΤΑ</t>
  </si>
  <si>
    <t>4. ΙΚΑΝΟΤΗΤΑ ΤΗΡΗΣΗΣ ΠΡΟΓΡΑΜΜΑΤΟΣ</t>
  </si>
  <si>
    <t>5. ΙΚΑΝΟΤΗΤΑ ΑΠΑΝΤΗΣΗΣ ΣΕ ΕΡΩΤΗΣΕΙΣ - ΔΙΑΘΕΣΗ ΓΙΑ ΔΙΑΛΟΓΟ</t>
  </si>
  <si>
    <t>6. ΙΚΑΝΟΤΗΤΑ ΥΠΟΚΙΝΗΣΗΣ ΕΚΠΑΙΔΕΥΟΜΕΝΩΝ</t>
  </si>
  <si>
    <t>7. ΑΞΙΑ ΤΟΥ ΠΕΡΙΕΧΟΜΕΝΟΥ ΓΙΑ ΕΣΑΣ</t>
  </si>
  <si>
    <t xml:space="preserve">8. ΕΠΑΡΚΕΙΑ ΣΗΜΕΙΩΣΕΩΝ - ΠΟΙΟΤΑ ΣΗΜΕΙΩΣΕΩΝ </t>
  </si>
  <si>
    <t>9. ΣΧΟΛΙΑ</t>
  </si>
  <si>
    <t>ΠΕΜΠΤΗ 31/07/2025</t>
  </si>
  <si>
    <t>ΠΑΡΑΣΚΕΥΗ 01/08/2025</t>
  </si>
  <si>
    <t>ΠΕΜΠΤΗ 07/08/2025</t>
  </si>
  <si>
    <t>ΠΑΡΑΣΚΕΥΗ 08/08/2025</t>
  </si>
  <si>
    <t>ΤΡΙΤΗ 19/08/2025</t>
  </si>
  <si>
    <t>ΤΕΤΑΡΤΗ 20/08/2025</t>
  </si>
  <si>
    <t>ΠΕΜΠΤΗ 21/08/2025</t>
  </si>
  <si>
    <t>ΔΕΥΤΕΡΑ 01/09/2025</t>
  </si>
  <si>
    <t>ΔΕΥΤΕΡΑ 08/09/2026</t>
  </si>
  <si>
    <t>📋 Έντυπο Ελέγχου Πρακτικής Άσκησης</t>
  </si>
  <si>
    <t xml:space="preserve">ΣΠΟΥΔΑΣΤΗΣ </t>
  </si>
  <si>
    <t>ΠΟΥ ΚΑΝΕΙ ΠΡΑΚΤΙΚΗ</t>
  </si>
  <si>
    <t>ΩΡΑΡΙΟ</t>
  </si>
  <si>
    <t>ΑΡΕΤΑΚΗ</t>
  </si>
  <si>
    <t>ΚΑΣΣΙΑΝΗ</t>
  </si>
  <si>
    <t xml:space="preserve">aretakikassia@gmail.com </t>
  </si>
  <si>
    <r>
      <t xml:space="preserve">ΕΣΩΤΕΡΙΚΗ ΑΡΧΙΤΕΚΤΟΝΙΚΗ ΔΙΑΚΟΣΜΙΣΗ ΚΑΙ ΣΧΕΔΙΑΣΜΟΣ ΑΝΤΙΚΕΙΜΕΝΩΝ </t>
    </r>
    <r>
      <rPr>
        <b/>
        <sz val="11"/>
        <color theme="1"/>
        <rFont val="Aptos Narrow"/>
        <family val="2"/>
        <scheme val="minor"/>
      </rPr>
      <t>Δ ΕΞΑΜΗΝΟ</t>
    </r>
  </si>
  <si>
    <t>ΔΙΑΚ-23Β</t>
  </si>
  <si>
    <t>Δ342-1 (Δ1)</t>
  </si>
  <si>
    <t xml:space="preserve">ΑΠΑΝΤΗΣΑΝ </t>
  </si>
  <si>
    <t>ΑΔΑΜΗΣ</t>
  </si>
  <si>
    <t>georgeadamis1@gmail.com</t>
  </si>
  <si>
    <t>ΔΕΝ ΘΑ ΕΊΝΑΙ</t>
  </si>
  <si>
    <t>ΣΟΦΙΑ-ΧΑΡΑ</t>
  </si>
  <si>
    <t>ΟΚ</t>
  </si>
  <si>
    <t>ΑΣΤΡΙΝΑΚΗ</t>
  </si>
  <si>
    <t>ΒΛΑΧΑΚΗΣ</t>
  </si>
  <si>
    <t>ΓΡΗΓΟΡΑΚΗ</t>
  </si>
  <si>
    <t>ΚΟΥΚΟΥΛΑΚΗ</t>
  </si>
  <si>
    <t>ΣΑΚΟΥΛΑΚΗ</t>
  </si>
  <si>
    <t>ΣΙΤΟΡΕΓΚΟ</t>
  </si>
  <si>
    <t>ΣΜΑΡΑΓΔΑΚΗΣ</t>
  </si>
  <si>
    <t>ΜΕΓΙΣΤΟ ΑΠΟΥΣΙΩΝ</t>
  </si>
  <si>
    <t>ΣΑΡΑΝΤΟΥΛΑΚΗΣ</t>
  </si>
  <si>
    <t>ΠΑΠΑΒΑΣΙΛΕΙΟΥ</t>
  </si>
  <si>
    <t>ΠΑΡΑΣΥΡΗ</t>
  </si>
  <si>
    <t>ΠΕΡΑΚΗΣ</t>
  </si>
  <si>
    <t>ΣΕΛΗΘΩΜΑΣ</t>
  </si>
  <si>
    <t>ΣΠΑΝΤΙΔΑΚΗΣ</t>
  </si>
  <si>
    <t>ΤΖΩΡΤΖΑΚΗ</t>
  </si>
  <si>
    <t>FECANJI</t>
  </si>
  <si>
    <t>ΛΙΤΣΗΣ</t>
  </si>
  <si>
    <t>ΜΑΝΤΑΦΑΡΑ</t>
  </si>
  <si>
    <t>ΜΑΡΑΚΗΣ</t>
  </si>
  <si>
    <t>ΜΥΛΩΝΑΚΗΣ</t>
  </si>
  <si>
    <t>ΦΟΥΝΑΡΓΙΩΤΑΚΗ</t>
  </si>
  <si>
    <t xml:space="preserve">ΜΕΓΙΣΤΟ ΑΠΟΥΣΙΩΝ </t>
  </si>
  <si>
    <t>ΕΣΩΤΕΡΙΚΗ ΑΡΧΙΤΕΚΤΟΝΙΚΗ ΔΙΑΚΟΣΜΗΣΗ ΚΑΙ ΣΧΕΔΙΣΜΟΣ ΑΝΤΙΚΕΙΜΕΝΩΝ Δ ΕΞΑΜΗΝΟ</t>
  </si>
  <si>
    <t>ΤΕΧΝΙΚΟΣ ΑΡΤΟΠΟΙΙΑΣ ΖΑΧΑΡΟΠΛΑΣΤΙΚΗΣ Β ΕΞΑΜΗΝΟ</t>
  </si>
  <si>
    <t>1. Ζαχαροπλαστική Τέχνη ΙΙ Θεωρία, 2. Ζαχαροπλαστική Τέχνη ΙΙ Εργαστήριο, 3. Εργαστήριο ΠΕ</t>
  </si>
  <si>
    <t>1. (3 ώρες), 2. (3 ώρες), 3. (5 ώρες)</t>
  </si>
  <si>
    <t>Πέμπτη 10/04/2025 και Παρασκεύη 11/04/2025</t>
  </si>
  <si>
    <t>ΕΡΓΑΣΤΗΡΙΟ ΤΕΜΑΧΙΣΜΟΣ ΚΡΕΑΤΩΝ ΙΙ</t>
  </si>
  <si>
    <t>ΘΕΩΡΙΑ ΤΟΥΡΙΣΜΟΣ ΚΑΙ ΑΕΡΟΠΟΡΙΚΗ ΒΙΟΜΗΧΑΝΙΑ</t>
  </si>
  <si>
    <t xml:space="preserve">ΘΕΩΡΙΑ ΓΑΛΛΙΚΑ </t>
  </si>
  <si>
    <t xml:space="preserve">ΘΕΩΡΙΑ ΑΕΡΟΠΟΡΙΚΟ ΔΙΚΑΙΟ ΚΑΙ ΔΙΕΘΝΕΣ ΣΧΕΣΕΙΣ </t>
  </si>
  <si>
    <t>ΘΕΩΡΙΑ ΜΕΤΑΦΟΡΑ ΑΕΡΟΠΟΡΙΚΩΝ ΕΜΠΟΡΕΥΜΑΤΩΝ</t>
  </si>
  <si>
    <t>ΣΤΕΛΕΧΟΣ ΥΠΗΡΕΣΙΩΝ ΑΕΡΟΜΕΤΑΦΟΡΑΣ 2025 Β ΕΞΑΜΗΝΟ</t>
  </si>
  <si>
    <t>ΕΡΓΑΣΤΗΡΙΟ ΤΕΜΑΧΙΣΜΟΣ ΚΡΕΑΤΩΝ II</t>
  </si>
  <si>
    <t>ΘΕΩΡΙΑ ΓΑΛΛΙΚΑ</t>
  </si>
  <si>
    <t>ΘΕΩΡΙΑ ΖΑΧΑΡΟΠΛΑΣΤΙΚΗ ΤΕΧΝΗ ΙΙ</t>
  </si>
  <si>
    <t>ΤΟΥΡΙΣΜΟΣ ΚΑΙ ΑΕΡΟΠΟΡΙΚΗ ΒΙΟΜΗΧΑΝΙΑ</t>
  </si>
  <si>
    <t>ΕΣΩΤΕΡΙΚΗ ΑΡΧΙΤΕΚΤΟΝΙΚΗ ΔΙΑΚΟΣΜΙΣΗ ΚΑΙ ΣΧΕΔΙΑΣΜΟΣ ΑΝΤΙΚΕΙΜΕΝΩΝ Δ Εξάμηνο</t>
  </si>
  <si>
    <t>Τετάρτη και Πέμπτη 19:30-22:00 (6 ώρες)</t>
  </si>
  <si>
    <t>1. ΕΣΩΤΕΡΙΚΗ ΑΡΧΙΤΕΚΤΟΝΙΚΗ ΔΙΑΚΟΣΜΗΣΗ ΚΑΙ ΣΧΕΔΙΑΣΜΟΣ ΑΝΤΙΚΕΙΜΈΝΩΝ 2025Α (Β Εξάμηνο)</t>
  </si>
  <si>
    <t>12/13</t>
  </si>
  <si>
    <t>ΓΡΑΜΜΑΤΕΙΑ, ΥΠΟΔΟΜΕΣ, CLASSTER</t>
  </si>
  <si>
    <t>ΕΣΩΤΕΡΙΚΗ ΑΡΧΙΤΕΚΤΟΝΙΚΗ ΔΙΑΚΟΣΜΗΣΗ ΚΑΙ ΣΧΕΔΙΑΣΜΟΣ ΑΝΤΙΚΕΙΜΈΝΩΝ 2025Α (Β Εξάμηνο)</t>
  </si>
  <si>
    <t>άριστη</t>
  </si>
  <si>
    <t>καλή</t>
  </si>
  <si>
    <t>πολύ καλή</t>
  </si>
  <si>
    <t>κακή</t>
  </si>
  <si>
    <t>μέτρια</t>
  </si>
  <si>
    <t>ΜΠΙΤΖΟΥ ΘΕΟΔΟΣΙΑ</t>
  </si>
  <si>
    <t>08:00-09:00</t>
  </si>
  <si>
    <t>Σμαραγδάκης Χριστόφορος</t>
  </si>
  <si>
    <t>cris_takis@windowslive.com</t>
  </si>
  <si>
    <t>ΚΑΥΚΑ</t>
  </si>
  <si>
    <t xml:space="preserve"> (09:00-17:00)</t>
  </si>
  <si>
    <t xml:space="preserve"> Αγίου Τρύφωνος 2 , Νέα Αλικαρνασσός, Κρήτη 71601</t>
  </si>
  <si>
    <t xml:space="preserve">astrinakimaria12@gmail.com </t>
  </si>
  <si>
    <t>ΔΕΝ ΤΟ ΣΗΚΩΣΑΝ</t>
  </si>
  <si>
    <t>οκ</t>
  </si>
  <si>
    <t>ΒΑΣΔΕΚΗ</t>
  </si>
  <si>
    <t>ΧΡΙΣΤΟΦΟΡΟΣ</t>
  </si>
  <si>
    <t>ΙΩΑΝΝΗΣ</t>
  </si>
  <si>
    <t>ΠΑΡΑΣΚΕΥΗ ΑΓΓΕΛΙΚΗ</t>
  </si>
  <si>
    <t>NAZE</t>
  </si>
  <si>
    <t>17:00-17:45                         ΕΡΓΑΣΤΗΡΙΟ                            ΠΡΑΚΤΙΚΗ ΑΣΚΗΣΗ                      ΑΙΘ. 8                                       Ε.Σκόρδου</t>
  </si>
  <si>
    <t>16:45-17:30                 ΕΡΓΑΣΤΗΡΙΟ             Τρισδιάστατη Ψηφιακή Σχεδίαση                                             ΑΙΘ. 3                                       Μπίτζου</t>
  </si>
  <si>
    <t>16:45-17:30                         ΕΡΓΑΣΤΗΡΙΟ                            ΠΡΑΚΤΙΚΗ ΑΣΚΗΣΗ                      ΑΙΘ. 3                                       Μπίτζου</t>
  </si>
  <si>
    <t>16:45-17:30                         ΕΡΓΑΣΤΗΡΙΟ                            ΔΙΑΘΕΜΑΤΙΚΗ                                             ΑΙΘ. 3                                       Μπίτζου</t>
  </si>
  <si>
    <r>
      <rPr>
        <b/>
        <sz val="11"/>
        <color theme="1"/>
        <rFont val="Aptos Narrow"/>
        <family val="2"/>
        <scheme val="minor"/>
      </rPr>
      <t>1.</t>
    </r>
    <r>
      <rPr>
        <sz val="11"/>
        <color theme="1"/>
        <rFont val="Aptos Narrow"/>
        <family val="2"/>
        <charset val="161"/>
        <scheme val="minor"/>
      </rPr>
      <t xml:space="preserve"> ΕΡΓΑΣΤΗΡΙΟ ΠΡΑΚΤΙΚΗ ΑΣΚΗΣΗ,</t>
    </r>
    <r>
      <rPr>
        <b/>
        <sz val="11"/>
        <color theme="1"/>
        <rFont val="Aptos Narrow"/>
        <family val="2"/>
        <scheme val="minor"/>
      </rPr>
      <t xml:space="preserve"> 2</t>
    </r>
    <r>
      <rPr>
        <sz val="11"/>
        <color theme="1"/>
        <rFont val="Aptos Narrow"/>
        <family val="2"/>
        <charset val="161"/>
        <scheme val="minor"/>
      </rPr>
      <t xml:space="preserve">.ΕΡΓΑΣΤΗΡΙΟ ΤΡΙΣΔΙΑΣΤΑΤΗ ΨΗΦΙΑΚΗ ΣΧΕΔΙΑΣΗ, </t>
    </r>
    <r>
      <rPr>
        <b/>
        <sz val="11"/>
        <color theme="1"/>
        <rFont val="Aptos Narrow"/>
        <family val="2"/>
        <scheme val="minor"/>
      </rPr>
      <t>3</t>
    </r>
    <r>
      <rPr>
        <sz val="11"/>
        <color theme="1"/>
        <rFont val="Aptos Narrow"/>
        <family val="2"/>
        <charset val="161"/>
        <scheme val="minor"/>
      </rPr>
      <t>.ΕΡΓΑΣΤΗΡΙΟ ΔΙΑΘΕΜΑΤΙΚΗ</t>
    </r>
  </si>
  <si>
    <t>16:30-17:15                         ΕΡΓΑΣΤΗΡΙΟ                            ΠΡΑΚΤΙΚΗ ΑΣΚΗΣΗ                      ΑΙΘ. 8                                       Ε.Σκόρδου</t>
  </si>
  <si>
    <t>ΚΥΡΛΑΚΗΣ ΜΑΡΙΟΣ</t>
  </si>
  <si>
    <t>ΤΕΧΝΙΚΟΣ ΜΑΓΕΙΡΙΚΗΣ ΤΕΧΝΗΣ Δ ΕΞΑΜΗΝΟ</t>
  </si>
  <si>
    <t>1. Τέχνη Μαγειρικής IV</t>
  </si>
  <si>
    <t>1. (3 ώρες)</t>
  </si>
  <si>
    <t>Πέμπτη 03/04/2025 έφυγε τις 3 τελευταίες ώρες από τις 7 ώρες μαθήματος που είχε</t>
  </si>
  <si>
    <t>ΕΡΓΑΣΤΗΡΙΟ ΤΕΧΝΗ ΜΑΓΕΙΡΙΚΗΣ ΙV</t>
  </si>
  <si>
    <t>ΘΕΩΡΙΑ ΤΟΥΡΙΣΤΙΚΟ ΚΑΙ ΑΕΡΟΠΟΡΙΚΟ ΜΑΡΚΕΤΙΝΓΚ</t>
  </si>
  <si>
    <t>ΕΡΓΑΣΤΗΡΙΟ ΖΑΧΑΡΟΠΛΑΣΤΙΚΗΣ ΤΕΧΝΗΣ</t>
  </si>
  <si>
    <t>ΕΡΓΑΣΤΗΡΙΟ ΠΡΑΚΤΙΚΗ ΕΦΑΡΜΟΓΗ ΣΤΗΝ ΕΙΔΙΚΟΤΗΤΑ</t>
  </si>
  <si>
    <t>ΤΕΧΝΙΚΟΣ ΑΡΤΟΠΟΙΙΑΣ - ΖΑΧΑΡΟΠΛΑΣΤΙΚΗΣ 2025 Δ ΕΞΑΜΗΝΟ</t>
  </si>
  <si>
    <t>ΕΡΓΑΣΤΗΡΙΟ ΔΙΑΚΟΣΜΗΤΙΚΗ ΠΑΡΑΣΚΕΥΑΣΜΑΤΩΝ</t>
  </si>
  <si>
    <t>ΘΕΩΡΙΑ ΑΓΓΛΙΚΑ</t>
  </si>
  <si>
    <t xml:space="preserve">ΕΡΓΑΣΤΗΡΙΟ  ΠΕ       </t>
  </si>
  <si>
    <t>ΤΑΞΙΔΙΩΤΙΚΗ ΓΕΩΓΡΑΦΙΑ &amp; ΤΑΞΙΔΙΩΤΙΚΟΙ ΟΔΗΓΟΙ</t>
  </si>
  <si>
    <t xml:space="preserve">ΕΚΠΑΙΔΕΥΤΗΣ </t>
  </si>
  <si>
    <t>ΥΛΙΚΟ ΣΤΟ CLASSTER</t>
  </si>
  <si>
    <t>ΑΠΑΝΤΗΣΗ ΕΡΩΤΗΣΕΩΝ ΑΠΌ ΤΡΑΠΕΖΑ ΘΕΜΑΤΩΝ</t>
  </si>
  <si>
    <t>ΑΝΑΘΕΣΗ ΕΡΓΑΣΙΩΝ ΓΙΑ ΤΟ ΣΠΙΤΙ</t>
  </si>
  <si>
    <t>ΟΠΤΙΚΟΠΟΙΗΣΗ ΘΕΩΡΙΑΣ ΜΕΣΩ ΠΑΡΑΔΕΙΓΜΑΤΩΝ</t>
  </si>
  <si>
    <t>ΤΕΧΝΙΚΟΣ ΑΡΤΟΠΟΙΙΑΣ-ΖΑΧΑΡΟΠΛΑΣΤΙΚΗΣ Β Εξάμηνο</t>
  </si>
  <si>
    <t>Παρασκεύη 16:00-18:30 (3 ώρες)</t>
  </si>
  <si>
    <t>2. ΕΣΩΤΕΡΙΚΗ ΑΡΧΙΤΕΚΤΟΝΙΚΗ ΔΙΑΚΟΣΜΗΣΗ ΚΑΙ ΣΧΕΔΙΑΣΜΟΣ ΑΝΤΙΚΕΙΜΈΝΩΝ 2025Α (Δ Εξάμηνο)</t>
  </si>
  <si>
    <t>8/8</t>
  </si>
  <si>
    <t>Άθροισμα</t>
  </si>
  <si>
    <t>09:00-10:00</t>
  </si>
  <si>
    <t>ΘΕOΔΟΣΙΑ ΜΠΙΤΖΟΥ ΕΣΩΤΕΡΙΚΗ ΑΡΧΙΤΕΚΤΟΝΙΚΗ ΔΙΑΚΟΣΜΙΣΗ ΚΑΙ ΣΧΕΔΙΑΣΜΟΣ ΑΝΤΙΚΕΙΜΕΝΩΝ                    6944632864</t>
  </si>
  <si>
    <t>ΚΟΥΜΑΚΗΣ ΚΩΝΣΤΑΝΤΙΝΟΣ - ΑΡΤΟΠΟΙΙΑ ΖΑΧΑΡΟΠΛΑΣΤΙΚΗ 6974120129</t>
  </si>
  <si>
    <t>GEORGIO MANGANIELLO - ΣΕΜΙΝΑΡΙΟ ΠΙΤΣΑ ΚΑΙ ΙΤΑΛΙΚΕΣ ΓΕΥΣΕΙΣ 6943814066</t>
  </si>
  <si>
    <t>ΒΟΓΙΑΤΖΗΣ ΔΙΟΝΥΣΗΣ    ΑΡΤΟΠΟΙΙΑ ΖΑΧΑΡΟΠΛΑΣΤΙΚΗ 6946076210 &amp; 2810236060</t>
  </si>
  <si>
    <t>ΛΥΡΑΤΖΑΚΗ ΕΛΕΝΗ                ΑΡΧΙΤΕΚΤΩΝ ΜΗΧΑΝΙΚΟΣ                          6955951660</t>
  </si>
  <si>
    <t>ΣΑΒΑ ΜΙΚΑΕΛΑ              ΓΑΛΛΙΚΑ                          6946047218</t>
  </si>
  <si>
    <r>
      <t>ΙΕΚ/ΙΣΑΕΚ:</t>
    </r>
    <r>
      <rPr>
        <sz val="11"/>
        <color theme="1"/>
        <rFont val="Aptos Narrow"/>
        <family val="2"/>
        <charset val="161"/>
        <scheme val="minor"/>
      </rPr>
      <t xml:space="preserve"> .......................................................</t>
    </r>
  </si>
  <si>
    <t>Βλαχάκης Γεώργιος</t>
  </si>
  <si>
    <t>giorgosblachakes994@gmail.com</t>
  </si>
  <si>
    <t>ΚΩΝ/ΝΟΣ Ν.ΜΑΚΡΙΔΑΚΗΣ</t>
  </si>
  <si>
    <t>Μανουσογιαννάκη 5</t>
  </si>
  <si>
    <t>Επειδή είναι τυπικό και δεν δουλέυει κανονικά εκεί πρέπει οπωσδήποτε να κάνουμε έλεγχο?</t>
  </si>
  <si>
    <t>ΣΥΝΟΛΟ ΤΗΛΕΦΩΝΩΝ</t>
  </si>
  <si>
    <t>ΖΑΧΑΡΙΑΔΑΚΗ</t>
  </si>
  <si>
    <t>ΤΡΙΣΔΙΑΣΤΑΤΗ ΨΗΦΙΑΚΗ ΕΚΤΥΠΩΣΗ</t>
  </si>
  <si>
    <t>ΜΕΘΟΔΟΛΟΓΙΑ ΜΕΛΕΤΗΣ ΔΙΑΚΟΣΜΙΣΗΣ</t>
  </si>
  <si>
    <t>ΖΑΧΑΡΟΠΛΑΣΤΙΚΗ ΤΕΧΝΗ</t>
  </si>
  <si>
    <t>ΤΕΜΑΧΙΣΜΟΣ ΚΡΕΑΤΩΝ ΙΙ</t>
  </si>
  <si>
    <t>17:45-18:30                         ΕΡΓΑΣΤΗΡΙΟ                            ΠΡΑΚΤΙΚΗ ΑΣΚΗΣΗ                      ΑΙΘ. 8                                      Ε.Σκόρδου</t>
  </si>
  <si>
    <t>17:30-18:15                 ΕΡΓΑΣΤΗΡΙΟ             Τρισδιάστατη Ψηφιακή Σχεδίαση                                             ΑΙΘ. 3                                       Μπίτζου</t>
  </si>
  <si>
    <t>17:30-18:15                         ΕΡΓΑΣΤΗΡΙΟ                            ΠΡΑΚΤΙΚΗ ΑΣΚΗΣΗ                      ΑΙΘ. 3                                        Μπίτζου</t>
  </si>
  <si>
    <t>17:30-18:15                         ΕΡΓΑΣΤΗΡΙΟ                            ΔΙΑΘΕΜΑΤΙΚΗ                                             ΑΙΘ. 3                                       Μπίτζου</t>
  </si>
  <si>
    <t>17:15-18:00                         ΕΡΓΑΣΤΗΡΙΟ                            ΠΡΑΚΤΙΚΗ ΑΣΚΗΣΗ                      ΑΙΘ. 8                                      Ε.Σκόρδου</t>
  </si>
  <si>
    <t>ΤΕΧΝΙΚΟΣ ΑΡΤΟΠΟΙΙΑΣ ΖΑΧΑΡΟΠΛΑΣΤΙΚΗΣ Δ ΕΞΑΜΗΝΟ</t>
  </si>
  <si>
    <t>1. ΕΡΓΑΣΤΗΡΙΟ ΑΡΤΟΠΟΙΗΤΙΚΗ ΤΕΧΝΗ</t>
  </si>
  <si>
    <t>Παρασκεύη 02/05/2025</t>
  </si>
  <si>
    <t>ΕΡΓΑΣΤΗΡΙΟ ΔΙΑΚΟΣΜΙΤΙΚΗ ΠΑΡΑΣΚΕΥΑΣΜΑΤΩΝ</t>
  </si>
  <si>
    <t>ΘΕΩΡΙΑ ΟΡΓΑΝΩΣΗ ΚΑΙ ΛΕΙΤΟΥΡΓΙΑ ΤΟΥΡΙΣΤΙΚΟΥ ΓΡΑΦΕΙΟΥ ΚΑΙ ΑΕΡΟΠΟΡΙΚΗΣ ΕΤΑΙΡΕΙΑΣ</t>
  </si>
  <si>
    <t>ΘΕΩΡΙΑ ΑΕΡΟΠΟΡΙΚΟΙ ΝΑΥΛΟΙ</t>
  </si>
  <si>
    <t>BUSINESS ENGLISH AND TOURISM TERMINOLOGY</t>
  </si>
  <si>
    <t>ΤΕΧΝΙΚΟΣ ΜΑΓΕΙΡΙΚΗΣ ΤΕΧΝΗΣ 2025 Δ ΕΞΑΜΗΝΟ</t>
  </si>
  <si>
    <t>ΘΕΩΡΙΑ ΤΕΧΝΗ ΜΑΓΕΙΡΙΚΗΣ ΙV</t>
  </si>
  <si>
    <t>ΕΡΓΑΣΤΗΡΙΟ ΔΙΑΘΕΜΑΤΙΚΗ</t>
  </si>
  <si>
    <t xml:space="preserve">ΟΡΓΑΝΩΣΗ ΚΑΙ ΛΕΙΤΟΥΡΓΙΑ ΤΟΥΡΙΣΤΙΚΟΥ ΓΡΑΦΕΙΟΥ ΚΑΙ ΑΕΡΟΠΟΡΙΚΗΣ ΕΤΑΙΡΕΙΑΣ             </t>
  </si>
  <si>
    <t>ΕΣΩΤΕΡΙΚΗ ΑΡΧΙΤΕΚΤΟΝΙΚΗ ΔΙΑΚΟΣΜΙΣΗ ΚΑΙ ΣΧΕΔΙΑΣΜΟΣ ΑΝΤΙΚΕΙΜΕΝΩΝ Δ ΕΞΑΜΗΝΟ</t>
  </si>
  <si>
    <t>Τρισδιάστατη Ψηφιακή Σχεδίαση- ΕΡΓΑΣΤΗΡΙΟ</t>
  </si>
  <si>
    <t>Μπίτζου</t>
  </si>
  <si>
    <t>ΤΡΙΤΗ 16:45 - 21:00</t>
  </si>
  <si>
    <t>ΌΧΙ</t>
  </si>
  <si>
    <t>ΤΕΧΝΙΚΟΣ ΑΡΤΟΠΟΙΙΑΣ-ΖΑΧΑΡΟΠΛΑΣΤΙΚΗΣ Δ Εξάμηνο</t>
  </si>
  <si>
    <t>Τρίτη 16:00-22:00 (πλασματικό) και Παρασκεύη 18:45-21:15 (10 ώρες)</t>
  </si>
  <si>
    <t>3. ΤΕΧΝΙΚΟΣ ΑΡΤΟΠΟΙΙΑΣ - ΖΑΧΑΡΟΠΛΑΣΤΙΚΗΣ 2025Α (Β ΕΞΑΜΗΝΟ)</t>
  </si>
  <si>
    <t>2/6</t>
  </si>
  <si>
    <t xml:space="preserve">κακή </t>
  </si>
  <si>
    <t>Είναι δίπλα σε κάθε εκπαιδευόμενο οτιδήποτε χρειαστούμε να παρέμβει άμεσα.</t>
  </si>
  <si>
    <t>Είναι πολύ καλή καθηγήτρια με πάρα πολλή θέληση να μας μάθει όσα πιο πολλά μπορεί και κάνει οτιδήποτε περνάει από το χέρι της είτε με σημειώσεις είτε να ψαχτεί από άλλες πηγές. Είναι πολύ κοντά στον εκπαιδευόμενο.</t>
  </si>
  <si>
    <t>ΣΟΦΙΑ ΧΑΡΑ ΑΠΛΑΔΑ - ΑΡΤΟΠΟΙΙΑ ΖΑΧΑΡΟΠΛΑΣΤΙΚΗ 6949455771</t>
  </si>
  <si>
    <r>
      <t>Ειδικότητα:</t>
    </r>
    <r>
      <rPr>
        <sz val="11"/>
        <color theme="1"/>
        <rFont val="Aptos Narrow"/>
        <family val="2"/>
        <charset val="161"/>
        <scheme val="minor"/>
      </rPr>
      <t xml:space="preserve"> .......................................................</t>
    </r>
  </si>
  <si>
    <t>Σμυρνάκη Κωνσταντίνα</t>
  </si>
  <si>
    <t>ΣΟΥΙΣΠΟΡΤ ΗΕLLAS</t>
  </si>
  <si>
    <t>(09:00-13:00)</t>
  </si>
  <si>
    <t>Οδός Γ’, ΒΙ.ΠΕ. Ηρακλείου, Ηράκλειο 716 01</t>
  </si>
  <si>
    <t>carpinteria00@gmail.com</t>
  </si>
  <si>
    <t xml:space="preserve">ΑΤΟΜΑ ΠΟΥ ΔΗΛΩΣΑΝ </t>
  </si>
  <si>
    <t>errikazaha@yahoo.gr</t>
  </si>
  <si>
    <t>ΑΔΑΜΗΣ ΓΕΩΡΓΙΟΣ</t>
  </si>
  <si>
    <t>ΠΡΑΚΤΙΚΗ ΑΣΚΗΣΗ</t>
  </si>
  <si>
    <t>ΑΡΤΟΠΟΙΗΤΙΚΗ ΤΕΧΝΗ</t>
  </si>
  <si>
    <t xml:space="preserve">ΒΑΣΙΚΕΣ ΑΡΧΕΣ ΔΙΑΤΡΟΦΗΣ </t>
  </si>
  <si>
    <t>ΤΕΧΝΗ ΜΑΓΕΙΡΙΚΗΣ IV</t>
  </si>
  <si>
    <t>ΤΟΥΡΙΣΤΙΚΟ ΚΑΙ ΑΕΡΟΠΟΡΙΚΟ ΜΑΡΚΕΤΙΝΓΚ</t>
  </si>
  <si>
    <t>18:45-19:30                         ΕΡΓΑΣΤΗΡΙΟ                            ΠΡΑΚΤΙΚΗ ΑΣΚΗΣΗ                      ΑΙΘ. 8                                      Ε.Σκόρδου</t>
  </si>
  <si>
    <t>18:30-19:15                 ΕΡΓΑΣΤΗΡΙΟ             Τρισδιάστατη Ψηφιακή Σχεδίαση                                             ΑΙΘ. 3                                       Μπίτζου</t>
  </si>
  <si>
    <t>18:30-19:15                         ΕΡΓΑΣΤΗΡΙΟ                            ΠΡΑΚΤΙΚΗ ΑΣΚΗΣΗ                      ΑΙΘ. 3                                                  Μπίτζου</t>
  </si>
  <si>
    <t>18:30-19:15                         ΕΡΓΑΣΤΗΡΙΟ                            ΔΙΑΘΕΜΑΤΙΚΗ                                             ΑΙΘ. 3                                       Μπίτζου</t>
  </si>
  <si>
    <t>18:15-19:00                         ΕΡΓΑΣΤΗΡΙΟ                            ΠΡΑΚΤΙΚΗ ΑΣΚΗΣΗ                      ΑΙΘ. 8                                     Ε.Σκόρδου</t>
  </si>
  <si>
    <t>1. ΑΓΓΛΙΚΑ</t>
  </si>
  <si>
    <t>1. (2 ώρες)</t>
  </si>
  <si>
    <t>ΘΕΩΡΙΑ ΑΝΑΓΕΝΝΗΣΗ ΚΑΙ ΝΕΟΤΕΡΗ ΤΕΧΝΗ</t>
  </si>
  <si>
    <t>ΘΕΩΡΙΑ ΤΑΞΙΔΙΩΤΙΚΗ ΓΕΩΡΓΡΑΦΙΑ &amp; ΤΑΞΙΔΙΩΤΙΚΟΙ ΟΔΗΓΟΙ</t>
  </si>
  <si>
    <t>ΕΡΓΑΣΤΗΡΙΟ ΑΡΤΟΠΟΙΗΤΙΚΗ ΤΕΧΝΗ</t>
  </si>
  <si>
    <t>ΤΕΧΝΙΚΟΣ ΑΡΤΟΠΟΙΙΑΣ - ΖΑΧΑΡΟΠΛΑΣΤΙΚΗΣ 2025 Β ΕΞΑΜΗΝΟ</t>
  </si>
  <si>
    <t>ΕΡΓΑΣΤΗΡΙΟ ΖΑΧΑΡΟΠΛΑΣΤΙΚΗ ΤΕΧΝΗ ΙΙ</t>
  </si>
  <si>
    <t>ΠΡΑΚΤΙΚΗ ΑΣΚΗΣΗ - ΕΡΓΑΣΤΗΡΙΟ</t>
  </si>
  <si>
    <t xml:space="preserve">ΤΡΙΤΗ 21:15-22:00 και ΤΕΤΑΡΤΗ 16:45-19:15 </t>
  </si>
  <si>
    <t>ΕΣΩΤΕΡΙΚΗ ΑΡΧΙΤΕΚΤΟΝΙΚΗ ΔΙΑΚΟΣΜΙΣΗ ΚΑΙ ΣΧΕΔΙΑΣΜΟΣ ΑΝΤΙΚΕΙΜΕΝΩΝ Β Εξάμηνο</t>
  </si>
  <si>
    <t>Δεύτερα 16:45-22:00, Τρίτη 16:45-22:00 και Πέμπτη 16:45-19:15 (15 ώρες)</t>
  </si>
  <si>
    <t xml:space="preserve">Έχει γίνει συνάντηση με τον κ.Καθαράκη με τους σπουδαστές έχει γίνει και αξιολόγηση. Έγινε συνάντηση με τον κύριο Καθαράκη και την κυρία Ζαχαριαδάκη και θα έχει τελικά τα 2 από τα  5 μαθήματα. </t>
  </si>
  <si>
    <t>4. ΤΕΧΝΙΚΟΣ ΑΡΤΟΠΟΙΙΑΣ - ΖΑΧΑΡΟΠΛΑΣΤΙΚΗΣ 2025Α (Δ ΕΞΑΜΗΝΟ)</t>
  </si>
  <si>
    <t>5/8</t>
  </si>
  <si>
    <t>Πολύ εξυπηρετικές!!</t>
  </si>
  <si>
    <t>Μια χαρα θα ήταν ωραία να υπάρχαν σχεδιαστήρια .</t>
  </si>
  <si>
    <t>Εντάξει άλλες φορές μπαίνω και δεν έχω θέμα άλλες φορές δεν ανοίγει τίποτα.</t>
  </si>
  <si>
    <t>Πολύ τυπική. Και το μάθημα και οι σημειώσεις πολύ κατατοπιστικές και βοηθητικές και για το διάβασμα στο σπίτι.</t>
  </si>
  <si>
    <t>ΕΜΜΑΝΟΥΗΛ ΜΠΟΥΧΑΛΑΚΗΣ       ΜΑΓΕΙΡΙΚΗ, ΑΡΤΟΠΟΙΙΑ, ΑΕΡΟΜΕΤΑΦΟΡΑ        6998108632</t>
  </si>
  <si>
    <t>ΠΕΛΑ ΜΑΡΚΑΚΗ ΤΡΥΠΑΚΗ - ΣΤΕΛΕΧΟΣ ΥΠΗΡΕΣΙΩΝ ΑΕΡΟΜΕΤΑΦΟΡΑΣ 6948486899</t>
  </si>
  <si>
    <t>ΚΥΡΛΑΚΗΣ ΜΑΡΙΟΣ                ΤΕΧΝΙΚΟΣ ΜΑΓΕΙΡΙΚΗΣ ΤΕΧΝΗΣ 6955515575</t>
  </si>
  <si>
    <t>ΤΟΝΙΑ ΠΕΤΡΟΥΛΑΚΗ                 ΤΕΧΝΙΚΟΣ ΜΑΓΕΙΡΙΚΗΣ ΤΕΧΝΗΣ                          6907054898</t>
  </si>
  <si>
    <r>
      <t>Σπουδαστής/τρια:</t>
    </r>
    <r>
      <rPr>
        <sz val="11"/>
        <color theme="1"/>
        <rFont val="Aptos Narrow"/>
        <family val="2"/>
        <charset val="161"/>
        <scheme val="minor"/>
      </rPr>
      <t xml:space="preserve"> .......................................................</t>
    </r>
  </si>
  <si>
    <t>Κυπραίος Μιχάλης</t>
  </si>
  <si>
    <t>MITSIS LAGUNA ΠΑΝΕΥΡΩΠΑ</t>
  </si>
  <si>
    <t>Ανισσαράς 700 14</t>
  </si>
  <si>
    <t>kukulaki.f.g.a.a@gmail.com</t>
  </si>
  <si>
    <t>ΚΑΛΟΓΕΡΑΚΗΣ</t>
  </si>
  <si>
    <t>kalomich@outlook.com</t>
  </si>
  <si>
    <t>ΘΑ ΜΑΣ ΠΕΙ ΛΕΕΙ ΑΝ ΘΑ ΕΊΝΑΙ ΚΑΙ ΠΟΤΕ  ΓΙΑΤΙ ΣΚΕΥΤΕΤΑΙ ΚΑΙ ΝΑ ΜΗΝ ΣΥΝΕΧΙΣΕΙ ΜΑΖΙ ΜΑΣ</t>
  </si>
  <si>
    <t>ΕΠΙΚΟΙΝΩΝΗΣΑ</t>
  </si>
  <si>
    <t>ΔΙΑΘΕΜΑΤΙΚΗ</t>
  </si>
  <si>
    <t>ΕΛΕΓΧΟΣ ΕΜΠΟΡΕΥΜΑΤΩΝ</t>
  </si>
  <si>
    <t>ΔΙΑΚΟΣΜΗΤΙΚΗ ΠΑΡΑΣΚΕΥΑΣΜΑΤΩΝ</t>
  </si>
  <si>
    <t>ΟΡΓΑΝΩΣΗ ΚΑΙ ΛΕΙΤΟΥΡΓΙΑ ΤΟΥΡΙΣΤΙΚΟΥ ΓΡΑΦΕΙΟΥ ΚΑΙ ΑΕΡΟΠΟΡΙΚΗΣ ΕΤΑΙΡΕΙΑΣ</t>
  </si>
  <si>
    <t>19:30-20:15                         ΕΡΓΑΣΤΗΡΙΟ                            ΠΡΑΚΤΙΚΗ ΑΣΚΗΣΗ                      ΑΙΘ. 8                                       Ε.Σκόρδου</t>
  </si>
  <si>
    <t>19:15-20:00                 ΕΡΓΑΣΤΗΡΙΟ             Τρισδιάστατη Ψηφιακή Σχεδίαση                                             ΑΙΘ. 3                                       Μπίτζου</t>
  </si>
  <si>
    <t>19:30-20:15                         ΕΡΓΑΣΤΗΡΙΟ                            ΠΡΑΚΤΙΚΗ ΑΣΚΗΣΗ                      ΑΙΘ. 3                                                        Αδάμης</t>
  </si>
  <si>
    <t>19:00-19:45                         ΕΡΓΑΣΤΗΡΙΟ                            ΠΡΑΚΤΙΚΗ ΑΣΚΗΣΗ                      ΑΙΘ. 8                                       Ε.Σκόρδου</t>
  </si>
  <si>
    <t>ΠΕΤΡΟΥΛΑΚΗ</t>
  </si>
  <si>
    <t>1. ΤΕΧΝΗ ΜΑΓΕΙΡΙΚΗΣ ΙV ΚΑΙ 2. ΔΙΑΚΟΣΜΗΤΙΚΗ ΠΑΡΑΣΚΕΥΑΣΜΑΤΩΝ</t>
  </si>
  <si>
    <t>1. (1 ώρα), 2. (2 ώρες)</t>
  </si>
  <si>
    <t>Τρίτη 06/05/2025</t>
  </si>
  <si>
    <t>ΕΡΓΑΣΤΗΡΙΟ ΠΡΑΚΤΙΚΗ ΕΦΑΡΜΟΓΗ ΣΕ ΧΩΡΟΥΣ ΚΑΤΟΙΚΙΑΣ</t>
  </si>
  <si>
    <t>ΕΡΓΑΣΤΗΡΙΟ ΜΕΘΟΔΟΛΟΓΙΑ ΜΕΛΕΤΗΣ ΔΙΑΚΟΣΜΗΣΗ</t>
  </si>
  <si>
    <t>ΘΕΩΡΙΑ ΣΤΟΙΧΕΙΑ ΜΑΓΕΙΡΙΚΗΣ ΙΙ</t>
  </si>
  <si>
    <t>ΕΣΩΤΕΡΙΚΗ ΑΡΧΙΤΕΚΤΟΝΙΚΗ ΔΙΑΚΟΣΜΗΣΗ ΚΑΙ ΣΧΕΔΙΑΣΜΟΣ ΑΝΤΙΚΕΙΜΕΝΩΝ 2025 Β ΕΞΑΜΗΝΟ</t>
  </si>
  <si>
    <t xml:space="preserve">ΜΕΤΑΦΟΡΑ ΑΕΡΟΠΟΡΙΚΩΝ ΕΜΠΟΡΕΥΜΑΤΩΝ              </t>
  </si>
  <si>
    <t xml:space="preserve">Αδάμης </t>
  </si>
  <si>
    <t>ΤΕΤΑΡΤΗ 19:30-22:00 και ΠΕΜΠΤΗ 19:30-22:00</t>
  </si>
  <si>
    <t xml:space="preserve">ΔΕΝ ΤΟ ΒΡΗΚΑ </t>
  </si>
  <si>
    <t>ΣΤΕΛΕΧΟΣ ΥΠΗΡΕΣΙΩΝ ΑΕΡΟΜΕΤΑΦΟΡΑΣ Β Εξάμηνο</t>
  </si>
  <si>
    <t>Πέμπτη 16:00-17:30 (2 ώρες)</t>
  </si>
  <si>
    <t>5. ΤΕΧΝΙΚΟΣ ΜΑΓΕΙΡΙΚΗΣ ΤΕΧΝΗΣ - ΑΡΧΙΜΑΓΕΙΡΑΣ 2025Α (Δ ΕΞΑΜΗΝΟ)</t>
  </si>
  <si>
    <t>3/8</t>
  </si>
  <si>
    <t xml:space="preserve">καλή </t>
  </si>
  <si>
    <t>Πολύ ευγενική γραμματεία κοντά σε όλους για την επίλυση οποιουδήποτε προβλήματος και απορίας.</t>
  </si>
  <si>
    <t>Έχει όρεξη να διδάξει, να λύσει απορίες και να βοηθήσει με τον καλύτερο δυνατό τρόπο όλους τους μαθητές ξεχωριστά. Δίνει πολύ και λεπτομερές υλικό σε φωτοτυπίες που βοηθάει και αυτό εξίσου πάρα πολύ. Έχει πολλές γνώσεις και προσπαθεί να μας τις μεταδώσει άλλοτε με επιτυχία άλλοτε να χρειαστεί να τα επαναλάβει δυο τρεις φορές μέχρι να γίνει κατανοητό από όλους .</t>
  </si>
  <si>
    <t>ΤΟΝΙΑ ΠΕΤΡΟΥΛΑΚΗ ΤΕΧΝΙΚΟΣ ΜΑΓΕΙΡΙΚΗΣ ΤΕΧΝΗΣ                          6907054898</t>
  </si>
  <si>
    <t>ΦΥΣΑΡΑΚΗΣ ΔΗΜΗΤΡΗΣ - ΑΡΤΟΠΟΙΙΑ ΖΑΧΑΡΟΠΛΑΣΤΙΚΗ 6976147069</t>
  </si>
  <si>
    <t>ΚΟΝΙΔΑΚΗ ΣΤΕΦΑΝΙΑ   ΖΑΧΑΡΟΠΛΑΣΤΙΚΗ ΚΑΙ ΜΑΓΕΙΡΙΚΗ                            6979971391</t>
  </si>
  <si>
    <t xml:space="preserve">ΕΛΕΥΘΕΡΙΑ ΤΖΑΝΑΚΗ              ΑΡΧΙΤΕΚΤΟΝΙΚΗ                    6973825235      </t>
  </si>
  <si>
    <r>
      <t>Φορέας/Επιχείρηση:</t>
    </r>
    <r>
      <rPr>
        <sz val="11"/>
        <color theme="1"/>
        <rFont val="Aptos Narrow"/>
        <family val="2"/>
        <charset val="161"/>
        <scheme val="minor"/>
      </rPr>
      <t xml:space="preserve"> .......................................................</t>
    </r>
  </si>
  <si>
    <t xml:space="preserve"> Παρασύρη Παρασκευή - Αγγελική</t>
  </si>
  <si>
    <t>vikiparasiri@gmail.com</t>
  </si>
  <si>
    <t>ΑΡΤΟΠΟΙΗΤΙΚΗ ΒΟΓΙΑΤΖΗΣ</t>
  </si>
  <si>
    <t>ΠΑΠΑΠΕΤΡΟΥ ΓΑΒΑΛΑ 73, 714 09 Ηράκλειο Ηρακλείου</t>
  </si>
  <si>
    <t>gogosakou@gmail.com</t>
  </si>
  <si>
    <t>ΚΟΝΙΔΑΚΗ</t>
  </si>
  <si>
    <t>ΣΤΕΦΑΝΙΑ</t>
  </si>
  <si>
    <t>stephaniekonidaki@yahoo.gr</t>
  </si>
  <si>
    <t xml:space="preserve">ΜΕΛΕΣΣΑΝΑΚΗΣ </t>
  </si>
  <si>
    <t xml:space="preserve">ΖΑΧΑΡΟΠΛΑΣΤΙΚΗ ΤΕΧΝΗ ΙΙ </t>
  </si>
  <si>
    <t>20:30-21:15                         ΕΡΓΑΣΤΗΡΙΟ                            ΠΡΑΚΤΙΚΗ ΑΣΚΗΣΗ                      ΑΙΘ. 8                                      Ε.Σκόρδου</t>
  </si>
  <si>
    <t>20:15-21:00                 ΕΡΓΑΣΤΗΡΙΟ             Τρισδιάστατη Ψηφιακή Σχεδίαση                                             ΑΙΘ. 3                                       Μπίτζου</t>
  </si>
  <si>
    <t>20:30-21:15                         ΕΡΓΑΣΤΗΡΙΟ                            ΠΡΑΚΤΙΚΗ ΑΣΚΗΣΗ                      ΑΙΘ. 3                                                         Αδάμης</t>
  </si>
  <si>
    <t>20:00-20:45                         ΕΡΓΑΣΤΗΡΙΟ                            ΠΡΑΚΤΙΚΗ ΑΣΚΗΣΗ                      ΑΙΘ. 8                                      Ε.Σκόρδου</t>
  </si>
  <si>
    <t>1. ΤΕΜΑΧΙΣΜΟΣ ΚΡΕΑΤΩΝ ΙΙ 2. ΤΕΧΝΗ ΜΑΓΕΙΡΙΚΗΣ ΙV</t>
  </si>
  <si>
    <t>1. (2 ώρες), 3 (5 ώρες)</t>
  </si>
  <si>
    <t>Πέμπτη 08/05/2025</t>
  </si>
  <si>
    <t>ΕΡΓΑΣΤΗΡΙΟ ΠΡΑΚΤΙΚΗ ΑΣΚΗΣΗ</t>
  </si>
  <si>
    <t>ΘΕΩΡΙΑ ΒΑΣΙΚΕΣ ΑΡΧΕΣ ΔΙΑΚΡΟΦΗΣ</t>
  </si>
  <si>
    <t>ΕΡΓΑΣΤΗΡΙΟ ΣΤΟΙΧΕΙΑ ΜΑΓΕΙΡΙΚΗΣ ΙΙ</t>
  </si>
  <si>
    <t>ΕΣΩΤΕΡΙΚΗ ΑΡΧΙΤΕΚΤΟΝΙΚΗ ΔΙΑΚΟΣΜΗΣΗ ΚΑΙ ΣΧΕΔΙΑΣΜΟΣ ΑΝΤΙΚΕΙΜΕΝΩΝ 2025 Δ ΕΞΑΜΗΝΟ</t>
  </si>
  <si>
    <t>ΕΡΓΑΣΤΗΡΙΟ ΖΑΧΑΡΟΠΛΑΣΤΙΚΗ ΤΕΧΝΗ</t>
  </si>
  <si>
    <t xml:space="preserve">                 </t>
  </si>
  <si>
    <t>ΔΙΑΘΕΜΑΤΙΚΗ - ΕΡΓΑΣΤΗΡΙΟ</t>
  </si>
  <si>
    <t xml:space="preserve">ΠΕΜΠΤΗ 16:45-19:15 </t>
  </si>
  <si>
    <t>1. ΤΕΧΝΙΚΟΣ ΜΑΓΕΙΡΙΚΗΣ ΤΕΧΝΗΣ - ΑΡΧΙΜΑΓΕΙΡΑΣ Δ Εξάμηνο                                                 2. ΤΕΧΝΙΚΟΣ ΑΡΤΟΠΟΙΙΑΣ-ΖΑΧΑΡΟΠΛΑΣΤΙΚΗΣ Β+Δ Εξάμηνο</t>
  </si>
  <si>
    <t>1. Τετάρτη 19:30-21:15  2. Τετάρτη 17:30-19:00, και Τετάρτη 19:30-21:15, Πέμπτη 17:00-18:30 (8 ώρες)</t>
  </si>
  <si>
    <t>6. ΣΤΕΛΕΧΟΣ ΥΠΗΡΕΣΙΩΝ ΑΕΡΟΜΕΤΑΦΟΡΑΣ 2025Α (Β ΕΞΑΜΗΝΟ)</t>
  </si>
  <si>
    <t xml:space="preserve">πολύ καλή </t>
  </si>
  <si>
    <t>13:30-14:30</t>
  </si>
  <si>
    <r>
      <t>Υπεύθυνος Φορέα:</t>
    </r>
    <r>
      <rPr>
        <sz val="11"/>
        <color theme="1"/>
        <rFont val="Aptos Narrow"/>
        <family val="2"/>
        <charset val="161"/>
        <scheme val="minor"/>
      </rPr>
      <t xml:space="preserve"> .......................................................</t>
    </r>
  </si>
  <si>
    <t>Σακουλάκη Γεωργία</t>
  </si>
  <si>
    <t>ΣΗΦΑΚΗ</t>
  </si>
  <si>
    <t>(9:00-2:00)</t>
  </si>
  <si>
    <t xml:space="preserve"> Στεργιογιάννη 60, Ηράκλειο 713 05</t>
  </si>
  <si>
    <t>θα λείπει η Σηφάκη και γυρνάει Σεπτέμβριο</t>
  </si>
  <si>
    <t>sitormarina@gmail.com</t>
  </si>
  <si>
    <t>ΠΕΜΠΤΗ ΚΑΙ ΠΑΡΑΣΚΕΥΗ 10 ΚΑΙ 11 ΑΠΡΙΛΙΟΥ 2025</t>
  </si>
  <si>
    <t xml:space="preserve">ΣΤΟΙΧΕΙΑ ΜΑΓΕΙΡΙΚΗΣ ΙΙ </t>
  </si>
  <si>
    <t>ΑΕΡΟΠΟΡΙΚΟ ΔΙΚΑΙΟ ΚΑΙ ΔΙΕΘΝΕΣ ΣΧΕΣΕΙΣ</t>
  </si>
  <si>
    <t>21:15-22:00                         ΕΡΓΑΣΤΗΡΙΟ                            ΠΡΑΚΤΙΚΗ ΑΣΚΗΣΗ                      ΑΙΘ. 3                                       Μπίτζου</t>
  </si>
  <si>
    <t>21:15-22:00                         ΕΡΓΑΣΤΗΡΙΟ                            ΠΡΑΚΤΙΚΗ ΑΣΚΗΣΗ                      ΑΙΘ. 3                                                Αδάμης</t>
  </si>
  <si>
    <t>21:15-22:00                         ΕΡΓΑΣΤΗΡΙΟ                            ΠΡΑΚΤΙΚΗ ΑΣΚΗΣΗ                      ΑΙΘ. 3                                                  Αδάμης</t>
  </si>
  <si>
    <t xml:space="preserve">ΒΟΓΙΑΤΖΗΣ ΔΙΟΝΥΣΗΣ </t>
  </si>
  <si>
    <t>Παρασκεύη 23/05/2025</t>
  </si>
  <si>
    <t>ΕΡΓΑΣΤΗΡΙΟ ΠΕ</t>
  </si>
  <si>
    <t>ΘΕΩΡΙΑ ΓΑΛΛΙΚΑ ΙΙ</t>
  </si>
  <si>
    <t>Σκόρδου</t>
  </si>
  <si>
    <t>ΠΑΡΑΣΚΕΥΗ 16:30-20:45</t>
  </si>
  <si>
    <t>Πέμπτη 16:00-22:00 και Παρασκεύη 18:45-22:00 (11 ώρες)</t>
  </si>
  <si>
    <t>Πολύ ευγενική εκπαιδευτικός, με όρεξη και πάθος για την δουλειά της. Καταβάλει το καλύτερο δυνατόν για να μας μεταφέρει την γνώση και είναι διπλα μας σε ότι επιπλέον χρειαστούμε για την καλύτερη δυνατή κατανόηση και την επίλυση των δυσκολιών που προκύπτουν.</t>
  </si>
  <si>
    <t>16:00-17:00</t>
  </si>
  <si>
    <t>ΝΕΟΝΑΚΗ ΜΑΡΙΝΑ               ΤΕΧΝΙΚΟΣ ΑΡΤΟΠΟΙΙΑΣ ΖΑΧΑΡΟΠΛΑΣΤΙΚΗΣ                                              6972089035</t>
  </si>
  <si>
    <r>
      <t>Ημερομηνία Επίσκεψης:</t>
    </r>
    <r>
      <rPr>
        <sz val="11"/>
        <color theme="1"/>
        <rFont val="Aptos Narrow"/>
        <family val="2"/>
        <charset val="161"/>
        <scheme val="minor"/>
      </rPr>
      <t xml:space="preserve"> .... / .... / ..........</t>
    </r>
  </si>
  <si>
    <t xml:space="preserve">Φουναριωτάκη Μαρίνα </t>
  </si>
  <si>
    <t>marinafounargiotaki10@gmail.com</t>
  </si>
  <si>
    <t>ΠΑΝΘΕΩΝ</t>
  </si>
  <si>
    <t>1ο χλμ. Αρκαλοχωρίου - Καστελίου  703 00 Αρκαλοχώρι Ηρακλείου</t>
  </si>
  <si>
    <t>πρέπει να κάνουμε πρακτική εφόσων είναι τυπικό το θέμα?</t>
  </si>
  <si>
    <t>3 ΩΡΕΣ ΤΗ ΠΕΜΠΤΗ 3 ΑΠΡΙΛΙΟΥ</t>
  </si>
  <si>
    <t>ΔΙΣΔΙΑΣΤΑΤΗ ΨΗΦΙΑΚΗ ΕΚΤΥΠΩΣΗ</t>
  </si>
  <si>
    <t xml:space="preserve">ΠΡΑΚΤΙΚΗ ΑΣΚΗΣΗ                                                                </t>
  </si>
  <si>
    <t>ΕΣΩΤΕΡΙΚΗ ΑΡΧΙΤΕΚΤΟΝΙΚΗ ΔΙΑΚΟΣΜΗΣΗ ΚΑΙ ΣΧΕΔΙΣΜΟΣ ΑΝΤΙΚΕΙΜΕΝΩΝ Β ΕΞΑΜΗΝΟ</t>
  </si>
  <si>
    <t>ΤΟΝΙΑ ΠΕΤΡΟΥΛΑΚΗ</t>
  </si>
  <si>
    <t>1. ΤΕΧΝΗ ΜΑΓΕΙΡΙΚΗΣ IV</t>
  </si>
  <si>
    <t>1. (7 ώρες)</t>
  </si>
  <si>
    <t>Τρίτη 21/05/2025</t>
  </si>
  <si>
    <t>ΔΙΣΔΙΑΣΤΑΤΗ ΨΗΦΙΑΚΗ ΣΧΕΔΙΑΣΗ</t>
  </si>
  <si>
    <t>ΤΡΙΣΔΙΑΣΤΑΤΗ ΔΙΑΚΟΣΜΙΤΙΚΗ ΑΠΕΙΚΟΝΙΣΗ</t>
  </si>
  <si>
    <t>ΘΕΩΡΙΑ ΒΑΣΙΚΕΣ ΑΡΧΕΣ ΔΙΑΤΡΟΦΗΣ </t>
  </si>
  <si>
    <t>Μεθοδολογία Μελέτης Διακόσμισης - ΕΡΓΑΣΤΗΡΙΟ</t>
  </si>
  <si>
    <t>ΔΕΥΤΕΡΑ 17:00-18:30</t>
  </si>
  <si>
    <t>ΤΕΧΝΙΚΟΣ ΜΑΓΕΙΡΙΚΗΣ ΤΕΧΝΗΣ - ΑΡΧΙΜΑΓΕΙΡΑΣ Δ Εξάμηνο</t>
  </si>
  <si>
    <t>Δεύτερα 16:00-22:00 και Πέμπτη 16:00-22:00 (14 ώρες)</t>
  </si>
  <si>
    <t>Η κυρία Θεοδοσία προσπαθεί να μας μεταφωσει τις γνώσεις της. Μας καλύπτει με σημειώσεις . Αυτο που θα ηθελα προσωπικά λιγο περισσότερο επανάληψη .</t>
  </si>
  <si>
    <t>17:30-18:30</t>
  </si>
  <si>
    <t>ΡΕΠΑΝΑΚΗ ΔΕΣΠΟΙΝΑ  ΣΤΕΛΕΧΟΣ ΥΠΗΡΕΣΙΩΝ ΑΕΡΟΜΕΤΑΦΟΡΑΣ 6937037501</t>
  </si>
  <si>
    <r>
      <t>Ώρα:</t>
    </r>
    <r>
      <rPr>
        <sz val="11"/>
        <color theme="1"/>
        <rFont val="Aptos Narrow"/>
        <family val="2"/>
        <charset val="161"/>
        <scheme val="minor"/>
      </rPr>
      <t xml:space="preserve"> ....... – .......</t>
    </r>
  </si>
  <si>
    <t xml:space="preserve"> Σιτορέγκο Μαρίνα</t>
  </si>
  <si>
    <t>ΔΑΒΑΚΗ</t>
  </si>
  <si>
    <t>Δευτέρα 10-2, Τρίτη  5-9, Τετάρτη 10-2, Πέμπτη. 5-9, Παρασκευή 10-2</t>
  </si>
  <si>
    <t>Λεωφόρος Κνωσού 176, Ηράκλειο, 71409</t>
  </si>
  <si>
    <r>
      <t xml:space="preserve">ΕΣΩΤΕΡΙΚΗ ΑΡΧΙΤΕΚΤΟΝΙΚΗ ΔΙΑΚΟΣΜΙΣΗ ΚΑΙ ΣΧΕΔΙΑΣΜΟΣ ΑΝΤΙΚΕΙΜΕΝΩΝ </t>
    </r>
    <r>
      <rPr>
        <b/>
        <sz val="11"/>
        <color theme="1"/>
        <rFont val="Aptos Narrow"/>
        <family val="2"/>
        <scheme val="minor"/>
      </rPr>
      <t>Β ΕΞΑΜΗΝΟ</t>
    </r>
  </si>
  <si>
    <t>ΔΙΑΚ-24Β</t>
  </si>
  <si>
    <t>Β1157-1 (Β1)</t>
  </si>
  <si>
    <t>ΜΩΥΣΑΚΗΣ</t>
  </si>
  <si>
    <t>ΑΕΡΟΠΟΡΙΚΟΙ ΝΑΥΛΟΙ</t>
  </si>
  <si>
    <t>16:45-17:30                                    ΘΕΩΡΙΑ                                 Αναγέννηση και Νεότερη Τέχνη                                             ΑΙΘ. 8                                      Ζαχαριαδάκη</t>
  </si>
  <si>
    <t>16:45-17:30                 ΕΡΓΑΣΤΗΡΙΟ             Μεθοδολογία Μελέτης Διακόσμησης                                            ΑΙΘ. 8                                       Μπίτζου</t>
  </si>
  <si>
    <t>16:45-17:30                                      ΘΕΩΡΙΑ                                                     Παράγωγα Υλικά                                             ΑΙΘ. 8                                       Ζαχαριαδάκη</t>
  </si>
  <si>
    <t>17:00-17:45                         ΕΡΓΑΣΤΗΡΙΟ                            Δισδιάστατη Ψηφιακή Εκτύπωση                      ΑΙΘ. 3                                                        Μπίζου</t>
  </si>
  <si>
    <r>
      <rPr>
        <b/>
        <sz val="11"/>
        <color theme="1"/>
        <rFont val="Aptos Narrow"/>
        <family val="2"/>
        <scheme val="minor"/>
      </rPr>
      <t>1</t>
    </r>
    <r>
      <rPr>
        <sz val="11"/>
        <color theme="1"/>
        <rFont val="Aptos Narrow"/>
        <family val="2"/>
        <charset val="161"/>
        <scheme val="minor"/>
      </rPr>
      <t xml:space="preserve">. ΘΕΩΡΙΑ ΑΝΑΓΕΝΝΗΣΗ ΚΑΙ ΝΕΟΤΕΡΗ ΤΕΧΝΗ </t>
    </r>
    <r>
      <rPr>
        <b/>
        <sz val="11"/>
        <color theme="1"/>
        <rFont val="Aptos Narrow"/>
        <family val="2"/>
        <scheme val="minor"/>
      </rPr>
      <t>2</t>
    </r>
    <r>
      <rPr>
        <sz val="11"/>
        <color theme="1"/>
        <rFont val="Aptos Narrow"/>
        <family val="2"/>
        <charset val="161"/>
        <scheme val="minor"/>
      </rPr>
      <t>. ΕΡΓΑΣΤΗΡΙΟ ΠΡΑΚΤΙΚΗ ΕΦΑΡΜΟΓΗ ΣΕ ΧΩΡΟΥΣ ΚΑΤΟΙΚΙΑΣ</t>
    </r>
    <r>
      <rPr>
        <b/>
        <sz val="11"/>
        <color theme="1"/>
        <rFont val="Aptos Narrow"/>
        <family val="2"/>
        <scheme val="minor"/>
      </rPr>
      <t xml:space="preserve"> 3</t>
    </r>
    <r>
      <rPr>
        <sz val="11"/>
        <color theme="1"/>
        <rFont val="Aptos Narrow"/>
        <family val="2"/>
        <charset val="161"/>
        <scheme val="minor"/>
      </rPr>
      <t>. ΕΡΓΑΣΤΗΡΙΟ ΜΕΘΟΔΟΛΟΓΙΑ ΜΕΛΕΤΗΣ ΔΙΑΚΟΣΜΙΣΗΣ</t>
    </r>
    <r>
      <rPr>
        <b/>
        <sz val="11"/>
        <color theme="1"/>
        <rFont val="Aptos Narrow"/>
        <family val="2"/>
        <scheme val="minor"/>
      </rPr>
      <t xml:space="preserve"> 4.</t>
    </r>
    <r>
      <rPr>
        <sz val="11"/>
        <color theme="1"/>
        <rFont val="Aptos Narrow"/>
        <family val="2"/>
        <charset val="161"/>
        <scheme val="minor"/>
      </rPr>
      <t xml:space="preserve"> ΔΟΜΙΚΑ ΣΤΟΙΧΕΙΑ ΕΣΩΤΕΡΙΚΩΝ ΧΩΡΩΝ</t>
    </r>
    <r>
      <rPr>
        <b/>
        <sz val="11"/>
        <color theme="1"/>
        <rFont val="Aptos Narrow"/>
        <family val="2"/>
        <scheme val="minor"/>
      </rPr>
      <t xml:space="preserve"> 5</t>
    </r>
    <r>
      <rPr>
        <sz val="11"/>
        <color theme="1"/>
        <rFont val="Aptos Narrow"/>
        <family val="2"/>
        <charset val="161"/>
        <scheme val="minor"/>
      </rPr>
      <t xml:space="preserve">.ΠΑΡΑΓΩΓΑ ΥΛΙΚΑ </t>
    </r>
    <r>
      <rPr>
        <b/>
        <sz val="11"/>
        <color theme="1"/>
        <rFont val="Aptos Narrow"/>
        <family val="2"/>
        <scheme val="minor"/>
      </rPr>
      <t>6</t>
    </r>
    <r>
      <rPr>
        <sz val="11"/>
        <color theme="1"/>
        <rFont val="Aptos Narrow"/>
        <family val="2"/>
        <charset val="161"/>
        <scheme val="minor"/>
      </rPr>
      <t xml:space="preserve">.ΕΡΓΑΣΤΗΡΙΟ ΔΙΣΔΙΑΣΤΑΤΗ ΨΗΦΙΑΚΗ ΣΧΕΔΙΑΣΗ 5. ΕΡΓΑΣΤΗΡΙΟ ΤΡΙΣΔΙΑΣΤΑΤΗ ΔΙΑΚΟΣΜΗΤΙΚΗ ΑΠΕΙΚΟΝΙΣΗ </t>
    </r>
  </si>
  <si>
    <t>16:30-17:15                 ΕΡΓΑΣΤΗΡΙΟ                                    Μεθοδολογία Μελέτης Διακόσμισης                                                                        ΑΙΘ. 8                                      Σκόρδου</t>
  </si>
  <si>
    <t>17:00-17:45                 ΕΡΓΑΣΤΗΡΙΟ                                  Δομικά Στοιχεία Εσωτερικών Χώρων                                              ΑΙΘ. 8                                       Ζαχαριαδάκη</t>
  </si>
  <si>
    <t>ΘΕΩΡΙΑ ΕΛΕΓΧΟΣ ΕΜΠΟΡΕΥΜΑΤΩΝ</t>
  </si>
  <si>
    <t>Πρακτική Εφαρμογή σε Χώρους Κατοικίας - ΕΡΓΑΣΤΗΡΙΟ</t>
  </si>
  <si>
    <t>ΔΕΥΤΕΡΑ 18:45-22:00</t>
  </si>
  <si>
    <t>1. ΤΕΧΝΙΚΟΣ ΑΡΤΟΠΟΙΙΑΣ-ΖΑΧΑΡΟΠΛΑΣΤΙΚΗΣ Β Εξάμηνο                    2. ΣΤΕΛΕΧΟΣ ΥΠΗΡΕΣΙΩΝ ΑΕΡΟΜΕΤΑΦΟΡΑΣ Β Εξάμηνο</t>
  </si>
  <si>
    <t>1.Τετάρτη 19:30-21:00 και 2.Τρίτη 16:00-22:00 και Παρασκεύη 16:00-20:15 (14 ώρες)</t>
  </si>
  <si>
    <t>ΑΔΑΜΗΣ ΓΙΩΡΓΟΣ</t>
  </si>
  <si>
    <t>Παπαβασιλείου Μαρία</t>
  </si>
  <si>
    <t>maria_papadmm@yahoo.gr</t>
  </si>
  <si>
    <t>COSTIS ΖΑΧΑΡΗ ΚΑΙ ΑΛΕΥΡΙ ΕΠΕ</t>
  </si>
  <si>
    <t xml:space="preserve"> (09:00-15:00) ΕΚΤΟΣ Πέμπτη 28/08</t>
  </si>
  <si>
    <t>Λεωφόρος Κνωσού 110, Ηράκλειο, 71306, ΗΡΑΚΛΕΙΟΥ</t>
  </si>
  <si>
    <t>ΜΕΛΕΣΣΑΝΑΚΗΣ</t>
  </si>
  <si>
    <t>dtsakal@yahoo.gr</t>
  </si>
  <si>
    <t>ΔΕΝ ΤΟ ΣΗΚΩΝΕΙ</t>
  </si>
  <si>
    <t>ΔΕΝ ΘΕΛΕΙ ΝΑ ΕΡΘΕΙ ΚΑΘΟΛΟΥ</t>
  </si>
  <si>
    <t>ΜΕΤΑΦΟΡΑ ΑΕΡΟΠΟΡΙΚΩΝ ΕΜΠΟΡΕΥΜΑΤΩΝ</t>
  </si>
  <si>
    <t>17:45-18:30                 ΕΡΓΑΣΤΗΡΙΟ                              Πρακτική Εφαρμογή σε Χώρους Κατοικίας                                            ΑΙΘ. 8                                      Ζαχαριαδάκη</t>
  </si>
  <si>
    <t>17:30-18:15                 ΕΡΓΑΣΤΗΡΙΟ             Μεθοδολογία Μελέτης Διακόσμησης                                            ΑΙΘ. 8                                       Μπίτζου</t>
  </si>
  <si>
    <t>17:30-18:15                                      ΘΕΩΡΙΑ                                                     Παράγωγα Υλικά                                             ΑΙΘ. 8                                       Ζαχαριαδάκη</t>
  </si>
  <si>
    <t>17:45-18:30                         ΕΡΓΑΣΤΗΡΙΟ                            Δισδιάστατη Ψηφιακή Εκτύπωση                      ΑΙΘ. 3                                                        Μπίζου</t>
  </si>
  <si>
    <t>17:15-18:00                 ΕΡΓΑΣΤΗΡΙΟ                                    Μεθοδολογία Μελέτης Διακόσμισης                                                                        ΑΙΘ. 8                                      Σκόρδου</t>
  </si>
  <si>
    <t>17:45-18:30                 ΕΡΓΑΣΤΗΡΙΟ                                  Δομικά Στοιχεία Εσωτερικών Χώρων                                              ΑΙΘ. 8                                       Ζαχαριαδάκη</t>
  </si>
  <si>
    <t>ΕΡΓΑΣΤΗΡΙΟ Τρισδιάστατη Ψηφιακή Σχεδίαση</t>
  </si>
  <si>
    <t xml:space="preserve"> Δομικά Στοιχεία Εσωτερικών Χώρων</t>
  </si>
  <si>
    <t>Ζαχαριαδάκη</t>
  </si>
  <si>
    <t>ΤΡΙΤΗ 17:00-19:30</t>
  </si>
  <si>
    <t>ΝΑΙ</t>
  </si>
  <si>
    <t>Τετάρτη 17:45-19:15 (2 ώρες)</t>
  </si>
  <si>
    <t>Τα μαθήματα με την κυρία Μπιτζου είναι πολύ ευχάριστα και κατανοητά. Θα ηθελα προσωπικά να την είχα παραπάνω ώρες.</t>
  </si>
  <si>
    <t xml:space="preserve">Σεληθωμάς Γεώργιος </t>
  </si>
  <si>
    <t>selithomasgiorgos@gmail.com</t>
  </si>
  <si>
    <t>ΚΑΡΑΤΖΗ ΒΙΟΜΗΧΑΝΙΚΕΣ ΚΑΙ ΞΕΝΟΔΟΧΕΙΑΚΕΣ ΕΠΙΧΕΙΡΗΣΕΙΣ ΑΕ</t>
  </si>
  <si>
    <t>Χερσόνησος 700 14</t>
  </si>
  <si>
    <t>ΑΝΤΩΝΙΑ</t>
  </si>
  <si>
    <t>18:45-19:30                 ΕΡΓΑΣΤΗΡΙΟ                              Πρακτική Εφαρμογή σε Χώρους Κατοικίας                                            ΑΙΘ. 8                                      Ζαχαριαδάκη</t>
  </si>
  <si>
    <t>18:30-19:15                                    ΘΕΩΡΙΑ                                 Αναγέννηση και Νεότερη Τέχνη                                             ΑΙΘ. 8                                      Ζαχαριαδάκη</t>
  </si>
  <si>
    <t>18:30-19:15                                      ΘΕΩΡΙΑ                                                     Παράγωγα Υλικά                                             ΑΙΘ. 8                                       Ζαχαριαδάκη</t>
  </si>
  <si>
    <t>18:45-19:30                         ΕΡΓΑΣΤΗΡΙΟ                            Τρισδιάστατη Διακοσμητική Απεικόνιση                                         ΑΙΘ. 8                                                        Μπίζου</t>
  </si>
  <si>
    <t>18:15-19:00                 ΕΡΓΑΣΤΗΡΙΟ                              Πρακτική Εφαρμογή σε Χώρους Κατοικίας                                            ΑΙΘ. 8                                      Σκόρδου</t>
  </si>
  <si>
    <t>18:45-19:30                 ΕΡΓΑΣΤΗΡΙΟ                                  Δομικά Στοιχεία Εσωτερικών Χώρων                                              ΑΙΘ. 8                                       Ζαχαριαδάκη</t>
  </si>
  <si>
    <t>ΔΕΥΤΕΡΑ 09/06</t>
  </si>
  <si>
    <t>ΤΡΙΤΗ 10/06</t>
  </si>
  <si>
    <t>ΤΕΤΑΡΤΗ 11/06</t>
  </si>
  <si>
    <t>ΠΕΜΠΤΗ 12/06</t>
  </si>
  <si>
    <t>ΠΑΡΑΣΚΕΥΗ 13/06</t>
  </si>
  <si>
    <t>Αναγέννηση και Νεότερη Τέχνη</t>
  </si>
  <si>
    <t>ΤΕΤΑΡΤΗ 19:15-22:00</t>
  </si>
  <si>
    <t>1. ΕΣΩΤΕΡΙΚΗ ΑΡΧΙΤΕΚΤΟΝΙΚΗ ΔΙΑΚΟΣΜΙΣΗ ΚΑΙ ΣΧΕΔΙΑΣΜΟΣ ΑΝΤΙΚΕΙΜΕΝΩΝ Δ Εξάμηνο 2.ΕΣΩΤΕΡΙΚΗ ΑΡΧΙΤΕΚΤΟΝΙΚΗ ΔΙΑΚΟΣΜΙΣΗ ΚΑΙ ΣΧΕΔΙΑΣΜΟΣ ΑΝΤΙΚΕΙΜΕΝΩΝ Β Εξάμηνο</t>
  </si>
  <si>
    <t>1. Τρίτη 16:45-22:00, Τετάρτη 16:45-19:15 και Πέμπτη 16:45-19:15 και 2. Πέμπτη 19:30-22:00 και Παρασκεύη 17:00-22:00 (21 ώρες)</t>
  </si>
  <si>
    <t>Προσωπικά δεν έχω κανένα πρόβλημα με την γραμματεία.</t>
  </si>
  <si>
    <t>Θα μπορούσαν οι χώροι να ήταν καλύτεροι αλλά για εμένα το ποιο σημαντικό είναι οι διδάσκοντες. Ήρθα για να μάθω από ανθρώπους που αγαπούν αυτό που κάνουν, που γνωρίζουν από διδασκαλία, που εμπνέουν τους μαθητές τους , που είναι συνεπείς στις υποχρεώσεις τους και σέβονται τους μαθητές τους.</t>
  </si>
  <si>
    <t>Δυστυχώς η πλατφόρμα δεν χρησιμοποιείται από τους διδάσκοντες παρά μόνο από την γραμματεία οπότε δεν την χρησιμοποιούμε οι περισσότεροι γιατί δεν υπάρχει υλικό.</t>
  </si>
  <si>
    <t>Τηρεί το ωράριο, υπάρχει επάρκεια σημειώσεων και βοηθάει όσο μπορεί στο να κατανοήσουμε την ύλη.</t>
  </si>
  <si>
    <t>Γρηγοράκη Μαρία</t>
  </si>
  <si>
    <t>ΚΟΜΝΗΝΟΣ ΝΙΚΟΣ</t>
  </si>
  <si>
    <t>Λ.ΙΚΑΡΟΥ 109 &amp; ΒΕΝΤΡΙΣ 1</t>
  </si>
  <si>
    <t>κλειστό λόγω διακοπών και γυρνάνε Σεπτέμβριο</t>
  </si>
  <si>
    <t>ΝΑ ΚΑΛΕΣΩ 15:00 ΤΟΝ ΚΥΡΙΟ ΜΠΟΥΧΑΛΑΚΗ ΝΑ ΜΟΥ ΠΕΙ ΩΡΑ</t>
  </si>
  <si>
    <t>ΡΕΠΑΝΑΚΗ</t>
  </si>
  <si>
    <t>ΔΕΣΠΟΙΝΑ</t>
  </si>
  <si>
    <t>19:30-20:15                 ΕΡΓΑΣΤΗΡΙΟ                              Πρακτική Εφαρμογή σε Χώρους Κατοικίας                                            ΑΙΘ. 8                                      Ζαχαριαδάκη</t>
  </si>
  <si>
    <t>19:30-20:15                 ΕΡΓΑΣΤΗΡΙΟ                                  Δομικά Στοιχεία Εσωτερικών Χώρων                                              ΑΙΘ. 8                                       Ζαχαριαδάκη</t>
  </si>
  <si>
    <t>19:30-20:15                         ΕΡΓΑΣΤΗΡΙΟ                            Δισδιάστατη Ψηφιακή Εκτύπωση                      ΑΙΘ. 3                                                        Μπίζου</t>
  </si>
  <si>
    <t>19:30-20:15                         ΕΡΓΑΣΤΗΡΙΟ                            Τρισδιάστατη Διακοσμητική Απεικόνιση                                         ΑΙΘ. 8                                                        Μπίζου</t>
  </si>
  <si>
    <t>19:00-19:45                 ΕΡΓΑΣΤΗΡΙΟ                              Πρακτική Εφαρμογή σε Χώρους Κατοικίας                                            ΑΙΘ. 8                                      Σκόρδου</t>
  </si>
  <si>
    <t>19:15-20:00                                    ΘΕΩΡΙΑ                                 Αναγέννηση και Νεότερη Τέχνη                                             ΑΙΘ. 8                                      Μπίτζου</t>
  </si>
  <si>
    <t>ΕΡΓΑΣΤΗΡΙΟ Δομικά Στοιχεία Εσωτερικών Χώρων</t>
  </si>
  <si>
    <t xml:space="preserve">ΑΕΡΟΠΟΡΙΚΟ ΔΙΚΑΙΟ ΚΑΙ ΔΙΕΘΝΕΙΣ ΣΧΕΣΕΙΣ    </t>
  </si>
  <si>
    <t>ΕΡΓΑΣΤΗΡΙΟ Δισδιάστατη Ψηφιακή Σχεδίαση</t>
  </si>
  <si>
    <t xml:space="preserve"> Παράγωγα Υλικά  </t>
  </si>
  <si>
    <t>1. ΤΕΧΝΙΚΟΣ ΑΡΤΟΠΟΙΙΑΣ ΖΑΧΑΡΟΠΛΑΣΤΙΚΗΣ Δ Εξάμηνο    2.ΤΕΧΝΙΚΟΣ ΜΑΓΕΙΡΙΚΗΣ ΤΕΧΝΗΣ - ΑΡΧΙΜΑΓΕΙΡΑΣ Δ Εξάμηνο                                                 3. ΣΤΕΛΕΧΟΣ ΥΠΗΡΕΣΙΩΝ ΑΕΡΟΜΕΤΑΦΟΡΑΣ Β Εξάμηνο</t>
  </si>
  <si>
    <t>1. Τετάρτη 17:30-19:00 και Πέμπτη 17:00-18:30 και 2. Τετάρτη 16:00-17:30 και Παρασκεύη 20:30-22:00 (8 ώρες)</t>
  </si>
  <si>
    <t>ΕΣΩΤΕΡΙΚΗ ΑΡΧΙΤΕΚΤΟΝΙΚΗ ΔΙΑΚΟΣΜΗΣΗ ΚΑΙ ΣΧΕΔΙΑΣΜΟΣ ΑΝΤΙΚΕΙΜΈΝΩΝ 2025Α (Δ Εξάμηνο)</t>
  </si>
  <si>
    <t>Η μικρή αίθουσα χρειάζεται αρκετές διορθώσεις.φωτα ,πρίζες,οπτικοακουστικό υλικό,νέα έδρανα</t>
  </si>
  <si>
    <t>ΖΑΧΑΡΙΑΔΑΚΗ ΕΡΡΙΚΑ</t>
  </si>
  <si>
    <t>1. Παρουσία Σπουδαστή</t>
  </si>
  <si>
    <t>moisakisgiannis@gmail.com</t>
  </si>
  <si>
    <t>20:30-21:15                 ΕΡΓΑΣΤΗΡΙΟ                              Πρακτική Εφαρμογή σε Χώρους Κατοικίας                                            ΑΙΘ. 8                                      Ζαχαριαδάκη</t>
  </si>
  <si>
    <t>20:30-21:15                 ΕΡΓΑΣΤΗΡΙΟ                                  Δομικά Στοιχεία Εσωτερικών Χώρων                                              ΑΙΘ. 8                                       Ζαχαριαδάκη</t>
  </si>
  <si>
    <t>20:30-21:15                         ΕΡΓΑΣΤΗΡΙΟ                            Δισδιάστατη Ψηφιακή Εκτύπωση                      ΑΙΘ. 3                                                        Μπίζου</t>
  </si>
  <si>
    <t>20:30-21:15                         ΕΡΓΑΣΤΗΡΙΟ                            Τρισδιάστατη Διακοσμητική Απεικόνιση                                         ΑΙΘ. 8                                                        Μπίζου</t>
  </si>
  <si>
    <t>20:00-20:45                 ΕΡΓΑΣΤΗΡΙΟ                              Πρακτική Εφαρμογή σε Χώρους Κατοικίας                                            ΑΙΘ. 8                                      Σκόρδου</t>
  </si>
  <si>
    <t>20:15-21:00                                    ΘΕΩΡΙΑ                                 Αναγέννηση και Νεότερη Τέχνη                                             ΑΙΘ. 8                                      Μπίτζου</t>
  </si>
  <si>
    <t>ΘΕΩΡΙΑ Παράγωγα Υλικά</t>
  </si>
  <si>
    <t>ΕΡΓΑΣΤΗΡΙΟ Τρισδιάστατη Διακοσμητική Απεικόνιση</t>
  </si>
  <si>
    <t xml:space="preserve"> Δισδιάστατη Ψηφιακή Σχεδιάση - ΕΡΓΑΣΤΗΡΙΟ</t>
  </si>
  <si>
    <t>ΠΕΜΠΤΗ 19:30-22:00 και ΠΑΡΑΣΚΕΥΗ 17:00-18:30</t>
  </si>
  <si>
    <t>ΤΕΧΝΙΚΟΣ ΑΡΤΟΠΟΙΙΑΣ ΖΑΧΑΡΟΠΛΑΣΤΙΚΗΣ Δ Εξάμηνο</t>
  </si>
  <si>
    <t>Δευτέρα 16:00-22:00 (Πλασματικό) και Τετάρτη 17:00-18:30 (10 ώρες)</t>
  </si>
  <si>
    <t>Πριν μιλήσουμε με τον κύριο Κριθαρακη ήταν ένας λόγος να σταματήσω την φοίτηση μου από αυτή την σχολή σκεφτόμενη ότι θα ήταν καλύτερο σε κάποιο δημόσιο ή σε κάποια άλλη ιδιωτική σχολή , με την συμπεριφορά της κυριας Ερρικας και με τον τρόπο που "διδάσκει" με κάνει να αναρωτιέμαι αν εχει τις κατάλληλες γνώσης και να σκέφτομαι ότι είτε προσέρχομαι στα μαθήματα που έχει αναλάβει είτε όχι δεν έχει κάποια διαφορά απλά ότι πετάω τα λεφτά μου άσκοπα!!</t>
  </si>
  <si>
    <t>ΦΡΑΓΗ</t>
  </si>
  <si>
    <t>ΒΟΓΙΑΤΖΗ</t>
  </si>
  <si>
    <t>21:15-22:00                 ΕΡΓΑΣΤΗΡΙΟ                              Πρακτική Εφαρμογή σε Χώρους Κατοικίας                                            ΑΙΘ. 8                                      Ζαχαριαδάκη</t>
  </si>
  <si>
    <t>21:15-22:00                 ΕΡΓΑΣΤΗΡΙΟ                                  Δομικά Στοιχεία Εσωτερικών Χώρων                                              ΑΙΘ. 8                                       Ζαχαριαδάκη</t>
  </si>
  <si>
    <t>21:15-22:00                         ΕΡΓΑΣΤΗΡΙΟ                            Δισδιάστατη Ψηφιακή Εκτύπωση                      ΑΙΘ. 3                                                        Μπίζου</t>
  </si>
  <si>
    <t>21:15-22:00                         ΕΡΓΑΣΤΗΡΙΟ                            Τρισδιάστατη Διακοσμητική Απεικόνιση                                         ΑΙΘ. 8                                                        Μπίζου</t>
  </si>
  <si>
    <t>20:45-21:30              ΕΡΓΑΣΤΗΡΙΟ                              Πρακτική Εφαρμογή σε Χώρους Κατοικίας                                            ΑΙΘ. 8                                      Σκόρδου</t>
  </si>
  <si>
    <t>21:15-22:00                                    ΘΕΩΡΙΑ                                 Αναγέννηση και Νεότερη Τέχνη                                             ΑΙΘ. 8                                      Μπίτζου</t>
  </si>
  <si>
    <t xml:space="preserve">ΘΕΩΡΙΑ ΕΡΓΑΣΤΗΡΙΟ Μεθοδολογία Μελέτης Διακόσμηση </t>
  </si>
  <si>
    <t xml:space="preserve"> Τρισδιάστατη Διακοσμητική Απεικόνιση -ΕΡΓΑΣΤΗΡΙΟ</t>
  </si>
  <si>
    <t>ΠΑΡΑΣΚΕΥΗ 18:45-22:00</t>
  </si>
  <si>
    <t>ΤΕΧΝΙΚΟΣ ΑΡΤΟΠΟΙΙΑΣ ΖΑΧΑΡΟΠΛΑΣΤΙΚΗΣ Β Εξάμηνο</t>
  </si>
  <si>
    <t>Δεν είναι καθόλου σωστή επαγγελματίας, χαρακτηρίζεται η δουλειά της κυρίως από προχειρότητα, δεν δίνει βάση στο να μας μάθει πράγματα, υποκινεί καταστάσεις, δεν φροντίζει για να υπάρχει το κατάλληλο υλικό και σημειώσεις στο εκάστοτε μάθημα, επαναλαμβάνουμε αρκετά πράγματα επειδή κάποια παιδιά μπορεί να έλειπαν σε μαθήματα και δεν προχωράμε ομαλά και τέλος αν δεν έχει ελλείπεις γνώσεις τότε απλά βαριέται!</t>
  </si>
  <si>
    <t>Παρών/παρούσα στο χώρο</t>
  </si>
  <si>
    <t>toniapetroulaki2010@gmail.com</t>
  </si>
  <si>
    <t>ΤΕΧΝΙΚΟΣ ΑΡΤΟΠΟΙΙΑΣ-ΖΑΧΑΡΟΠΛΑΣΤΙΚΗΣ Δ ΕΞΑΜΗΝΟ</t>
  </si>
  <si>
    <t>ΕΡΓΑΣΤΗΡΙΟ
Πρακτική Εφαρμογή σε Χώρους Κατοικίας</t>
  </si>
  <si>
    <t>Εργαστήριο Ζαχαροπλαστικής Τέχνης</t>
  </si>
  <si>
    <t>Μωυσάκης</t>
  </si>
  <si>
    <t>ΤΕΤΑΡΤΗ 19:15-21:45</t>
  </si>
  <si>
    <t>Πέμπτη 19:30-21:00 (2 ώρες)</t>
  </si>
  <si>
    <t>repdebbie@gmail.com</t>
  </si>
  <si>
    <t>Πολλή καλη.</t>
  </si>
  <si>
    <t>Αυτό το εξάμηνο πλήρης χάλια !! Τα μαθήματα που παρακολούθησα ήταν έλειπες από σημειώσεις και χωρίς καλή προετοιμασία της καθηγήτριας από το σπίτι για ερωτήσεις και απορίες στα μαθήματα που παρακολούθησα.</t>
  </si>
  <si>
    <t>ΝΑ ΚΑΛΕΣΩ ΑΥΡΙΟ ΤΡΙΤΗ 29/07/2025 ΣΤΙΣ 13:00 - ΔΕΝ ΤΟ ΣΗΚΩΣΕ ΚΑΙ ΞΑΝΑ ΚΑΛΕΣΑ ΤΕΤΑΡΤΗ ΚΑΙ ΠΑΛΙ ΔΕΝ ΤΟ ΣΗΚΩΣΕ</t>
  </si>
  <si>
    <t>εχει κόψει</t>
  </si>
  <si>
    <t>16:00-16:45                         ΕΡΓΑΣΤΗΡΙΟ                           ΖΑΧΑΡΟΠΛΑΣΤΙΚΗΣ ΤΕΧΝΗΣ                      ΑΙΘ. 7                                                        Μωυσάκης</t>
  </si>
  <si>
    <t>16:00-16:45                         ΕΡΓΑΣΤΗΡΙΟ                           ΑΡΤΟΠΟΙΗΤΙΚΗ ΤΕΧΝΗΣ                      ΑΙΘ. 7                                                        Βογιατζής</t>
  </si>
  <si>
    <r>
      <rPr>
        <b/>
        <sz val="11"/>
        <color theme="1"/>
        <rFont val="Aptos Narrow"/>
        <family val="2"/>
        <scheme val="minor"/>
      </rPr>
      <t>1</t>
    </r>
    <r>
      <rPr>
        <sz val="11"/>
        <color theme="1"/>
        <rFont val="Aptos Narrow"/>
        <family val="2"/>
        <charset val="161"/>
        <scheme val="minor"/>
      </rPr>
      <t xml:space="preserve">. ΕΡΓΑΣΤΗΡΙΟ ΖΑΧΑΡΟΠΛΑΣΤΙΚΗ ΤΕΧΝΗ </t>
    </r>
    <r>
      <rPr>
        <b/>
        <sz val="11"/>
        <color theme="1"/>
        <rFont val="Aptos Narrow"/>
        <family val="2"/>
        <scheme val="minor"/>
      </rPr>
      <t>2</t>
    </r>
    <r>
      <rPr>
        <sz val="11"/>
        <color theme="1"/>
        <rFont val="Aptos Narrow"/>
        <family val="2"/>
        <charset val="161"/>
        <scheme val="minor"/>
      </rPr>
      <t xml:space="preserve">. ΕΡΓΑΣΤΗΡΙΟ ΑΡΤΟΠΟΙΗΤΙΚΗ ΤΕΧΝΗ </t>
    </r>
    <r>
      <rPr>
        <b/>
        <sz val="11"/>
        <color theme="1"/>
        <rFont val="Aptos Narrow"/>
        <family val="2"/>
        <scheme val="minor"/>
      </rPr>
      <t>3</t>
    </r>
    <r>
      <rPr>
        <sz val="11"/>
        <color theme="1"/>
        <rFont val="Aptos Narrow"/>
        <family val="2"/>
        <charset val="161"/>
        <scheme val="minor"/>
      </rPr>
      <t xml:space="preserve">. ΘΕΩΡΙΑ ΓΑΛΛΙΚΑ </t>
    </r>
    <r>
      <rPr>
        <b/>
        <sz val="11"/>
        <color theme="1"/>
        <rFont val="Aptos Narrow"/>
        <family val="2"/>
        <scheme val="minor"/>
      </rPr>
      <t>4</t>
    </r>
    <r>
      <rPr>
        <sz val="11"/>
        <color theme="1"/>
        <rFont val="Aptos Narrow"/>
        <family val="2"/>
        <charset val="161"/>
        <scheme val="minor"/>
      </rPr>
      <t>.ΘΕΩΡΙΑ ΑΓΓΛΙΚΑ</t>
    </r>
  </si>
  <si>
    <t>ΔΕΥΤΕΡΑ 16/06</t>
  </si>
  <si>
    <t>ΤΡΙΤΗ 17/06</t>
  </si>
  <si>
    <t>ΤΕΤΑΡΤΗ 18/06</t>
  </si>
  <si>
    <t>ΠΕΜΠΤΗ 19/06</t>
  </si>
  <si>
    <t>ΠΑΡΑΣΚΕΥΗ 20/06</t>
  </si>
  <si>
    <t>Εργαστήριο Αρτοποιιτικής Τέχνης</t>
  </si>
  <si>
    <t>Βογιατζής</t>
  </si>
  <si>
    <t>ΠΑΡΑΣΚΕΥΗ 18:45-21:15</t>
  </si>
  <si>
    <t>Πέμπτη 17:45-19:15 (2 ώρες)</t>
  </si>
  <si>
    <t>Η αίθουσα των υπολογιστών είναι πολύ καλή αλλά οι αίθουσες της θεωρίας υστερούν. Η μία είναι πολύ μικρή και ο προτζεκτορας κακής ποιότητας.</t>
  </si>
  <si>
    <t>Δεν έχει αρκετή ορεξη να διδάξει και αυτό έχει ως αποτέλεσμα να μην γίνεται σωστό μάθημα όσο αφορά τις λιγες ωρες που γίνεται «μάθημα» με μη επαρκή υλικό πέρα από κάτι διαφάνειες που γίνεται απλά μια ανάγνωση και αυτό το κάνει ακόμα πιο βαρετό. Η έλλειψη φωτοτυπιών και ορισμένων ασκήσεων δεν μας βάζει σε μια σειρά να ασχολούμαστε με κάτι ουσιώδες ώστε και να καταλαβαίνουμε και να είμαστε πιο ενεργοί και δραστήριοι στο μάθημα και να ασχολούμαστε και έξω από την τάξη. Δεν υπάρχει κατανόηση στα παράπονα που της αναφέρουμε για όλα τα παραπάνω με απαντήσεις της που δεν μας καλύπτουν. Κάνει κάποια σχόλια προς τα εμάς για να γίνεται χαβαλές που δεν είναι αποδεκτά από τους περισσότερους με αποτέλεσμα να πέρνουν άλλη τροπή.</t>
  </si>
  <si>
    <t>Απουσία (αιτιολογημένη / μη αιτιολογημένη)</t>
  </si>
  <si>
    <t>ΔΕΝ ΛΕΙΤΟΥΡΓΕΙ</t>
  </si>
  <si>
    <t>ΟΚ EMAIL</t>
  </si>
  <si>
    <t>τα έχω στείλει</t>
  </si>
  <si>
    <t>17:00-17:45                         ΕΡΓΑΣΤΗΡΙΟ                           ΖΑΧΑΡΟΠΛΑΣΤΙΚΗΣ ΤΕΧΝΗΣ                      ΑΙΘ. 7                                                        Μωυσάκης</t>
  </si>
  <si>
    <t>17:00-17:45                         ΕΡΓΑΣΤΗΡΙΟ                           ΑΡΤΟΠΟΙΗΤΙΚΗ ΤΕΧΝΗΣ                      ΑΙΘ. 7                                                        Βογιατζής</t>
  </si>
  <si>
    <t>17:00-17:45                                   ΘΕΩΡΙΑ                                       ΓΑΛΛΙΚΑ                                            ΑΙΘ. 4                                       Κονιδάκη</t>
  </si>
  <si>
    <t>17:00-17:45                                   ΘΕΩΡΙΑ                                       ΑΓΓΛΙΚΑ                                            ΑΙΘ. 4                                       Μπουχαλάκης</t>
  </si>
  <si>
    <t>ΘΕΩΡΙΑ Αναγέννηση και Νεότερη Τέχνη</t>
  </si>
  <si>
    <t>Γαλλικά</t>
  </si>
  <si>
    <t>ΤΕΤΑΡΤΗ 17:30-19:15 και ΠΕΜΠΤΗ 17:00-18:30</t>
  </si>
  <si>
    <t>Δεύτερα 17:00-21:15 ( ώρες)</t>
  </si>
  <si>
    <t>6940617562, sarantoulios4@gmail.com</t>
  </si>
  <si>
    <t>ΘΑ ΓΥΡΙΣΕΙ ΤΕΛΗ ΣΕΠΤΕΜΒΡΗ ΝΑ ΤΗΝ ΡΩΤΗΣΩ ΣΤΟ EMAIL ΠΟΙΟ ΘΑ ΗΤΑΝ ΤΟ ΔΙΑΛΕΙΜΜΑ ΚΑΙ ΑΝ ΜΠΟΡΕΙ ΝΑ ΕΡΘΕΙ ΝΑ ΚΑΝΟΥΜΕ ΤΟ ΓΥΡΙΣΜΑ</t>
  </si>
  <si>
    <t>OK EMAIL</t>
  </si>
  <si>
    <t>17:45-18:30                         ΕΡΓΑΣΤΗΡΙΟ                           ΖΑΧΑΡΟΠΛΑΣΤΙΚΗΣ ΤΕΧΝΗΣ                      ΑΙΘ. 7                                                        Μωυσάκης</t>
  </si>
  <si>
    <t>17:45-18:30                         ΕΡΓΑΣΤΗΡΙΟ                           ΑΡΤΟΠΟΙΗΤΙΚΗ ΤΕΧΝΗΣ                      ΑΙΘ. 7                                                        Βογιατζής</t>
  </si>
  <si>
    <t>17:30-18:15                                   ΘΕΩΡΙΑ                                       ΓΑΛΛΙΚΑ                                            ΑΙΘ. 4                                       Κονιδάκη</t>
  </si>
  <si>
    <t>17:45-18:30                                   ΘΕΩΡΙΑ                                       ΓΑΛΛΙΚΑ                                            ΑΙΘ. 4                                       Κονιδάκη</t>
  </si>
  <si>
    <t>17:45-18:30                                   ΘΕΩΡΙΑ                                       ΑΓΓΛΙΚΑ                                            ΑΙΘ. 4                                       Μπουχαλάκης</t>
  </si>
  <si>
    <t>Αγγλικά</t>
  </si>
  <si>
    <t>Μπουχαλάκης</t>
  </si>
  <si>
    <t>ΠΕΜΠΤΗ 18:45-20:15 και ΠΑΡΑΚΣΕΥΗ 17:00-18:30</t>
  </si>
  <si>
    <t xml:space="preserve"> Τρίτη 15:15-22:00 (8 ώρες)</t>
  </si>
  <si>
    <t>ΤΕΧΝΙΚΟΣ ΑΡΤΟΠΟΙΙΑΣ - ΖΑΧΑΡΟΠΛΑΣΤΙΚΗΣ 2025Α (Β ΕΞΑΜΗΝΟ)</t>
  </si>
  <si>
    <t>Την χαρακτηρίζω ως ακατάλληλη στον τομέα της εκπαίδευσης. Ελλειπή γνώση, καμία προετοιμασία για το μάθημα, ούτε σε υλικό ούτε και σε δραστηριότητες. Μας εχει προκαλέσει πολύ μεγάλη δυσαρέσκεια. Διακρίνεται έντονα η ημιμάθεια και το κυριότερο καμία όρεξη και μεράκι για την δουλειά αυτή. Είναι εκεί μόνο και μόνο για να παίρνει τα χρήματα απ ότι φαίνεται. Τελείως αναξιόπιστη καθώς λέει τόσα ψέματα υποκινωντας κακοβούλως τους μαθητές τόσο μεταξύ τους όσο και με τους άλλους εκπαιδευτικους. Δεν είναι δίπλα στους μαθητές για καμία επίλυση των προβλημάτων τους καθώς μας γεμίζει με ψευδείς ελπίδες ότι θα καλυφθούν τα κενά μας. Έρχεται στο μάθημα υποδύοντας ότι μας κάνει μάθημα και φεύγει. Οριακα της κανουμε και την δουλειά της. Καθως μας στέλνει καποια αρχεία ηλεκτρονικά και μας λεει να τα προωθήσουμε μεταξύ μας. Είναι πασιφανές ότι είναι εκεί μόνο για το χρηματικό της υπόθεσης. Μας έχει καθυστερήσει πολύ στο κομμάτι της επάρκειας των γνώσεων των μαθημάτων που θα έπρεπε να είχαμε διδαχθεί. Επιθυμώ την αμεσότερη λύση και την αποχώρησή της απ το τμήμα μας. Όχι μόνο απ το δικό μας αλλά και γενικά απ την εκπαίδευση καθώς τέτοιου είδους "εκπαιδευτικοί" είναι απολύτως επιβλαβής για την πορεία των εκπαιδευόμενων.</t>
  </si>
  <si>
    <t>18:45-19:30                         ΕΡΓΑΣΤΗΡΙΟ                           ΖΑΧΑΡΟΠΛΑΣΤΙΚΗΣ ΤΕΧΝΗΣ                      ΑΙΘ. 7                                                        Μωυσάκης</t>
  </si>
  <si>
    <t>18:45-19:30                         ΕΡΓΑΣΤΗΡΙΟ                           ΑΡΤΟΠΟΙΗΤΙΚΗ ΤΕΧΝΗΣ                      ΑΙΘ. 7                                                        Βογιατζής</t>
  </si>
  <si>
    <t>18:30-19:15                                   ΘΕΩΡΙΑ                                       ΓΑΛΛΙΚΑ                                            ΑΙΘ. 4                                       Κονιδάκη</t>
  </si>
  <si>
    <t>18:45-19:30                                 ΘΕΩΡΙΑ                                           ΑΓΓΛΙΚΑ                                                 ΑΙΘ. 4                                       Μπουχαλάκης</t>
  </si>
  <si>
    <t>ΤΕΧΝΙΚΟΣ ΑΡΤΟΠΟΙΙΑΣ-ΖΑΧΑΡΟΠΛΑΣΤΙΚΗΣ Β ΕΞΑΜΗΝΟ</t>
  </si>
  <si>
    <t>ΤΕΤΑΡΤΗ 16:00-17:30</t>
  </si>
  <si>
    <t>ΤΕΧΝΙΚΟΣ ΑΡΤΟΠΟΙΙΑΣ - ΖΑΧΑΡΟΠΛΑΣΤΙΚΗΣ 2025Α (Δ ΕΞΑΜΗΝΟ)</t>
  </si>
  <si>
    <t>Αυτό που θα επισημάνω είναι ότι έχει φορτωθεί παραπάνω απ όσα μπορεί και η σχολη θα έπρεπε να έχει φέρει και αλλον καθηγητή για τα μαθήματα που δεν είναι δικά της. Το να έχει πέντε μαθήματα και να μην μπορεί να ανταπεξέλθει δεν φταίει μόνο εκείνη αλλά και η σχολη. Καλό θα ήταν να φέρεται άτομο να μπορεί να αναλάβει αυτά που η Έρρικα δεν μπορεί. Στο μάθημα της πάνω στο δομικό σχέδιο είναι άριστη και έχει μεταδοτικότητα. Αλλά δεν μπορεί ένας καθηγητής να φέρει εις πέρας όλα αυτά. Δεν θα τα ρίξω λοιπόν όλα στην Έρρικα αλλά και η διεύθυνση πρέπει να αναλάβει τις ευθύνες της. Όσον αφορά τις σημειώσεις θα πρέπει να έχουμε σε όλα τα μαθήματα όποτε κάντε αυτό που πρέπει να κάνετε. Δείτε που ευθύνεστε και εσείς σαν διεύθυνση.</t>
  </si>
  <si>
    <t>δεν απάντησαν 11/08/2025</t>
  </si>
  <si>
    <t>19:30-20:15                         ΕΡΓΑΣΤΗΡΙΟ                           ΖΑΧΑΡΟΠΛΑΣΤΙΚΗΣ ΤΕΧΝΗΣ                      ΑΙΘ. 7                                                        Μωυσάκης</t>
  </si>
  <si>
    <t>19:30-20:15                         ΕΡΓΑΣΤΗΡΙΟ                           ΑΡΤΟΠΟΙΗΤΙΚΗ ΤΕΧΝΗΣ                      ΑΙΘ. 7                                                        Βογιατζής</t>
  </si>
  <si>
    <t>19:15-20:00                                 ΕΡΓΑΣΤΗΡΙΟ             Ζαχαροπλαστική Τέχνη                                           ΑΙΘ. 7                                       Μωυσάκης</t>
  </si>
  <si>
    <t>20:00-20:15                                 ΘΕΩΡΙΑ                                           ΑΓΓΛΙΚΑ                                                 ΑΙΘ. 4                                       Μπουχαλάκης</t>
  </si>
  <si>
    <t>Βασικές Αρχές Διατροφής</t>
  </si>
  <si>
    <t>Νεονάκη</t>
  </si>
  <si>
    <t>ΤΕΤΑΡΤΗ 17:45-19:15</t>
  </si>
  <si>
    <t>2. Σχετικότητα Αντικειμένου</t>
  </si>
  <si>
    <t>δεν απάντησαν 11/08/2026</t>
  </si>
  <si>
    <t>20:30-21:15                         ΕΡΓΑΣΤΗΡΙΟ                           ΖΑΧΑΡΟΠΛΑΣΤΙΚΗΣ ΤΕΧΝΗΣ                      ΑΙΘ. 7                                                        Μωυσάκης</t>
  </si>
  <si>
    <t>20:30-21:15                         ΕΡΓΑΣΤΗΡΙΟ                           ΑΡΤΟΠΟΙΗΤΙΚΗ ΤΕΧΝΗΣ                      ΑΙΘ. 7                                                        Βογιατζής</t>
  </si>
  <si>
    <t>20:00-20:45                                 ΕΡΓΑΣΤΗΡΙΟ             Ζαχαροπλαστική Τέχνη                                           ΑΙΘ. 7                                       Μωυσάκης</t>
  </si>
  <si>
    <t xml:space="preserve">Έλεγχος Εμπορευμάτων </t>
  </si>
  <si>
    <t>Μαρκάκη Τρυπάκη</t>
  </si>
  <si>
    <t>ΤΕΤΑΡΤΗ 19:30-20:15</t>
  </si>
  <si>
    <t>Εγώ θα ήθελα να συμπληρώσω περα απο τα χθεσινα που συζητησαμε με τον κυριο καθαρακη ότι δεν βρίσκω κάποιον λόγο να συνεχίσω να έρχομαι στην σχολή από την στιγμή που δεν καταλαβαίνω τα μαθήματα που παραδίδει η κυρία Ζαχαριαδακη. Βλέπω ότι δεν υπάρχει ούτε η υπομονή αλλά ούτε και η όρεξη από μέρος της. Προς Θεού δεν θέλω να προσβάλω κανέναν απλά κάνω παράπονα για το πως παραδίδεται το μάθημα και τι λαμβάνω εγώ μέσα από αυτό.</t>
  </si>
  <si>
    <t>ΓΙΑΚΟΥΜΑΚΗΣ</t>
  </si>
  <si>
    <t>annakotridou@yahoo.gr</t>
  </si>
  <si>
    <r>
      <t>ΤΕΧΝΙΚΟΣ ΑΡΤΟΠΟΙΙΑΣ ΖΑΧΑΡΟΠΛΑΣΤΙΚΗΣ</t>
    </r>
    <r>
      <rPr>
        <b/>
        <sz val="11"/>
        <color theme="1"/>
        <rFont val="Aptos Narrow"/>
        <family val="2"/>
        <scheme val="minor"/>
      </rPr>
      <t xml:space="preserve"> Δ ΕΞΑΜΗΝΟ</t>
    </r>
  </si>
  <si>
    <t>ΑΡΤ-23Β</t>
  </si>
  <si>
    <t>Δ1051-1 (Δ1)</t>
  </si>
  <si>
    <t>δεν απάντησαν 11/08/2027</t>
  </si>
  <si>
    <t>Έστειλα email</t>
  </si>
  <si>
    <t>ν</t>
  </si>
  <si>
    <t>21:15-22:00                         ΕΡΓΑΣΤΗΡΙΟ                           ΖΑΧΑΡΟΠΛΑΣΤΙΚΗΣ ΤΕΧΝΗΣ                      ΑΙΘ. 7                                                        Μωυσάκης</t>
  </si>
  <si>
    <t>21:15-22:00                         ΕΡΓΑΣΤΗΡΙΟ                           ΑΡΤΟΠΟΙΗΤΙΚΗ ΤΕΧΝΗΣ                      ΑΙΘ. 7                                                        Βογιατζής</t>
  </si>
  <si>
    <t>21:00-21:45                                 ΕΡΓΑΣΤΗΡΙΟ             Ζαχαροπλαστική Τέχνη                                           ΑΙΘ. 7                                       Μωυσάκης</t>
  </si>
  <si>
    <t>ΖΑΧΑΡΟΠΛΑΣΤΙΚΗ ΤΕΧΝΗ ΙΙ ΕΡΓΑΣΤΗΡΙΟ</t>
  </si>
  <si>
    <t>Κουμάκης</t>
  </si>
  <si>
    <t>ΠΕΜΠΤΗ 16:00-22:00</t>
  </si>
  <si>
    <t>Δεν υπάρχει καμία διάθεση να διδάξει, βαριέται να κάνει μάθημα, μιλάει για τα προσωπικά της, κατηγορεί τους συναδέλφους της, δεν έχει υλικό να μας δώσει ( εκτός από bdf κάποια βιβλία)δεν μας διδάσκει τις ερωτήσεις της πιστοποίησης γιατί όπως λέει θα αλλαξουν , δεν μας κάνει αναπλήρωση γιατί η ύλη βγαίνει άρα δεν χρειάζεται, λεξιλόγιο απαράδεκτο για καθηγήτρια, επίπεδο μηδέν. Φαίνεται ότι έρχεται χωρίς καμία προετοιμασία για να κάνει μάθημα.</t>
  </si>
  <si>
    <t>Η απασχόληση σχετίζεται με την ειδικότητα</t>
  </si>
  <si>
    <t>eleni75maragkaki@gmail.com</t>
  </si>
  <si>
    <t>δεν απάντησαν 11/08/2028</t>
  </si>
  <si>
    <t xml:space="preserve"> ΣΤΟΙΧΕΙΑ ΜΑΓΕΙΡΙΚΗΣ ΙΙ ΕΡΓΑΣΤΗΡΙΟ</t>
  </si>
  <si>
    <t>Απλαδά</t>
  </si>
  <si>
    <t>ΠΑΡΑΣΚΕΥΗ 16:00-17:30</t>
  </si>
  <si>
    <t>ΤΕΧΝΙΚΟΣ ΜΑΓΕΙΡΙΚΗΣ ΤΕΧΝΗΣ - ΑΡΧΙΜΑΓΕΙΡΑΣ 2025Α (Δ ΕΞΑΜΗΝΟ)</t>
  </si>
  <si>
    <t>16:00-16:45                                         ΘΕΩΡΙΑ                                          ΓΑΛΛΙΚΑ ΙΙ                                        ΑΙΘ. 4                                                        Κονιδάκη</t>
  </si>
  <si>
    <t>16:00-16:45                                         ΘΕΩΡΙΑ                                          ΖΑΧΑΡΟΠΛΑΣΤΙΚΗ ΤΕΧΝΗ ΙΙ                                       ΑΙΘ. 7                                                        Κουμάκης</t>
  </si>
  <si>
    <t>16:00-16:45                                    ΘΕΩΡΙΑ                                            ΣΤΟΙΧΕΙΑ ΜΑΓΕΙΡΙΚΗΣ ΙΙ                      ΑΙΘ. 4                                                        Απλαδά</t>
  </si>
  <si>
    <r>
      <rPr>
        <b/>
        <sz val="11"/>
        <color theme="1"/>
        <rFont val="Aptos Narrow"/>
        <family val="2"/>
        <scheme val="minor"/>
      </rPr>
      <t>1</t>
    </r>
    <r>
      <rPr>
        <sz val="11"/>
        <color theme="1"/>
        <rFont val="Aptos Narrow"/>
        <family val="2"/>
        <scheme val="minor"/>
      </rPr>
      <t>. ΘΕΩΡΙΑ ΓΑΛΛΙΚΑ ΙΙ</t>
    </r>
    <r>
      <rPr>
        <b/>
        <sz val="11"/>
        <color theme="1"/>
        <rFont val="Aptos Narrow"/>
        <family val="2"/>
        <scheme val="minor"/>
      </rPr>
      <t xml:space="preserve"> 2</t>
    </r>
    <r>
      <rPr>
        <sz val="11"/>
        <color theme="1"/>
        <rFont val="Aptos Narrow"/>
        <family val="2"/>
        <scheme val="minor"/>
      </rPr>
      <t>. ΒΑΣΙΚΕΣ ΑΡΧΕΣ ΔΙΑΤΡΟΦΗΣ</t>
    </r>
    <r>
      <rPr>
        <b/>
        <sz val="11"/>
        <color theme="1"/>
        <rFont val="Aptos Narrow"/>
        <family val="2"/>
        <scheme val="minor"/>
      </rPr>
      <t xml:space="preserve"> 3</t>
    </r>
    <r>
      <rPr>
        <sz val="11"/>
        <color theme="1"/>
        <rFont val="Aptos Narrow"/>
        <family val="2"/>
        <scheme val="minor"/>
      </rPr>
      <t>. ΕΛΕΓΧΟΣ ΕΜΠΟΡΕΥΜΑΤΩΝ</t>
    </r>
    <r>
      <rPr>
        <b/>
        <sz val="11"/>
        <color theme="1"/>
        <rFont val="Aptos Narrow"/>
        <family val="2"/>
        <scheme val="minor"/>
      </rPr>
      <t xml:space="preserve"> 4</t>
    </r>
    <r>
      <rPr>
        <sz val="11"/>
        <color theme="1"/>
        <rFont val="Aptos Narrow"/>
        <family val="2"/>
        <scheme val="minor"/>
      </rPr>
      <t xml:space="preserve">. ΘΕΩΡΙΑ ΖΑΧΑΡΟΠΛΑΣΤΙΚΗ ΤΕΧΝΗ ΙΙ </t>
    </r>
    <r>
      <rPr>
        <b/>
        <sz val="11"/>
        <color theme="1"/>
        <rFont val="Aptos Narrow"/>
        <family val="2"/>
        <scheme val="minor"/>
      </rPr>
      <t>5</t>
    </r>
    <r>
      <rPr>
        <sz val="11"/>
        <color theme="1"/>
        <rFont val="Aptos Narrow"/>
        <family val="2"/>
        <scheme val="minor"/>
      </rPr>
      <t xml:space="preserve">. ΕΡΓΑΣΤΗΡΙΟ ΖΑΧΑΡΟΠΛΑΣΤΙΚΗ ΤΕΧΝΗ ΙΙ </t>
    </r>
    <r>
      <rPr>
        <b/>
        <sz val="11"/>
        <color theme="1"/>
        <rFont val="Aptos Narrow"/>
        <family val="2"/>
        <scheme val="minor"/>
      </rPr>
      <t>6</t>
    </r>
    <r>
      <rPr>
        <sz val="11"/>
        <color theme="1"/>
        <rFont val="Aptos Narrow"/>
        <family val="2"/>
        <scheme val="minor"/>
      </rPr>
      <t xml:space="preserve">. ΘΕΩΡΙΑ ΣΤΟΙΧΕΙΑ ΜΑΓΕΙΡΙΚΗΣ ΙΙ </t>
    </r>
    <r>
      <rPr>
        <b/>
        <sz val="11"/>
        <color theme="1"/>
        <rFont val="Aptos Narrow"/>
        <family val="2"/>
        <scheme val="minor"/>
      </rPr>
      <t>7</t>
    </r>
    <r>
      <rPr>
        <sz val="11"/>
        <color theme="1"/>
        <rFont val="Aptos Narrow"/>
        <family val="2"/>
        <scheme val="minor"/>
      </rPr>
      <t>. ΕΡΓΑΣΤΗΡΙΟ ΣΤΟΙΧΕΙΑ ΜΑΓΕΙΡΙΚΗΣ ΙΙ</t>
    </r>
    <r>
      <rPr>
        <b/>
        <sz val="11"/>
        <color theme="1"/>
        <rFont val="Aptos Narrow"/>
        <family val="2"/>
        <scheme val="minor"/>
      </rPr>
      <t xml:space="preserve"> 8.</t>
    </r>
    <r>
      <rPr>
        <sz val="11"/>
        <color theme="1"/>
        <rFont val="Aptos Narrow"/>
        <family val="2"/>
        <scheme val="minor"/>
      </rPr>
      <t xml:space="preserve"> ΕΡΓΑΣΤΗΡΙΟ ΠΕ</t>
    </r>
  </si>
  <si>
    <t>ΕΡΓΑΣΤΗΡΙΟ</t>
  </si>
  <si>
    <t>Ο σπουδαστής εκτελεί βοηθητικά ή άσχετα καθήκοντα</t>
  </si>
  <si>
    <t>16:45-17:30                                         ΘΕΩΡΙΑ                                          ΓΑΛΛΙΚΑ ΙΙ                                        ΑΙΘ. 4                                                        Κονιδάκη</t>
  </si>
  <si>
    <t>16:45-17:30                                         ΘΕΩΡΙΑ                                          ΖΑΧΑΡΟΠΛΑΣΤΙΚΗ ΤΕΧΝΗ ΙΙ                                       ΑΙΘ. 7                                                        Κουμάκης</t>
  </si>
  <si>
    <t>17:00-17:45                                    ΘΕΩΡΙΑ                                            ΣΤΟΙΧΕΙΑ ΜΑΓΕΙΡΙΚΗΣ ΙΙ                      ΑΙΘ. 4                                                        Απλαδά</t>
  </si>
  <si>
    <t>ΣΤΕΛΕΧΟΣ ΥΠΗΡΕΣΙΩΝ ΑΕΡΟΜΕΤΑΦΟΡΑΣ Β ΕΞΑΜΗΝΟ</t>
  </si>
  <si>
    <t>ΤΡΙΤΗ 16:00-18:30</t>
  </si>
  <si>
    <t>perakisg@gmail.com</t>
  </si>
  <si>
    <t>17:45-18:30                                      ΘΕΩΡΙΑ                                               ΒΑΣΙΚΕΣ ΑΡΧΕΣ ΔΙΑΤΡΟΦΗΣ                      ΑΙΘ. 4                                                        Νεονάκη</t>
  </si>
  <si>
    <t>17:45-18:30                                         ΘΕΩΡΙΑ                                          ΖΑΧΑΡΟΠΛΑΣΤΙΚΗ ΤΕΧΝΗ ΙΙ                                       ΑΙΘ. 7                                                        Κουμάκης</t>
  </si>
  <si>
    <t>17:45-18:30                                    ΘΕΩΡΙΑ                                            ΣΤΟΙΧΕΙΑ ΜΑΓΕΙΡΙΚΗΣ ΙΙ                      ΑΙΘ. 4                                                        Απλαδά</t>
  </si>
  <si>
    <t xml:space="preserve">ΤΟΥΡΙΣΤΙΚΟ ΚΑΙ ΑΕΡΟΠΟΡΙΚΟ ΜΑΡΚΕΤΙΝΓΚ </t>
  </si>
  <si>
    <t>ΤΡΙΤΗ 17:45-18:30</t>
  </si>
  <si>
    <t>ΣΤΕΛΕΧΟΣ ΥΠΗΡΕΣΙΩΝ ΑΕΡΟΜΕΤΑΦΟΡΑΣ 2025Α (Β ΕΞΑΜΗΝΟ)</t>
  </si>
  <si>
    <t>Καταπληκτική!!!</t>
  </si>
  <si>
    <t>Σχόλια: ....................................................................</t>
  </si>
  <si>
    <t>18:30-19:15                                      ΘΕΩΡΙΑ                                               ΒΑΣΙΚΕΣ ΑΡΧΕΣ ΔΙΑΤΡΟΦΗΣ                      ΑΙΘ. 4                                                        Νεονάκη</t>
  </si>
  <si>
    <t>18:45-19:30                         ΕΡΓΑΣΤΗΡΙΟ                           ΖΑΧΑΡΟΠΛΑΣΤΙΚΗ ΤΕΧΝΗ ΙΙ                     ΑΙΘ. 7                                                        Κουμάκης</t>
  </si>
  <si>
    <t>18:45-19:30                         ΕΡΓΑΣΤΗΡΙΟ                                               ΠΕ                                                         ΑΙΘ. 7                                                        Βογιατζής</t>
  </si>
  <si>
    <t xml:space="preserve"> ΟΡΓΑΝΩΣΗ ΚΑΙ ΛΕΙΤΟΥΡΓΙΑ ΤΟΥΡΙΣΤΙΚΟΥ ΓΡΑΦΕΙΟΥ ΚΑΙ ΑΕΡΟΠΟΡΙΚΗΣ ΕΤΑΙΡΕΙΑΣ</t>
  </si>
  <si>
    <t>ΤΡΙΤΗ 18:45-20:15</t>
  </si>
  <si>
    <t>Η κα Θεοδοσία είναι πάντα ευρηματική και ενημερωμένη και για κάθε μάθημα μας φέρνει επαρκές σημειώσεις. Αν τύχει κάτι και δεν γνωρίζει ή δεν είναι σίγουρη την επόμενη φορά το έχει ψάξει και μας έχει φέρει την απάντηση. Φαίνεται ότι κάνει πολλή δουλειά εκτός σχολής.</t>
  </si>
  <si>
    <t>manolesspantidakes@gmail.com</t>
  </si>
  <si>
    <t>31 ,01, 07, 08</t>
  </si>
  <si>
    <t>08:00-13:00</t>
  </si>
  <si>
    <t>εως  4</t>
  </si>
  <si>
    <t>19:30-21:00                                      ΕΛΕΓΧΟΣ ΕΜΠΟΡΕΥΜΑΤΩΝ                             ΑΙΘ. 4                                                                                                                 Μαρκάκη Τρυπάκη</t>
  </si>
  <si>
    <t>19:30-20:15                         ΕΡΓΑΣΤΗΡΙΟ                           ΖΑΧΑΡΟΠΛΑΣΤΙΚΗ ΤΕΧΝΗ ΙΙ                     ΑΙΘ. 7                                                        Κουμάκης</t>
  </si>
  <si>
    <t>19:30-20:15                         ΕΡΓΑΣΤΗΡΙΟ                                               ΠΕ                                                         ΑΙΘ. 7                                                        Βογιατζής</t>
  </si>
  <si>
    <t xml:space="preserve">ΤΑΞΙΔΙΩΤΙΚΗ ΓΕΩΓΡΑΦΙΑ &amp; ΤΑΞΙΔΙΩΤΙΚΟΙ ΟΔΗΓΟΙ </t>
  </si>
  <si>
    <t>ΤΡΙΤΗ 20:30-22:00</t>
  </si>
  <si>
    <t>tzortzakistella5@gmail.com</t>
  </si>
  <si>
    <t>01 - 12:00</t>
  </si>
  <si>
    <t>20:15-20:15                                      ΕΛΕΓΧΟΣ ΕΜΠΟΡΕΥΜΑΤΩΝ                             ΑΙΘ. 4                                                                                                                Μαρκάκη Τρυπάκη</t>
  </si>
  <si>
    <t>20:30-21:15                         ΕΡΓΑΣΤΗΡΙΟ                           ΖΑΧΑΡΟΠΛΑΣΤΙΚΗ ΤΕΧΝΗ ΙΙ                     ΑΙΘ. 7                                                        Κουμάκης</t>
  </si>
  <si>
    <t>20:30-21:15                         ΕΡΓΑΣΤΗΡΙΟ                                               ΠΕ                                                         ΑΙΘ. 7                                                        Βογιατζής</t>
  </si>
  <si>
    <t>ΠΕΜΠΤΗ 16:00-17:30</t>
  </si>
  <si>
    <r>
      <t xml:space="preserve">ΤΕΧΝΙΚΟΣ ΑΡΤΟΠΟΙΙΑΣ ΖΑΧΑΡΟΠΛΑΣΤΙΚΗΣ </t>
    </r>
    <r>
      <rPr>
        <b/>
        <sz val="11"/>
        <color theme="1"/>
        <rFont val="Aptos Narrow"/>
        <family val="2"/>
        <scheme val="minor"/>
      </rPr>
      <t>Β ΕΞΑΜΗΝΟ</t>
    </r>
  </si>
  <si>
    <t>ΑΡΤ-24Β</t>
  </si>
  <si>
    <t>Β1105-1 (Β1)</t>
  </si>
  <si>
    <t>21:15-22:00                         ΕΡΓΑΣΤΗΡΙΟ                           ΖΑΧΑΡΟΠΛΑΣΤΙΚΗ ΤΕΧΝΗ ΙΙ                     ΑΙΘ. 7                                                        Κουμάκης</t>
  </si>
  <si>
    <t>21:15-22:00                         ΕΡΓΑΣΤΗΡΙΟ                                               ΠΕ                                                         ΑΙΘ. 7                                                        Βογιατζής</t>
  </si>
  <si>
    <t xml:space="preserve">Σάβα </t>
  </si>
  <si>
    <t>ΠΕΜΠΤΗ 17:45-19:15</t>
  </si>
  <si>
    <t>3. Απόψεις Υπεύθυνου Φορέα</t>
  </si>
  <si>
    <t xml:space="preserve">ΑΕΡΟΠΟΡΙΚΟΙ ΝΑΥΛΟΙ  </t>
  </si>
  <si>
    <t>Ρεπανάκη</t>
  </si>
  <si>
    <t>ΠΕΜΠΤΗ 19:30-21:15</t>
  </si>
  <si>
    <t>16:00-16:45                                    ΘΕΩΡΙΑ                                           ΤΟΥΡΙΣΜΟΣ ΚΑΙ ΑΕΡΟΠΟΡΙΚΗ ΒΙΟΜΗΧΑΝΙΑ                                  ΑΙΘ. 1                                                        Μαρκάκη Τρυπάκη</t>
  </si>
  <si>
    <t>16:00-16:45                                    ΘΕΩΡΙΑ                                           ΑΕΡΟΠΟΡΙΚΟ ΔΙΚΑΙΟ ΚΑΙ ΔΙΕΘΝΕΣ ΣΧΕΣΕΙΣ                                           ΑΙΘ. 1                                                        Καλογεράκης</t>
  </si>
  <si>
    <t>16:00-16:45                                    ΘΕΩΡΙΑ                                          ΜΕΤΑΦΟΡΑ ΑΕΡΟΠΟΡΙΚΩΝ ΕΜΠΟΡΕΥΜΑΤΩΝ                                 ΑΙΘ. 1                                                        Μαρκάκη Τρυπάκη</t>
  </si>
  <si>
    <r>
      <rPr>
        <b/>
        <sz val="11"/>
        <color theme="1"/>
        <rFont val="Aptos Narrow"/>
        <family val="2"/>
        <scheme val="minor"/>
      </rPr>
      <t>1</t>
    </r>
    <r>
      <rPr>
        <sz val="11"/>
        <color theme="1"/>
        <rFont val="Aptos Narrow"/>
        <family val="2"/>
        <charset val="161"/>
        <scheme val="minor"/>
      </rPr>
      <t xml:space="preserve">. ΘΕΩΡΙΑ ΤΟΥΡΙΣΜΟΣ ΚΑΙ ΑΕΡΟΠΟΡΙΚΗ ΒΙΟΜΗΧΑΝΙΑ </t>
    </r>
    <r>
      <rPr>
        <b/>
        <sz val="11"/>
        <color theme="1"/>
        <rFont val="Aptos Narrow"/>
        <family val="2"/>
        <scheme val="minor"/>
      </rPr>
      <t>2</t>
    </r>
    <r>
      <rPr>
        <sz val="11"/>
        <color theme="1"/>
        <rFont val="Aptos Narrow"/>
        <family val="2"/>
        <charset val="161"/>
        <scheme val="minor"/>
      </rPr>
      <t>. ΤΟΥΡΙΣΤΙΚΟ ΚΑΙ ΑΕΡΟΠΟΡΙΚΟ ΜΑΡΚΕΤΙΝΓΚ</t>
    </r>
    <r>
      <rPr>
        <b/>
        <sz val="11"/>
        <color theme="1"/>
        <rFont val="Aptos Narrow"/>
        <family val="2"/>
        <scheme val="minor"/>
      </rPr>
      <t xml:space="preserve"> 3</t>
    </r>
    <r>
      <rPr>
        <sz val="11"/>
        <color theme="1"/>
        <rFont val="Aptos Narrow"/>
        <family val="2"/>
        <charset val="161"/>
        <scheme val="minor"/>
      </rPr>
      <t xml:space="preserve">. ΟΡΓΑΝΩΣΗ ΚΑΙ ΛΕΙΤΟΥΡΓΙΑ ΤΟΥΡΙΣΤΙΚΟΥ ΓΡΑΦΕΙΟΥ ΚΑΙΝ ΑΕΡΟΠΟΡΙΚΗΣ ΕΤΑΙΡΕΙΑΣ </t>
    </r>
    <r>
      <rPr>
        <b/>
        <sz val="11"/>
        <color theme="1"/>
        <rFont val="Aptos Narrow"/>
        <family val="2"/>
        <scheme val="minor"/>
      </rPr>
      <t>4</t>
    </r>
    <r>
      <rPr>
        <sz val="11"/>
        <color theme="1"/>
        <rFont val="Aptos Narrow"/>
        <family val="2"/>
        <charset val="161"/>
        <scheme val="minor"/>
      </rPr>
      <t>. ΤΑΞΙΔΙΩΤΙΚΗ ΓΕΩΓΡΑΦΙΑ &amp; ΤΑΞΙΔΙΟΤΙΚΟΙ ΟΡΓΑΝΙΣΜΟΙ</t>
    </r>
    <r>
      <rPr>
        <b/>
        <sz val="11"/>
        <color theme="1"/>
        <rFont val="Aptos Narrow"/>
        <family val="2"/>
        <scheme val="minor"/>
      </rPr>
      <t xml:space="preserve"> 5</t>
    </r>
    <r>
      <rPr>
        <sz val="11"/>
        <color theme="1"/>
        <rFont val="Aptos Narrow"/>
        <family val="2"/>
        <charset val="161"/>
        <scheme val="minor"/>
      </rPr>
      <t>. ΑΕΡΟΠΟΡΙΚΟ ΔΙΚΑΙΟ ΚΑΙ ΔΙΕΘΝΕΣ ΣΧΕΣΕΙΣ,</t>
    </r>
    <r>
      <rPr>
        <b/>
        <sz val="11"/>
        <color theme="1"/>
        <rFont val="Aptos Narrow"/>
        <family val="2"/>
        <scheme val="minor"/>
      </rPr>
      <t xml:space="preserve"> 6</t>
    </r>
    <r>
      <rPr>
        <sz val="11"/>
        <color theme="1"/>
        <rFont val="Aptos Narrow"/>
        <family val="2"/>
        <charset val="161"/>
        <scheme val="minor"/>
      </rPr>
      <t xml:space="preserve">. ΘΕΩΡΙΑ ΓΑΛΛΙΚΑ 7. ΑΕΡΟΠΟΡΙΚΟΙ ΝΑΥΛΟΙ </t>
    </r>
    <r>
      <rPr>
        <b/>
        <sz val="11"/>
        <color theme="1"/>
        <rFont val="Aptos Narrow"/>
        <family val="2"/>
        <scheme val="minor"/>
      </rPr>
      <t>8</t>
    </r>
    <r>
      <rPr>
        <sz val="11"/>
        <color theme="1"/>
        <rFont val="Aptos Narrow"/>
        <family val="2"/>
        <charset val="161"/>
        <scheme val="minor"/>
      </rPr>
      <t xml:space="preserve">. ΜΕΤΑΦΟΡΑ ΑΕΡΟΠΟΡΙΚΩΝ ΕΜΠΟΡΕΥΜΑΤΩΝ </t>
    </r>
    <r>
      <rPr>
        <b/>
        <sz val="11"/>
        <color theme="1"/>
        <rFont val="Aptos Narrow"/>
        <family val="2"/>
        <scheme val="minor"/>
      </rPr>
      <t>9</t>
    </r>
    <r>
      <rPr>
        <sz val="11"/>
        <color theme="1"/>
        <rFont val="Aptos Narrow"/>
        <family val="2"/>
        <charset val="161"/>
        <scheme val="minor"/>
      </rPr>
      <t xml:space="preserve">. ΠΡΑΚΤΙΚΗ ΕΦΑΡΜΟΓΗ ΣΤΗΝ ΕΙΔΙΚΟΤΗΤΑ </t>
    </r>
    <r>
      <rPr>
        <b/>
        <sz val="11"/>
        <color theme="1"/>
        <rFont val="Aptos Narrow"/>
        <family val="2"/>
        <scheme val="minor"/>
      </rPr>
      <t>10</t>
    </r>
    <r>
      <rPr>
        <sz val="11"/>
        <color theme="1"/>
        <rFont val="Aptos Narrow"/>
        <family val="2"/>
        <charset val="161"/>
        <scheme val="minor"/>
      </rPr>
      <t>. BUSINESS ENGLISH AND TOYRISM TERMINOLOGY</t>
    </r>
  </si>
  <si>
    <t>Ανίκανος για εκπαιδευτικος.</t>
  </si>
  <si>
    <t>Συνεργασία / Επικοινωνία: ✔ Θετική | ✘ Προβλήματα</t>
  </si>
  <si>
    <t>16:45-17:30                                    ΘΕΩΡΙΑ                                           ΤΟΥΡΙΣΜΟΣ ΚΑΙ ΑΕΡΟΠΟΡΙΚΗ ΒΙΟΜΗΧΑΝΙΑ                                  ΑΙΘ. 1                                                        Μαρκάκη Τρυπάκη</t>
  </si>
  <si>
    <t>16:45-17:30                                    ΘΕΩΡΙΑ                                           ΑΕΡΟΠΟΡΙΚΟ ΔΙΚΑΙΟ ΚΑΙ ΔΙΕΘΝΕΣ ΣΧΕΣΕΙΣ                                            ΑΙΘ. 1                                                        Καλογεράκης</t>
  </si>
  <si>
    <t>16:45-17:30                                    ΘΕΩΡΙΑ                                          ΜΕΤΑΦΟΡΑ ΑΕΡΟΠΟΡΙΚΩΝ ΕΜΠΟΡΕΥΜΑΤΩΝ                                 ΑΙΘ. 1                                                        Μαρκάκη Τρυπάκη</t>
  </si>
  <si>
    <t xml:space="preserve"> ΠΡΑΚΤΙΚΗ ΕΦΑΡΜΟΓΗ ΣΤΗΝ ΕΙΔΙΚΟΤΗΤΑ</t>
  </si>
  <si>
    <t>ΠΑΡΑΣΚΕΥΗ 18:30-20:15</t>
  </si>
  <si>
    <t>17:45-18:30                                    ΘΕΩΡΙΑ                                            ΤΟΥΡΙΣΤΙΚΟ ΚΑΙ ΑΕΡΟΠΟΡΙΚΟ ΜΑΡΚΕΤΙΝΓΚ                                     ΑΙΘ. 1                                                        Μαρκάκη Τρυπάκη</t>
  </si>
  <si>
    <t>17:45-18:30                                      ΘΕΩΡΙΑ                                                                                                                                       ΓΑΛΛΙΚΑ                                                          ΑΙΘ. 1                                                        Σάβα</t>
  </si>
  <si>
    <t>17:45-18:30                                      ΕΡΓΑΣΤΗΡΙΟ                                                                                                                                      ΠΡΑΚΤΙΚΗ ΕΦΑΡΜΟΓΗ ΣΤΗΝ ΕΙΔΙΚΟΤΗΤΑ                                                 ΑΙΘ. 1                                                        Μαρκάκη Τρυπάκη</t>
  </si>
  <si>
    <t xml:space="preserve">BUSINESS ENGLISH AND TOURISM TERMINOLOGY </t>
  </si>
  <si>
    <t>ΠΑΡΑΣΚΕΥΗ 20:30-22:00</t>
  </si>
  <si>
    <t>Τήρηση ωραρίου: ✔ Ναι | ✘ Όχι</t>
  </si>
  <si>
    <t>18:45-19:30                                    ΘΕΩΡΙΑ                                            ΟΡΓΑΝΩΣΗ ΚΑΙ ΛΕΙΤΟΥΡΓΙΑ ΤΟΥΡΙΣΤΙΚΟΥ ΓΡΑΦΕΙΟΥ ΚΑΙ ΑΕΡΟΠΟΡΙΚΗΣ ΕΤΑΙΡΕΙΑΣ                                    ΑΙΘ. 1                                                        Μαρκάκη Τρυπάκη</t>
  </si>
  <si>
    <t>18:30-19:15                                      ΘΕΩΡΙΑ                                                                                                                                       ΓΑΛΛΙΚΑ                                                  ΑΙΘ. 1                                                        Σάβα</t>
  </si>
  <si>
    <t>18:30-19:15                                      ΕΡΓΑΣΤΗΡΙΟ                                                                                                                                      ΠΡΑΚΤΙΚΗ ΕΦΑΡΜΟΓΗ ΣΤΗΝ ΕΙΔΙΚΟΤΗΤΑ                                                 ΑΙΘ. 1                                                        Μαρκάκη Τρυπάκη</t>
  </si>
  <si>
    <t>ΤΕΧΝΙΚΟΣ ΜΑΓΕΙΡΙΚΗΣ ΤΕΧΝΗΣ - ΑΡΧΙΜΑΓΕΙΡΑΣ Δ ΕΞΑΜΗΝΟ</t>
  </si>
  <si>
    <t>ΤΕΜΑΧΙΣΜΟΣ ΚΡΕΑΤΩΝ ΙΙ - ΕΡΓΑΣΤΗΡΙΟ</t>
  </si>
  <si>
    <t>ΔΕΥΤΕΡΑ 16:00-17:30 και ΠΑΡΑΣΚΕΥΗ 16:00-17:30</t>
  </si>
  <si>
    <t>ΣΚΟΡΔΟΥ ΕΛΕΝΗ</t>
  </si>
  <si>
    <t>nazefecanji@gmail.com</t>
  </si>
  <si>
    <r>
      <t xml:space="preserve">ΤΕΧΝΙΚΟΣ ΜΑΓΕΙΡΙΚΗΣ ΤΕΧΝΗΣ - ΑΡΧΙΜΑΓΕΙΡΑΣ </t>
    </r>
    <r>
      <rPr>
        <b/>
        <sz val="11"/>
        <color theme="1"/>
        <rFont val="Aptos Narrow"/>
        <family val="2"/>
        <scheme val="minor"/>
      </rPr>
      <t>Δ ΕΞΑΜΗΝΟ</t>
    </r>
  </si>
  <si>
    <t>ΜΑΓ-23Β</t>
  </si>
  <si>
    <t>Δ366-1 (Δ1)</t>
  </si>
  <si>
    <t>19:30-20:15                                    ΘΕΩΡΙΑ                                            ΟΡΓΑΝΩΣΗ ΚΑΙ ΛΕΙΤΟΥΡΓΙΑ ΤΟΥΡΙΣΤΙΚΟΥ ΓΡΑΦΕΙΟΥ ΚΑΙ ΑΕΡΟΠΟΡΙΚΗΣ ΕΤΑΙΡΕΙΑΣ                                    ΑΙΘ. 1                                                        Μαρκάκη Τρυπάκη</t>
  </si>
  <si>
    <t>19:30-20:15                                    ΘΕΩΡΙΑ                                         ΑΕΡΟΠΟΡΙΚΟΙ ΝΑΥΛΟΙ                          ΑΙΘ. 1                                                       Ρεπανάκη</t>
  </si>
  <si>
    <t>19:30-20:15                                      ΕΡΓΑΣΤΗΡΙΟ                                                                                                                                      ΠΡΑΚΤΙΚΗ ΕΦΑΡΜΟΓΗ ΣΤΗΝ ΕΙΔΙΚΟΤΗΤΑ                                                 ΑΙΘ. 1                                                        Μαρκάκη Τρυπάκη</t>
  </si>
  <si>
    <t>TΕΧΝΗ ΜΑΓΕΙΡΙΚΗΣ IV - ΕΡΓΑΣΤΗΡΙΟ</t>
  </si>
  <si>
    <t>ΔΕΥΤΕΡΑ 17:45-20:15 και ΠΑΡΑΣΚΕΥΗ 17:45-22:00</t>
  </si>
  <si>
    <t>Εργατικότητα / Διάθεση: ✔ Ικανοποιητική | ✘ Χρειάζεται βελτίωση</t>
  </si>
  <si>
    <t>Demetreslitses@gmail.com</t>
  </si>
  <si>
    <r>
      <t>ΤΕΧΝΙΚΟΣ ΜΑΓΕΙΡΙΚΗΣ ΤΕΧΝΗΣ - ΑΡΧΙΜΑΓΕΙΡΑΣ</t>
    </r>
    <r>
      <rPr>
        <b/>
        <sz val="11"/>
        <color theme="1"/>
        <rFont val="Aptos Narrow"/>
        <family val="2"/>
        <scheme val="minor"/>
      </rPr>
      <t xml:space="preserve"> Δ ΕΞΑΜΗΝΟ</t>
    </r>
  </si>
  <si>
    <t>20:30-21:15                         ΘΕΩΡΙΑ                                              ΤΑΞΙΔΙΩΤΙΚΗ ΓΕΩΓΡΑΦΙΑ &amp; ΤΑΞΙΔΙΩΤΙΚΟΙ ΟΔΗΓΟΙ                                                     ΑΙΘ. 1                                                        Μαρκάκη Τρυπάκη</t>
  </si>
  <si>
    <t>20:30-21:15                                    ΘΕΩΡΙΑ                                         ΑΕΡΟΠΟΡΙΚΟΙ ΝΑΥΛΟΙ                          ΑΙΘ. 1                                                       Ρεπανάκη</t>
  </si>
  <si>
    <t>20:30-21:15                                    ΘΕΩΡΙΑ                                        BUSINESS ENGLISH AND TOURISM TERMINOLOGY                                     ΑΙΘ. 1                                                       Μπουχαλάκης</t>
  </si>
  <si>
    <t>ΔΙΑΚΟΣΜΙΤΙΚΗ ΠΑΡΑΣΚΕΥΑΣΜΑΤΩΝ - ΕΡΓΑΣΤΗΡΙΟ</t>
  </si>
  <si>
    <t>ΔΕΥΤΕΡΑ 20:30-22:00 και ΤΡΙΤΗ 20:30-22:00</t>
  </si>
  <si>
    <t>ΚΑΛΟΓΕΡΑΚΗΣ ΜΙΧΑΗΛ</t>
  </si>
  <si>
    <t>21:15-22:00                         ΘΕΩΡΙΑ                                              ΤΑΞΙΔΙΩΤΙΚΗ ΓΕΩΓΡΑΦΙΑ &amp; ΤΑΞΙΔΙΩΤΙΚΟΙ ΟΔΗΓΟΙ                                                     ΑΙΘ. 1                                                        Μαρκάκη Τρυπάκη</t>
  </si>
  <si>
    <t>21:15-22:00                                    ΘΕΩΡΙΑ                                        BUSINESS ENGLISH AND TOURISM TERMINOLOGY                                     ΑΙΘ. 1                                                       Μπουχαλάκης</t>
  </si>
  <si>
    <t>ΤΕΧΝΗ ΜΑΓΕΙΡΙΚΗΣ ΙV ΕΡΓΑΣΤΗΡΙΟ</t>
  </si>
  <si>
    <t>Πετρουλάκη</t>
  </si>
  <si>
    <t>ΤΡΙΤΗ 15:15-20:15</t>
  </si>
  <si>
    <t>Ικανή για εκπαίδευση, βελτίωση στην συμπεριφορά της.</t>
  </si>
  <si>
    <t>Άλλα σχόλια: ....................................................................</t>
  </si>
  <si>
    <t>ΔΕΝ ΤΟ ΣΗΚΩΣΕ</t>
  </si>
  <si>
    <t>mmylonakis2004@gmail.com</t>
  </si>
  <si>
    <t>15:15-16:00                                    ΕΡΓΑΣΤΗΡΙΟ                                         ΤΕΧΝΗ ΜΑΓΕΙΡΙΚΗΣ ΙV                                  ΑΙΘ. 6                                                       Πετρουλάκη</t>
  </si>
  <si>
    <r>
      <rPr>
        <b/>
        <sz val="11"/>
        <color theme="1"/>
        <rFont val="Aptos Narrow"/>
        <family val="2"/>
        <scheme val="minor"/>
      </rPr>
      <t>1</t>
    </r>
    <r>
      <rPr>
        <sz val="11"/>
        <color theme="1"/>
        <rFont val="Aptos Narrow"/>
        <family val="2"/>
        <charset val="161"/>
        <scheme val="minor"/>
      </rPr>
      <t>. ΕΡΓΑΣΤΗΡΙΟ ΤΕΜΑΧΙΣΜΩΝ ΚΡΕΑΤΩΝ ΙΙ</t>
    </r>
    <r>
      <rPr>
        <b/>
        <sz val="11"/>
        <color theme="1"/>
        <rFont val="Aptos Narrow"/>
        <family val="2"/>
        <scheme val="minor"/>
      </rPr>
      <t xml:space="preserve"> 2</t>
    </r>
    <r>
      <rPr>
        <sz val="11"/>
        <color theme="1"/>
        <rFont val="Aptos Narrow"/>
        <family val="2"/>
        <charset val="161"/>
        <scheme val="minor"/>
      </rPr>
      <t xml:space="preserve">. ΕΡΓΑΣΤΗΡΙΟ ΤΕΧΝΗ ΜΑΓΕΙΡΙΚΗΣ ΙV </t>
    </r>
    <r>
      <rPr>
        <b/>
        <sz val="11"/>
        <color theme="1"/>
        <rFont val="Aptos Narrow"/>
        <family val="2"/>
        <scheme val="minor"/>
      </rPr>
      <t>3</t>
    </r>
    <r>
      <rPr>
        <sz val="11"/>
        <color theme="1"/>
        <rFont val="Aptos Narrow"/>
        <family val="2"/>
        <charset val="161"/>
        <scheme val="minor"/>
      </rPr>
      <t xml:space="preserve">. ΕΡΓΑΣΤΗΡΙΟ ΔΙΑΚΟΣΜΗΤΙΚΗ ΠΑΡΑΣΚΕΥΑΣΜΑΤΩΝ </t>
    </r>
    <r>
      <rPr>
        <b/>
        <sz val="11"/>
        <color theme="1"/>
        <rFont val="Aptos Narrow"/>
        <family val="2"/>
        <scheme val="minor"/>
      </rPr>
      <t>4</t>
    </r>
    <r>
      <rPr>
        <sz val="11"/>
        <color theme="1"/>
        <rFont val="Aptos Narrow"/>
        <family val="2"/>
        <charset val="161"/>
        <scheme val="minor"/>
      </rPr>
      <t xml:space="preserve">. ΘΕΩΡΙΑ ΑΓΓΛΙΚΑ </t>
    </r>
    <r>
      <rPr>
        <b/>
        <sz val="11"/>
        <color theme="1"/>
        <rFont val="Aptos Narrow"/>
        <family val="2"/>
        <scheme val="minor"/>
      </rPr>
      <t>5</t>
    </r>
    <r>
      <rPr>
        <sz val="11"/>
        <color theme="1"/>
        <rFont val="Aptos Narrow"/>
        <family val="2"/>
        <charset val="161"/>
        <scheme val="minor"/>
      </rPr>
      <t xml:space="preserve">. ΘΕΩΡΙΑ ΤΕΧΝΗ ΜΑΓΕΙΡΙΚΗΣ ΙV </t>
    </r>
    <r>
      <rPr>
        <b/>
        <sz val="11"/>
        <color theme="1"/>
        <rFont val="Aptos Narrow"/>
        <family val="2"/>
        <scheme val="minor"/>
      </rPr>
      <t>6</t>
    </r>
    <r>
      <rPr>
        <sz val="11"/>
        <color theme="1"/>
        <rFont val="Aptos Narrow"/>
        <family val="2"/>
        <charset val="161"/>
        <scheme val="minor"/>
      </rPr>
      <t>. ΘΕΩΡΙΑ ΓΑΛΛΙΚΑ</t>
    </r>
  </si>
  <si>
    <t xml:space="preserve">TΕΧΝΗ ΜΑΓΕΙΡΙΚΗΣ IV </t>
  </si>
  <si>
    <t>Μελεσσανάκης</t>
  </si>
  <si>
    <t>ΤΑΤΑΡΗΣ</t>
  </si>
  <si>
    <t>ΕΛΕΥΘΕΡΙΟΣ</t>
  </si>
  <si>
    <t>tataris2@yahoo.gr</t>
  </si>
  <si>
    <t>16:00-16:45                                    ΕΡΓΑΣΤΗΡΙΟ                                           ΤΕΜΑΧΙΣΜΟΣ ΚΡΕΑΤΩΝ ΙΙ                                 ΑΙΘ. 6                                                        Κυρλάκης</t>
  </si>
  <si>
    <t>16:00-16:45                                    ΕΡΓΑΣΤΗΡΙΟ                                         ΤΕΧΝΗ ΜΑΓΕΙΡΙΚΗΣ ΙV                                  ΑΙΘ. 6                                                       Πετρουλάκη</t>
  </si>
  <si>
    <t>16:00-16:45                                         ΘΕΩΡΙΑ                                          ΑΓΓΛΙΚΑ                                               ΑΙΘ. 5                                                        Μπουχαλάκης</t>
  </si>
  <si>
    <t>ΤΕΤΑΡΤΗ 19:30-21:15</t>
  </si>
  <si>
    <t>ΤΣΑΦΑΝΤΑΚΗΣ</t>
  </si>
  <si>
    <t>tsafantakisd@gmail.com</t>
  </si>
  <si>
    <t>16:45-17:30                                    ΕΡΓΑΣΤΗΡΙΟ                                           ΤΕΜΑΧΙΣΜΟΣ ΚΡΕΑΤΩΝ ΙΙ                                 ΑΙΘ. 6                                                        Κυρλάκης</t>
  </si>
  <si>
    <t>17:00-17:45                                    ΕΡΓΑΣΤΗΡΙΟ                                         ΤΕΧΝΗ ΜΑΓΕΙΡΙΚΗΣ ΙV                                  ΑΙΘ. 6                                                       Πετρουλάκη</t>
  </si>
  <si>
    <t>16:45-17:30                                           ΘΕΩΡΙΑ                                                   ΑΓΓΛΙΚΑ                                              ΑΙΘ. 5                                                        Μπουχαλάκης</t>
  </si>
  <si>
    <t>4. Απόψεις Σπουδαστή</t>
  </si>
  <si>
    <t>17:45-18:30                                    ΕΡΓΑΣΤΗΡΙΟ                                            TΕΧΝΗ ΜΑΓΕΙΡΙΚΗΣ IV                                    ΑΙΘ. 6                                                        Κυρλάκης</t>
  </si>
  <si>
    <t>17:45-18:30                                    ΕΡΓΑΣΤΗΡΙΟ                                         ΤΕΧΝΗ ΜΑΓΕΙΡΙΚΗΣ ΙV                                  ΑΙΘ. 6                                                       Πετρουλάκη</t>
  </si>
  <si>
    <t>17:45-18:30                                    ΘΕΩΡΙΑ                                            TΕΧΝΗ ΜΑΓΕΙΡΙΚΗΣ IV                                    ΑΙΘ. 5                                                        Μελεσσανάκης</t>
  </si>
  <si>
    <t>ΚΟΝΙΔΑΚΗ ΣΤΕΦΑΝΙΑ</t>
  </si>
  <si>
    <r>
      <t xml:space="preserve">ΣΤΕΛΕΧΟΣ ΥΠΗΡΕΣΙΩΝ ΑΕΡΟΜΕΤΑΦΟΡΑΣ </t>
    </r>
    <r>
      <rPr>
        <b/>
        <sz val="11"/>
        <color theme="1"/>
        <rFont val="Aptos Narrow"/>
        <family val="2"/>
        <scheme val="minor"/>
      </rPr>
      <t>Β ΕΞΑΜΗΝΟ</t>
    </r>
  </si>
  <si>
    <t>ΜΟΥΧΑΛΑΚΗΣ</t>
  </si>
  <si>
    <t>ΑΕΡ-24Β</t>
  </si>
  <si>
    <t>Β1253-1 (Β1)</t>
  </si>
  <si>
    <t>18:45-19:30                                    ΕΡΓΑΣΤΗΡΙΟ                                            TΕΧΝΗ ΜΑΓΕΙΡΙΚΗΣ IV                                    ΑΙΘ. 6                                                        Κυρλάκης</t>
  </si>
  <si>
    <t>18:45-19:30                                    ΕΡΓΑΣΤΗΡΙΟ                                         ΤΕΧΝΗ ΜΑΓΕΙΡΙΚΗΣ ΙV                                  ΑΙΘ. 6                                                       Πετρουλάκη</t>
  </si>
  <si>
    <t>18:30-19:15                                    ΘΕΩΡΙΑ                                            TΕΧΝΗ ΜΑΓΕΙΡΙΚΗΣ IV                                    ΑΙΘ. 5                                                        Μελεσσανάκης</t>
  </si>
  <si>
    <t>18:30-19:15                                    ΕΡΓΑΣΤΗΡΙΟ                                            TΕΧΝΗ ΜΑΓΕΙΡΙΚΗΣ IV                                    ΑΙΘ. 6                                                        Κυρλάκης</t>
  </si>
  <si>
    <t>Ικανοποίηση από το χώρο: ✔ Ναι | ✘ Όχι</t>
  </si>
  <si>
    <t>19:30-20:15                                    ΕΡΓΑΣΤΗΡΙΟ                                            TΕΧΝΗ ΜΑΓΕΙΡΙΚΗΣ IV                                    ΑΙΘ. 6                                                        Κυρλάκης</t>
  </si>
  <si>
    <t>19:30-20:15                                    ΕΡΓΑΣΤΗΡΙΟ                                         ΤΕΧΝΗ ΜΑΓΕΙΡΙΚΗΣ ΙV                                  ΑΙΘ. 6                                                       Πετρουλάκη</t>
  </si>
  <si>
    <t>19:30-20:15                                    ΘΕΩΡΙΑ                                            ΓΑΛΛΙΚΑ                                              ΑΙΘ. 5                                                        Κονιδάκη</t>
  </si>
  <si>
    <t>20:30-21:15                         ΕΡΓΑΣΤΗΡΙΟ                                              ΔΙΑΚΟΣΜΙΤΙΚΗ ΠΑΡΑΣΚΕΥΑΣΜΑΤΩΝ                                                   ΑΙΘ. 6                                                        Κυρλάκης</t>
  </si>
  <si>
    <t>20:30-21:15                                    ΘΕΩΡΙΑ                                            ΓΑΛΛΙΚΑ                                              ΑΙΘ. 5                                                        Κονιδάκη</t>
  </si>
  <si>
    <t>ΜΩΥΣΑΚΗΣ ΓΙΑΝΝΗΣ</t>
  </si>
  <si>
    <t>Καθήκοντα σχετικά με την ειδικότητα: ✔ Ναι | ✘ Όχι</t>
  </si>
  <si>
    <t>21:15-22:00                         ΕΡΓΑΣΤΗΡΙΟ                                              ΔΙΑΚΟΣΜΙΤΙΚΗ ΠΑΡΑΣΚΕΥΑΣΜΑΤΩΝ                                                   ΑΙΘ. 6                                                        Κυρλάκης</t>
  </si>
  <si>
    <t>20:15-21:00                                    ΕΡΓΑΣΤΗΡΙΟ                                            TΕΧΝΗ ΜΑΓΕΙΡΙΚΗΣ IV                                    ΑΙΘ. 6                                                        Κυρλάκης</t>
  </si>
  <si>
    <t>Καθηγητές + Μαθητές</t>
  </si>
  <si>
    <t>ΖΑΧΑΡΙΑΔΑΚΗ ΕΙΡΗΝΗ</t>
  </si>
  <si>
    <t>21:15-22:00                                     ΕΡΓΑΣΤΗΡΙΟ                                            TΕΧΝΗ ΜΑΓΕΙΡΙΚΗΣ IV                                    ΑΙΘ. 6                                                        Κυρλάκης</t>
  </si>
  <si>
    <t>Δυσκολίες/Παράπονα: ....................................................................</t>
  </si>
  <si>
    <t>Α</t>
  </si>
  <si>
    <t>Β</t>
  </si>
  <si>
    <t>Γ</t>
  </si>
  <si>
    <t>Δ</t>
  </si>
  <si>
    <t>Μ.Ο.</t>
  </si>
  <si>
    <t>5. Παρατηρήσεις Ελέγχου</t>
  </si>
  <si>
    <t>ΜΠΟΥΧΑΛΑΚΗΣ ΕΜΜΑΝΟΥΗΛ</t>
  </si>
  <si>
    <t>....................................................................................</t>
  </si>
  <si>
    <r>
      <t>Υπογραφή Υπεύθυνου Φορέα:</t>
    </r>
    <r>
      <rPr>
        <sz val="11"/>
        <color theme="1"/>
        <rFont val="Aptos Narrow"/>
        <family val="2"/>
        <charset val="161"/>
        <scheme val="minor"/>
      </rPr>
      <t xml:space="preserve"> _______________________</t>
    </r>
  </si>
  <si>
    <r>
      <t>Υπογραφή Σπουδαστή:</t>
    </r>
    <r>
      <rPr>
        <sz val="11"/>
        <color theme="1"/>
        <rFont val="Aptos Narrow"/>
        <family val="2"/>
        <charset val="161"/>
        <scheme val="minor"/>
      </rPr>
      <t xml:space="preserve"> _______________________</t>
    </r>
  </si>
  <si>
    <r>
      <t>Υπογραφή Ελεγκτή ΙΕΚ:</t>
    </r>
    <r>
      <rPr>
        <sz val="11"/>
        <color theme="1"/>
        <rFont val="Aptos Narrow"/>
        <family val="2"/>
        <charset val="161"/>
        <scheme val="minor"/>
      </rPr>
      <t xml:space="preserve"> _______________________</t>
    </r>
  </si>
  <si>
    <t>ΜΕΛΕΣΣΑΝΑΚΗΣ ΔΗΜΗΤΡΗΣ</t>
  </si>
  <si>
    <t>ΠΕΤΡΟΥΛΑΚΗ ΤΟΝΙΑ</t>
  </si>
  <si>
    <t>ΡΕΠΑΝΑΚΗ ΔΕΣΠΟΙΝΑ</t>
  </si>
  <si>
    <t>Καταπληκτική καθηγήτρια, με πολλές γνώσεις, και φοβερό χαρακτήρα.</t>
  </si>
  <si>
    <t>Ακατάλληλος για καθηγητής</t>
  </si>
  <si>
    <t>ΚΟΥΜΑΚΗΣ ΚΩΝΣΤΑΝΤΙΝΟΣ</t>
  </si>
  <si>
    <t>Βελτίωση στην συμπεριφορά. Ικανή για καθηγήτρια.</t>
  </si>
  <si>
    <t>ΜΕΛΕΣΣΑΝΑΚΗΣ ΔΗΜΗΤΡΙΟΣ</t>
  </si>
  <si>
    <t>ΜΩΥΣΑΚΗΣ ΙΩΑΝΝΗΣ</t>
  </si>
  <si>
    <t>Παρασκεύη 09 Μαίος 2025</t>
  </si>
  <si>
    <t>Παρασκεύη 07 Ιούνιος 2025</t>
  </si>
  <si>
    <t>Παρασκεύη 16 Μαίος 2025</t>
  </si>
  <si>
    <t>Παρασκεύη 13 Ιούνιος 2025</t>
  </si>
  <si>
    <t>Παρασκεύη 23 Μαίος 2025</t>
  </si>
  <si>
    <t>Παρασκεύη 20 Ιούνιος 2025</t>
  </si>
  <si>
    <t>ΠΕΤΡΟΥΛΑΚΗ ΑΝΤΩΝΙΑ</t>
  </si>
  <si>
    <t>5/7</t>
  </si>
  <si>
    <t>ΘΕΟΔΩΡΑ ΠΑΠΑΙΩΑΝΝΟΥ</t>
  </si>
  <si>
    <t>papaioanou30@hotmail.com</t>
  </si>
  <si>
    <t>Πέμπη, 04 Δεκεμβρίου 2025</t>
  </si>
  <si>
    <t>17:33 μμ</t>
  </si>
  <si>
    <t>ΘΕΛΕΙ ΝΑ ΕΓΓΡΑΦΗ ΚΑΙ ΜΕΤΑ ΤΙΣ 20/12/2025 ΘΑ ΕΡΘΕΙ ΓΙΑ ΝΑ ΔΕΙ ΤΗΝ ΣΧΟΛΗ ΚΑΙ ΠΟΛΎ ΠΙΘΑΝΩΝ ΝΑ ΚΑΝΕΙ ΚΑΙ ΤΗΝ ΕΓΓΡΑΦΗ ΟΠΟΤΕ ΠΕΡΙΜΕΝΟΥΜΕ ΤΗΛΕΦΩΝΟ ΤΗΣ ΓΙΑ ΝΑ ΚΛΕΙΣΟΥΜΕ ΡΑΝΤΕΒΟΥ</t>
  </si>
  <si>
    <t xml:space="preserve">ΝΑ ΣΥΖΗΤΗΣΟΥΜΕ ΜΕ ΤΗΝ ΜΕΛΠΩ ΓΙΑ ΤΗΝ ΜΠΙΤΖΟΥ ΚΑΙ ΤΟ ΠΡΟΒΛΗΜΑ ΠΟΥ ΠΡΟΕΚΥΨΕ ΓΙΑ ΝΑ ΔΟΥΜΕ ΠΩΣ ΘΑ ΤΟ ΔΙΑΧΕΙΡΙΣΤΟΥΜΕ </t>
  </si>
  <si>
    <t>ΔΑΣΚΑΛΑΚΗ - ΙΕΡΑΠΕΤΡΙΤΑΚΗ</t>
  </si>
  <si>
    <t>SDO119</t>
  </si>
  <si>
    <t>5/5</t>
  </si>
  <si>
    <t>9/5</t>
  </si>
  <si>
    <t>12/7</t>
  </si>
  <si>
    <t>ΔΕΝ ΕΧΕΙ ΛΥΘΕΙ ΑΚΟΜΑ</t>
  </si>
  <si>
    <t>ΠΥΡΟΣΒΕΣΤΗΡΕΣ</t>
  </si>
  <si>
    <t>3 ΑΣΤΕΡΩΝ ΣΤΑ ΜΑΛΛΙΑ ΕΝΔΙΑΦΕΡΕΤΕ ΓΙΑ ΠΡΑΚΤΙΚΗ ΜΑΓΕΙΡΕΣ ΚΑΙ ΖΑΧΑΡΟΠΛΑΣΤΕΣ ΑΠΌ 01/07 ΕΩΣ 31/10 ΚΑΙ ΑΥΤΟΣ ΑΝΗΓΕΙ 01/05 - 31/10. ΤΟ ΤΗΛΕΦΩΝΟ ΕΊΝΑΙ 6987583468</t>
  </si>
  <si>
    <t>18/5</t>
  </si>
  <si>
    <t>Κυριακή, 14 Δεκεμβρίου 2025</t>
  </si>
  <si>
    <t>Αντωνης Ζαμπετακης</t>
  </si>
  <si>
    <t>axiotouelektra000@gmail.com</t>
  </si>
  <si>
    <t>ΕΙΠΕ ΘΑ ΚΑΛΕΣΕΙ Ο ΚΑΘΑΡΑΚΗΣ ΑΠΛΑ ΡΩΤΑΩ ΤΗΝ ΝΑΤΑΣΑ ΑΝ ΕΝ ΤΕΛΕΙ ΤΟ ΕΚΑΝΕ(ΝΑ ΚΑΛΕΣΩ ΞΑΝΑ ΑΝ ΔΕΝ ΕΧΕΙ ΕΡΘΕΙ ΠΑΡΑΣΚΕΥΗ 21/11/2025) ΝΑ ΜΙΛΗΣΩ ΜΕ ΤΗΝ ΝΑΤΑΣΑ ΜΗΠΩΣ ΘΕΛΕΙ ΚΑΙ ΚΑΤΙ ΆΛΛΟ, ΚΑΙ ΜΕΤΑ ΝΑ ΚΑΛΕΣΩ ΤΟΝ ΜΙΕΛΕ ΝΑ ΔΩΣΕΙ ΑΛΛΑ 2 ΚΟΥΜΠΙΟΥΤΕΡΑΚΙΑ - ΤΗΛΕΚΟΝΤΡΟΛ (1 ΓΙΑ ΤΟΝ ΜΠΡΙΝΤΑΛΟ ΚΑΙ 1 ΓΙΑ ΕΦΕΔΡΙΚΟ)ΕΠΙΣΗΣ ΝΑ ΠΩ ΚΑΙ ΓΙΑ ΦΩΤΟΚΟΙΤΑΡΟ ΤΩΡΑ ΠΟΥ ΜΠΟΡΕΙ ΚΑΠΟΙΟΣ ΚΑΙ ΑΠΌ ΤΟ ΣΠΙΤΙ ΝΑ ΑΝΟΙΞΕΙ ΤΗΝ ΠΟΡΤΑ. ΚΑΙ ΘΕΛΕΙ ΚΑΙ ΣΤΗΝ ΑΛΛΗ ΤΗΝ ΠΟΡΤΑ ΤΟΥ ΠΑΡΚΙΝΓΚ ΝΑ ΓΙΝΕΙ ΜΕ WIFI</t>
  </si>
  <si>
    <t>15/7</t>
  </si>
  <si>
    <t xml:space="preserve">ΝΑ ΔΟΥΜΕ ΤΙΣ ΕΡΓΑΣΙΕΣ ΠΟΥ ΕΧΕΙ ΣΤΕΙΛΕΙ Η ΦΥΓΕΤΑΚΗ ΚΑΙ ΤΟ ΕΧΩ ΑΠΟΘΗΚΕΥΣΕΙ ΣΤΙΣ ΕΡΓΑΣΙΕΣ ΝΑ ΤΟ ΒΑΛΟΥΜΕ ΣΤΟ ΑΡΧΕΙΟ ΓΙΑ ΤΙΣ ΤΕΛΙΚΕΣ ΕΞΕΤΑΣΕΙΣ </t>
  </si>
  <si>
    <t>20/5</t>
  </si>
  <si>
    <t>12/9</t>
  </si>
  <si>
    <t>ΝΑ ΡΩΤΗΣΟΥΜΕ ΤΟΝ ΚΑΘΑΡΑΚΗ ΓΙΑ ΤΟΥΣ ΠΑΛΑΙΟΥΣ ΜΕΧΡΙ ΠΟΤΕ ΘΑ ΙΣΧΥΕΙ Η ΚΑΡΤΑ ΜΕΛΟΥΣ</t>
  </si>
  <si>
    <t>emmanuellarizou28@yahoo.com re.mmi24@yahoo.gr</t>
  </si>
  <si>
    <t>16/9</t>
  </si>
  <si>
    <t>9/9</t>
  </si>
  <si>
    <t>Paul-Marie Hotel and Bungalows 3 αστέρων ξενοδοχείο (email: paulmarie.apts@outlook.com, τηλέφωνο: ΚΙΝ: 6980177804 επικοινωνία με Κασαπάκης Παύλος) στην Κρήτη στην περιοχή της Χερσονήσου, εξυπηρετούνε κατά μέσο όρο 80 άτομα και το εστιατόριο.  (Zesi Cretan Experience
https://share.google/7wNpuvVJJDQTmJiZ3)
Μισθός από 1100-1700. εξαρτάται απ’την εμπειρία του. Υπάρχει και η δυνατότητα διαμονής. 
Το ωράριο είναι από 15:00-23:00 ή 14:00-22:00.</t>
  </si>
  <si>
    <t>8/16</t>
  </si>
  <si>
    <t>11/16</t>
  </si>
  <si>
    <t>ΕΠΙΣΚΕΥΗ</t>
  </si>
  <si>
    <t>Τετάρτη, 24 Δεκεμβρίου 2025</t>
  </si>
  <si>
    <t>ΜΑΡΙΑ ΛΙΑΝΑΚΗ</t>
  </si>
  <si>
    <t>madmary1408@gmail.com</t>
  </si>
  <si>
    <t>ΔΕΝ ΗΞΕΡΕ ΤΙ ΗΘΕΛΕ ΘΑ ΠΕΡΑΣΕΙ ΚΑΠΟΙΑ ΣΤΙΓΜΗ ΜΕΤΑ ΤΟΥ ΑΙ ΓΙΑΝΝΙΟΥ ΚΑΙ ΘΑ ΜΙΛΗΣΕΙ ΜΕ ΤΙΣ ΚΑΘΗΓΗΤΡΙΕΣ. ΕΊΝΑΙ 26 ΕΤΩΝ ΚΑΙ ΕΧΕΙ ΒΓΑΛΕΙ ΜΙΑ ΣΧΟΛΗ ΚΑΙ ΗΣ ΑΡΕΣΕ Η ΘΕΩΡΙΑ ΑΛΛΑ ΌΧΙ Η ΠΡΑΞΗ ΚΑΙ ΤΕΛΙΚΑ ΚΑΤΑΛΑΒΕ ΠΩΣ ΕΚΕΙΝΗ ΘΕΛΕΙ ΠΡΑΚΤΙΚΟ ΕΠΑΓΓΕΛΜΑ</t>
  </si>
  <si>
    <t>mohamed abouiesha mohamed</t>
  </si>
  <si>
    <t>Τεχνικός Δικτύων και Τηλεπικοινωνιών</t>
  </si>
  <si>
    <t>highemo2@gmail.com</t>
  </si>
  <si>
    <t>Παρασκεύη, 02 Ιανουαρίου 2026</t>
  </si>
  <si>
    <t>18:16 μμ</t>
  </si>
  <si>
    <t>Να δούμε τις παραγγελίες του Μάριου και του Φυσαράκη, που είναι για την Ζαχαρόπαστα</t>
  </si>
  <si>
    <t>Να δούμε λίγιο τους βαθμούς της Πέλας για Διοίκηση και Αερομεταφορά και να κρούσουμε κόδωνα στην Κλείο και στον Δημοκράτη. Τα έχω περάσει στον ΠΗΓΑΣΟ αλλά δεν ξέρω αν θέλουμε να αλλάξουμε τα 4 και τα 2 ή να το κάνουμε στο τέλος του εξαμήνου, για να έχουμε άποψη και για την τελική εξέταση?</t>
  </si>
  <si>
    <t>ΒΑΘΜΟΛΟΓΙΑ</t>
  </si>
  <si>
    <t>Manolia Vlataki</t>
  </si>
  <si>
    <t>Πέμπτη, 08 Ιανουαρίου 2026</t>
  </si>
  <si>
    <t>manoliavlataki@gmail.com</t>
  </si>
  <si>
    <t>ΤΟΝ ΚΑΛΕΣΑ ΣΤΟ ΤΗΛΕΦΩΝΟ ΚΑΙ ΔΕΝ ΤΟ ΣΗΚΩΣΕ ΟΠΟΤΕ ΤΟΥ ΕΣΤΕΙΛΑ EMAIL ΚΑΙ ΠΕΡΙΜΕΝΟΥΜΕ ΑΠΑΝΤΗΣΗ. ΜΕ ΚΑΛΕΣΕ ΚΑΙ ΔΕΝ ΜΙΛΟΥΣΕ ΕΛΛΗΝΙΚΑ ΚΑΙ ΤΟ ΕΚΛΕΙΣΕ ΜΕΤΑ.</t>
  </si>
  <si>
    <t>ΗΘΕΛΕ ΣΕΜΙΝΑΡΙΟ ΚΑΙ ΌΧΙ ΙΕΚ ΤΕΛΙΚΑ</t>
  </si>
  <si>
    <t>Να καλέσουμε τον Ζαφείρη, την Τετάρτη 14/01/2026 αν δεν έχει έρθει. Να καλέσουμε υδραβλικό για την βρύση στη μαγειρική που στάζει και στάζει και εκείνη στην πίσο τουαλέτα</t>
  </si>
  <si>
    <t>ΝΑ ΔΩΣΩ ΤΗΝ ΣΥΜΒΑΣΗ ΣΤΗΝ ΚΥΡΙΑ ΧΑΤΖΗΝΤΕΒΕ ΣΕ ΕΝΤΥΠΗ ΜΟΡΦΗ</t>
  </si>
  <si>
    <t>ΝΑ ΔΩΣΩ ΑΠΟΔΕΙΞΗ ΣΤΗΝ ΝΑΤΑΣΑ</t>
  </si>
  <si>
    <t>ΑΠΟΔΕΙΞΗ</t>
  </si>
  <si>
    <t>ΕΠΙΚΟΙΝΩΝΗΣΑΜΕ ΚΑΙ ΘΑ ΜΑΣ ΚΑΛΕΣΟΥΝ ΑΡΧΕΣ ΤΟΥΣ ΕΤΟΥΣ ΓΙΑ ΝΑ ΚΛΕΙΣΟΥΜΕ ΡΑΝΤΕΒΟΥ. ΝΑ ΚΑΛΕΣΟΥΜΕ ΜΕΧΡΙ 20/01 ΓΙΑ ΝΑ ΕΡΘΟΥΝ ΝΑ ΔΟΥΝΕ ΤΟΥΣ ΠΥΡΟΣΒΕΣΤΗΡΕΣ, ΑΝ ΔΕΝ ΕΧΟΥΝ ΕΡΘΕΙ. ΕΙΠΑΝΕ ΘΑ ΕΡΘΟΥΝ ΜΕΧΡΙ 20/01.</t>
  </si>
  <si>
    <t>13/9</t>
  </si>
  <si>
    <t>19/5</t>
  </si>
  <si>
    <t>ΡΑΝΤΕΒΟΥ ΔΕΥΤΕΡΑ 12/01/2026 ΣΤΙΣ 12:00 ΜΕ ΤΗΝ ΠΑΠΑΦΡΑΓΚΑΚΗ. ΤΡΙΤΗ 16:00-19:15</t>
  </si>
  <si>
    <t>Παρασκεύη, 09 Ιανουαρίου 2026</t>
  </si>
  <si>
    <t>angelikezachou222@gmail.com</t>
  </si>
  <si>
    <t>ΑΓΓΕΛΙΚΉ ΖΑΧΟΥ</t>
  </si>
  <si>
    <t>27/7</t>
  </si>
  <si>
    <t xml:space="preserve">Να δώσουμε τη Τρίτη 13/01/2025 τα εργαλεία που έχουμε να δώσουμε για τον Φυσαράκη, μαζί με τις φωτοτυπίες. Τα έχω στο ντουλάπι δίπλα μου. </t>
  </si>
  <si>
    <t xml:space="preserve">ΝΑ ΔΩΣΩ ΣΤΟΝ ΚΥΡΙΟ ΤΣΙΚΑΛΑΚΗ ΤΗΝ ΣΥΜΒΑΣΗ ΤΗΣ ΠΕΛΑΓΙΑ ΜΑΡΚΑΚΗ ΤΡΥΠΑΚΗ ΚΑΙ ΝΑ ΔΩΣΩ ΜΕΤΑ ΝΑ ΔΩΣΩ ΣΤΗΝ ΠΕΛΑ ΚΑΙ ΝΑ ΔΩΣΩ ΚΑΙ ΣΤΟΥΣ ΕΚΠΑΙΔΕΥΤΕΣ </t>
  </si>
  <si>
    <t>Δευτέρα, 12 Ιανουαρίου 2026</t>
  </si>
  <si>
    <t>Μπουντόνας Άγγελος</t>
  </si>
  <si>
    <t>boudonasaggelos@gmail.com</t>
  </si>
  <si>
    <t>ΚΑΝΑΜΕ ΡΑΝΤΕΒΟΥ ΚΑΙ ΘΕΛΕΙ ΝΑ ΓΡΑΦΤΕΙ ΤΟΝ ΟΚΤΩΜΒΡΙΟ</t>
  </si>
  <si>
    <t>18/9</t>
  </si>
  <si>
    <t>26/11</t>
  </si>
  <si>
    <t>23/5</t>
  </si>
  <si>
    <t>24/5</t>
  </si>
  <si>
    <t>Καλημέρα σας
Η εταίρια μας ενδιαφέρεται να απασχολήσει άμεσα σε κατάστημα ηλεκτρολογικού υλικού στις Γούβες με μορφη πρακτικής άσκησης τελειόφοιτους σπουδαστές μηχανογραφημένου λογιστηρίου και web design
Η εταιρία θα καλύψει όλα τα έξοδα μετακίνησης και διατροφής κατά το χρόνο εξάσκησης.
Προοπτική μόνιμης απασχόλησης
Ευχαριστώ
Νικολαίδης Εμμανουήλ
Ηλεκτρολόγος μηχανικός
Διαχείριση τεχνικών έργων τ. Msc
Τηλ 6906273034                                   "Manolis Nikolaidis" &lt;manolinik@engineer.com&gt;</t>
  </si>
  <si>
    <t>22/16</t>
  </si>
  <si>
    <t>86/5</t>
  </si>
  <si>
    <t>30/16</t>
  </si>
  <si>
    <t>ΝΑ ΕΝΗΜΕΡΩΣΩ ΤΕΤΑΡΤΗ 21/01/2026, ΤΟΝ ΚΟΥΜΑΚΗ, ΑΠΛΑΔΑ, ΚΥΡΚΛΑΚΗ ΝΑ ΓΡΑΦΟΥΝ ΤΑ ΠΑΡΟΥΣΙΟΛΟΓΙΑ ΚΑΙ ΝΑ ΜΟΥ ΠΟΥΝΕ ΚΑΙ ΓΙΑ ΤΙΣ 14/01 ΠΟΙΑ ΠΑΙΔΙΑ ΗΤΑΝ ΚΑΙ ΝΑ ΥΠΟΓΡΑΨΟΥΝ</t>
  </si>
  <si>
    <t>ΝΑ ΞΑΝΑ ΔΟΚΙΜΑΣΩ ΤΗΣ ΜΑΡΑΓΚΑΚΗ ΝΑ ΕΚΤΥΠΏΣΩ ΤΑ ΕΓΓΡΑΦΑ ΠΟΥ ΕΧΩ ΣΤΑ ΠΡΟΧΕΙΡΑ</t>
  </si>
  <si>
    <t>3/11</t>
  </si>
  <si>
    <t>14/11</t>
  </si>
  <si>
    <t>1/11</t>
  </si>
  <si>
    <t>15/5</t>
  </si>
  <si>
    <t xml:space="preserve">ΕΠΙΣΚΕΥΗ </t>
  </si>
  <si>
    <t>Georgia Mastoraki</t>
  </si>
  <si>
    <t>Τρίτη, 20 Ιανουαρίου 2026</t>
  </si>
  <si>
    <t>mastorakige@gmail.com</t>
  </si>
  <si>
    <t>ΚΑΛΕΣΑ ΚΑΙ ΔΕΝ ΤΟ ΣΗΚΩΣΕ ΚΑΙ ΕΤΣΙ ΕΣΤΕΙΛΑ EMAIL ΚΑΙ ΠΕΡΙΜΕΝΩ. ΜΙΛΗΣΑΜΕ ΚΑΙ ΜΟΥ ΕΙΠΕ ΠΩΣ ΤΗΣ ΑΡΕΣΕΙ ΌΜΩΣ ΘΕΛΕΙ ΛΙΓΟ ΧΡΟΝΟ ΝΑ ΣΚΕΥΤΕΙ ΚΑΙ ΝΑ ΜΑΣ ΠΕΙ</t>
  </si>
  <si>
    <t>25/5</t>
  </si>
  <si>
    <t>26/5</t>
  </si>
  <si>
    <t>ΗΡΘΕ, ΕΧΕΙ ΠΑΡΑΓΓΕΙΛΕΙ ΤΑ ΜΕΤΡΑ ΚΑΙ ΘΑ ΕΡΘΕΙ ΝΑ ΤΟ ΦΕΡΕΙ. ΝΑ ΚΑΛΕΣΩ ΤΟΝ ΚΥΡΙΟ ΚΑΡΟΥΖΑΚΗΣ ΑΝ ΔΕΝ ΕΡΘΕΙ ΓΙΑ ΤΟ ΤΖΑΜΙ ΣΤΗΝ 4.</t>
  </si>
  <si>
    <t>13/7</t>
  </si>
  <si>
    <t>Κωνσταντινος Καλογιαννακης</t>
  </si>
  <si>
    <t>Πέμπτη, 22 Ιανουαρίου 2026</t>
  </si>
  <si>
    <t>19:55 μμ</t>
  </si>
  <si>
    <t>kalogiannakisk@gmail.com</t>
  </si>
  <si>
    <t>31/7</t>
  </si>
  <si>
    <t>18/7</t>
  </si>
  <si>
    <t>ΑΛΛΑΞΑ ΤΟ ΠΡΟΓΡΑΜΜΑ ΕΞΕΤΑΣΕΩΝ ΤΗΣ ΖΑΧΑΡΟΠΛΑΣΤΙΚΗΣ Ι ΚΑΙ ΖΑΧΑΡΟΠΛΑΣΤΙΚΗΣ ΙΙ ΔΙΟΤΙ ΜΟΥ ΕΙΠΕ Ο ΜΑΡΙΟΣ ΠΩΣ ΔΕΝ ΕΧΟΥΝ ΧΩΡΟ ΓΙΑ ΝΑ ΓΡΑΨΟΥΝ ΌΛΑ ΤΑ ΠΑΙΔΙΑ ΜΑΖΙ, ΝΑ ΤΑ ΔΩ ΔΕΥΤΕΡΑ ΜΕ ΤΗΝ ΜΕΛΠΩ ΚΑΙ ΝΑ ΔΟΥΜΕ ΑΝ ΕΊΝΑΙ ΝΑ ΤΟ ΑΛΛΑΞΟΥΜΕ ΚΑΙ ΝΑ ΤΑ ΣΤΕΙΛΟΥΜΕ ΚΑΙ ΣΤΑ ΠΑΙΔΙΑ. ΕΧΩ ΔΙΑΓΡΑΨΕΙ ΚΑΙ ΤΟ PDF ΓΙΑ ΝΑ ΤΟ ΨΙΛΙΑΣΤΟΥΜΕ ΠΩΣ ΚΑΤΙ ΕΧΕΙ ΑΛΛΑΞΕΙ ΚΑΙ ΝΑ ΤΟ ΔΟΥΜΕ.</t>
  </si>
  <si>
    <t>ΝΑ ΚΑΛΕΣΩ ΣΤΙΣ 17:00. ΤΟΝ ΚΑΛΕΣΑ 17:00 ΚΑΙ ΕΚΑΝΕ ΠΑΖΑΡΙΑ ΓΙΑ ΤΗΝ ΤΙΜΗ…ΕΛΕΓΕ ΠΩΣ ΣΤΗΝ ΑΘΗΝΑ ΕΊΝΑΙ ΠΙΟ ΦΘΗΝΑ, ΠΩΣ ΜΕ ΤΑ Χ2 ΧΡΗΜΑΤΑ ΒΓΑΖΕΙΣ ΠΤΥΧΙΟ ΣΤΟ ΕΑΠ. ΕΛΕΓΕ ΠΩΣ ΔΕΝ ΞΕΡΕΙ ΑΝ ΘΕΛΕΙ ΔΙΟΙΚΗΣΗ Ή ΠΛΗΡΟΦΟΡΚΗ, ΕΛΕΓΕ ΠΩΣ ΜΕ 700€ ΘΑ ΗΤΑΝ ΕΝΤΑΞΕΙ ΓΙΑΤΙ ΤΟΣΟ ΤΑ ΕΧΟΥΝ ΣΤΗΝ ΑΘΗΝΑ ΚΑΙ ΑΛΛΑ ΤΕΤΟΙΑ...ΤΟΥ ΕΣΤΕΙΛΑ ΤΗΝ ΣΕΛΙΔΑ ΜΑΣ ΝΑ ΔΕΙ ΚΑΙ ΤΑ ΣΕΜΙΝΑΡΙΑ ΑΛΛΑ ΔΕΝ ΒΛΕΠΩ ΝΑ ΗΞΕΡΕ ΠΡΑΓΜΑΤΙΚΑ ΤΙ ΘΕΛΕΙ...</t>
  </si>
  <si>
    <t>19/11</t>
  </si>
  <si>
    <t>25/11</t>
  </si>
  <si>
    <t>28/5</t>
  </si>
  <si>
    <t>46/9</t>
  </si>
  <si>
    <t>36/9</t>
  </si>
  <si>
    <t>48/9</t>
  </si>
  <si>
    <t>ΝΑ ΥΠΟΓΡΑΨΕΙ Ο ΚΟΥΜΑΚΗΣ ΤΗΝ ΣΥΜΒΑΣΗ</t>
  </si>
  <si>
    <t>ΝΑ ΔΩΣΩ ΣΤΟΝ ΠΑΠΑΔΟΠΟΥΛΟ ΤΟΝ ΑΝΤΩΝΙΟ ΤΗΝ ΒΕΒΑΙΩΣΗ ΦΟΙΤΗΣΗΣ</t>
  </si>
  <si>
    <t>22/5</t>
  </si>
  <si>
    <t>21/5</t>
  </si>
  <si>
    <t>20/7</t>
  </si>
  <si>
    <t>14/9</t>
  </si>
  <si>
    <t>16/5</t>
  </si>
  <si>
    <t>24/7</t>
  </si>
  <si>
    <t>ΝΑ ΔΩΣΩ ΣΤΟ ΛΟΓΙΣΤΗΡΙΟ ΑΠΟΔΕΙΞΕΙΣ, ΤΙΜΟΛΟΓΙΑ ΚΛΠ ΚΑΙ ΝΑ ΠΛΗΡΩΘΕΙ ΚΑΙ Ο ΚΟΥΜΑΚΗΣ ΓΙΑ ΤΗΝ ΑΠΟΔΕΙΞΗ ΠΟΥ ΜΑΣ ΕΔΩΣΕ ΚΑΙ ΤΟ ΛΟΓΙΣΤΗΡΙΟ ΔΕΝ ΗΤΑΝ ΕΔΏ</t>
  </si>
  <si>
    <t>ΛΟΓΙΣΤΗΡΙΟ</t>
  </si>
  <si>
    <t>21/11</t>
  </si>
  <si>
    <t>48/16</t>
  </si>
  <si>
    <t>16/7</t>
  </si>
  <si>
    <t>Να δώσω τα χρήματα στον κύριο Κουμάκη που τα έχω στη συρταριερα μου</t>
  </si>
  <si>
    <t>25/9</t>
  </si>
  <si>
    <t>24/9</t>
  </si>
  <si>
    <t>22/9</t>
  </si>
  <si>
    <t>39/9</t>
  </si>
  <si>
    <t>50/9</t>
  </si>
  <si>
    <t>51/11</t>
  </si>
  <si>
    <t>29/11</t>
  </si>
  <si>
    <t>9/11</t>
  </si>
  <si>
    <t>44/11</t>
  </si>
  <si>
    <t>ΑΠΌ ΤΟ ΓΡΑΦΕΙΟ LIMPVIEW ΠΟΥ ΑΣΧΟΛΕΙΤΕ ME BUSINESS CONSULTING,  ΘΕΛΕΙ ΓΙΑ ΠΡΑΚΤΙΚΗ ΌΜΩΣ ΠΙΟ ΑΜΕΣΑ ΚΑΙ ΘΕΛΕΙ ΣΤΟ ΚΟΜΜΑΤΙ ΤΟΥ MARKETING ΟΠΟΤΕ ΠΡΟΣ ΤΟ ΠΑΡΩΝ ΔΕΝ ΕΧΟΥΜΕ ΚΑΤΙ ΌΜΩΣ ΝΑ ΤΟ ΕΧΟΥΜΕ ΣΤΟ ΝΟΥ ΜΑΣ ΓΙΑ ΤΗΝ ΣΥΝΕΧΕΙΑ ΚΑΙ ΙΣΩΣ ΣΤΟ ΜΕΛΛΟΝ ΣΥΝΕΡΓΑΣΙΑ. ΘΑ ΜΑΣ ΚΑΛΕΣΟΥΝ ΚΑΙ ΕΚΕΙΝΟΙ ΤΟ ΚΑΛΟΚΑΙΡΙ ΑΝ ΔΕΝ ΕΧΟΥΝ ΒΡΕΙ. ΜΙΛΙΣΑ ΜΕ ΤΗΝ ΑΙΣΩΠΟΥ ΧΡΙΣΤΙΝΑ 6983858990</t>
  </si>
  <si>
    <t>kwnavosika@gmail.com</t>
  </si>
  <si>
    <t>ΝΟΜΙΖΕ ΠΩΣ ΗΤΑΝ ΝΈΟ ΗΡΑΚΛΕΙΟ ΑΘΗΝΑ ΌΧΙ ΚΡΗΤΗ, ΟΠΟΤΕ ΔΕΝ ΕΝΔΙΑΦΕΡΕΤΕ ΓΙΑ ΚΡΗΤΗ</t>
  </si>
  <si>
    <t>Κυριακή, 01 Ιανουαρίου 2026</t>
  </si>
  <si>
    <t>19:25 μμ</t>
  </si>
  <si>
    <t>ΚΩΝΣΤΑΝΤΙΝΑ Βωσικα</t>
  </si>
  <si>
    <t>ΝΑ ΔΩΣΩ ΤΟ ΧΑΡΤΙ ΠΛΗΡΩΜΗΣ ΣΤΗΝ ΝΑΤΑΣΑ. ΝΑ ΔΟΥΜΕ ΠΡΟΓΡΑΜΜΑ ΜΠΙΤΖΟΥ ΚΑΙ ΝΑ ΔΟΥΜΕ ΑΝ ΕΧΕΙ ΠΕΙ ΣΩΣΤΕΣ ΩΡΕΣ ΚΑΙ ΣΤΟΝ ΚΑΙΝΟΥΡΓΙΟ. ΝΑ ΣΤΕΙΛΩ ΤΟΥ ΚΑΛΟΓΕΡΑΚΗ ΤΙΣ ΦΩΤΟΓΡΑΦΙΕΣ ΓΙΑ ΤΗΝ ΒΕΚ ΤΗΣ ΠΑΠΑΒΑΣΙΛΕΙΟΥ ΜΑΡΙΑΣ</t>
  </si>
  <si>
    <t>Δευτέρα, 02 Φεβρουαρίου 2026</t>
  </si>
  <si>
    <t>18:25 μμ</t>
  </si>
  <si>
    <t>Ελένη Τζωρμπατζάκη</t>
  </si>
  <si>
    <t>elenatzor@gmail.com</t>
  </si>
  <si>
    <t>ΘΕΛΕΙ ΝΑ ΕΓΓΡΑΦΕΙ ΑΠΌ ΟΚΤΩΜΒΡΙΟ ΚΑΙ ΘΑ ΚΑΝΕΙ ΚΑΙ ΘΑ ΚΑΝΟΥΜΕ ΈΝΑ ΡΑΝΤΕΒΟΥ ΤΟΝ ΜΑΡΤΙΟ ΝΑ ΔΕΙ ΛΙΓΟ ΤΟΝ ΧΩΡΟ ΓΙΑΤΙ ΤΟΝ ΕΧΕΙ ΔΕΙ ΚΑΙ ΠΑΛΙΑ ΠΟΥ  ΕΚΑΝΕ ΤΟΥΣ ΥΠΟΛΟΓΙΣΤΕΣ ΚΑΙ ΜΕΤΑ ΘΑ ΔΕΙ ΚΑΙ ΜΑΘΗΜΑ ΜΕ ΑΡΧΙΤΕΚΤΟΝΕΣ Α Ή Β ΕΙΔΑΝΙΚΑ ΚΑΙ ΤΟΥΣ 2</t>
  </si>
  <si>
    <t>3</t>
  </si>
  <si>
    <t>7</t>
  </si>
  <si>
    <t>5</t>
  </si>
  <si>
    <t>13</t>
  </si>
  <si>
    <t>Γεωργία Πλευράκη</t>
  </si>
  <si>
    <t>Εσωτερική Αρχιτεκτονική Διακόσμηση και Σχεδιασμός</t>
  </si>
  <si>
    <t>Τετάρτη, 04 Φεβρουαρίου 2026</t>
  </si>
  <si>
    <t>17:16 μμ</t>
  </si>
  <si>
    <t>gwgwple61@gmail.com</t>
  </si>
  <si>
    <t>ΘΕΛΕΙ ΜΟΝΟ ΠΡΩΙΝΟ ΤΜΗΜΑ ΑΝ ΓΙΝΕΙ ΑΠΌ ΟΚΤΩΜΒΡΙΟ ΚΑΙ ΘΑ ΜΑΣ ΚΑΛΕΣΕΙ ΙΟΥΝΙΟ ΓΙΑ ΝΑ ΠΑΡΕΙ ΚΑΙ ΤΟ ERARLY BIRD</t>
  </si>
  <si>
    <t>samolistavroula19@gmail.com</t>
  </si>
  <si>
    <t>ΣΑΜΟΛΗ</t>
  </si>
  <si>
    <t>ΣΤΑΥΡΟΥΛΑ</t>
  </si>
  <si>
    <t>ΠΑΠΑΦΡΑΓΚΑΚΗ</t>
  </si>
  <si>
    <t>fpapafragaki@gmail.com</t>
  </si>
  <si>
    <t>ΛΥΡΑΤΖΑΚΗΣ</t>
  </si>
  <si>
    <t>ΑΛΕΞΑΝΔΡΟΣ</t>
  </si>
  <si>
    <t>alyratzakis@gmail.com</t>
  </si>
  <si>
    <t xml:space="preserve">ΤΣΑΚΙΡΕΛΗΣ </t>
  </si>
  <si>
    <t>tsakirelis@gmail.com</t>
  </si>
  <si>
    <t>samoli</t>
  </si>
  <si>
    <t>papafragaki</t>
  </si>
  <si>
    <t>lyratzakhs</t>
  </si>
  <si>
    <t>tsakirelis</t>
  </si>
  <si>
    <t>Να περάσω σπουδαστές και εκπαιδευτές στα αντίστοιχα μαθήματα τους στο eclass</t>
  </si>
  <si>
    <t>Αγγελική Παπαγρηγορακη</t>
  </si>
  <si>
    <t>angeliki.papagr@gmail.com</t>
  </si>
  <si>
    <t>Παρασκεύη, 06 Φεβρουαρίου 2026</t>
  </si>
  <si>
    <t>22:36 μμ</t>
  </si>
  <si>
    <t xml:space="preserve">kaplanisgiwrgos1@gmail.com, </t>
  </si>
  <si>
    <t xml:space="preserve">ΤΗΝ ΚΑΛΕΣΑ ΔΕΥΤΕΡΑ 10:30 ΚΑΙ ΔΕΝ ΑΠΑΝΤΗΣΕ ΚΑΙ ΤΗΣ ΕΣΤΕΙΛΑ EMAIL.ΘΕΛΕΙ ΓΙΑ ΣΕΜΙΝΑΡΙΟ ΤΑΧΥΡΥΘΜΟ ΜΑΓΕΙΡΙΚΗ ΚΑΙ ΑΠΌ ΟΚΤΩΜΒΡΙΟ </t>
  </si>
  <si>
    <t>ΠΡΑΚΤΙΚΗ ΕΦΑΡΜΟΓΗ Β'</t>
  </si>
  <si>
    <t>repanaki</t>
  </si>
  <si>
    <t xml:space="preserve">Να στείλω βαθμούς στα παιδία </t>
  </si>
  <si>
    <t>Να στείλω υπενθυμήση για αξιολήγηση και την επόμενη εβδομάδα να ελέγξω και να στείλω αποτελέσματα</t>
  </si>
  <si>
    <t>PAPADOPOULOS ANTONIOS</t>
  </si>
  <si>
    <t>ΕΡΓΑΣΙΑ 20%</t>
  </si>
  <si>
    <t>ΤΕΛΙΚΗ ΕΞΕΤΑΣΗ 80%</t>
  </si>
  <si>
    <t>ΑΝΑΣΤΑΣΙΑΔΗ ΝΙΚΟΛΕΤΑ</t>
  </si>
  <si>
    <t>ΚΟΥΤΣΟΓΙΑΝΝΑΚΗΣ ΙΩΑΝΝΗΣ</t>
  </si>
  <si>
    <t>ΠΕΡΗΦΑΝΟΥ ΕΙΡΗΝΗ</t>
  </si>
  <si>
    <t>ΧΑΪΝΑΚΗ ΕΥΑ</t>
  </si>
  <si>
    <t>ΠΡΑΚΤΙΚΗ ΕΦΑΡΜΟΓΗ ΣΕ ΧΩΡΟ ΒΙΤΡΙΝΑΣ</t>
  </si>
  <si>
    <t>ΤΕΛΙΚΟΣ ΒΑΘΜΟΣ</t>
  </si>
  <si>
    <t>ΑΝΤΩΝΑΚΑΚΗ ΕΛΕΝΗ</t>
  </si>
  <si>
    <t>ΑΠΟΣΤΟΛΑΚΗ ΑΝΑΣΤΑΣΙΑ</t>
  </si>
  <si>
    <t>ΑΡΦΑΝΑΚΗ ΜΑΡΙΑ</t>
  </si>
  <si>
    <t>ΒΑΣΙΛΕΙΑΔΗ ΦΩΤΕΙΝΗ</t>
  </si>
  <si>
    <t>ΓΕΩΡΓΙΟΥΔΑΚΗ ΕΛΕΝΗ</t>
  </si>
  <si>
    <t>ΔΑΣΚΑΛΑΚΗ-ΙΕΡΑΠΕΤΡΙΤΑΚΗ ΡΑΦΑΕΛΑ</t>
  </si>
  <si>
    <t>ΖΑΧΑΡΑΚΗΣ ΝΙΚΟΛΑΟΣ</t>
  </si>
  <si>
    <t>ΦΡΑΓΚΙΑΔΑΚΗ ΣΤΥΛΙΑΝΗ</t>
  </si>
  <si>
    <t>ΕΠΑΓΓΕΛΜΑΤΙΚΕΣ ΔΕΞΙΟΤΗΤΕΣ ΜΕ ΤΗ ΧΡΗΣΗ ΥΠΟΛΟΓΙΣΤΙΚΩΝ ΦΥΛΛΩΝ</t>
  </si>
  <si>
    <t>ΜΑΝΙΟΥΔΑΚΗΣ	ΧΑΡΙΔΗΜΟΣ ΕΜΜΑΝΟΥΗΛ</t>
  </si>
  <si>
    <t>ΡΙΖΟΥ ΕΜΜΑΝΟΥΕΛΛΑ</t>
  </si>
  <si>
    <t>ΤΣΙΚΑΝΔΥΛΑΚΗΣ ΚΩΝΣΤΑΝΤΙΝΟΣ ΜΑΡΙΟΣ</t>
  </si>
  <si>
    <t>ΜΑΡΙΑ ΓΕΩΡΓΊΑ ΜΙΧΑΛΑΚΗ</t>
  </si>
  <si>
    <t>mariageorgia1983@gmail.com</t>
  </si>
  <si>
    <t>Τετάρτη, 11 Φεβρουαρίου 2026</t>
  </si>
  <si>
    <t>ΖΗΤΟΥΣΕ ΠΛΗΡΟΦΟΡΙΕΣ ΚΑΙ ΤΕΛΙΚΑ ΕΙΠΕ ΘΕΛΕΙ ΝΑ ΣΚΕΥΤΕΙ ΚΑΙ ΝΑ ΑΠΟΦΑΣΙΣΕΙ ΕΚΕΙ ΓΥΡΩ ΣΤΟΝ ΑΥΓΟΥΣΤΟ ΠΟΥ ΘΑ ΞΕΡΕΙ</t>
  </si>
  <si>
    <t>ΑΣΦΑΛΕΙΑ KAI ΥΓΙΕΙΝΗ</t>
  </si>
  <si>
    <t>ΔΙΟΙΚΗΣΗ ΑΕΡΟΔΡΟΜΙΩΝ ΚΑΙ ΑΕΡΟΠΟΡΙΚΩΝ ΕΤΑΙΡΕΙΩΝ</t>
  </si>
  <si>
    <t>ΛΕΙΤΟΥΡΓΙΕΣ ΕΤΑΙΡΕΙΩΝ ΕΠΙΓΕΙΑΣ ΕΞΥΠΗΡΕΤΗΣΗΣ - ΕΞΥΠΗΡΕΤΗΣΗ ΕΠΙΒΑΤΩΝ/ΙΔΩΝ Ή ΠΕΛΑΤΩΝ/ΙΣΣΩΝ (CHECK IN/BAGGAGE HANDLING)</t>
  </si>
  <si>
    <t>ΜΑΡΑΓΚΑΚΗ ΜΑΡΙΑ</t>
  </si>
  <si>
    <t>ΣΜΥΡΝΑΚΗ ΚΩΝΣΤΑΝΤΙΝΑ</t>
  </si>
  <si>
    <t>ΣΤΑΜΑΤΑΚΗ ΟΥΡΑΝΙΑ</t>
  </si>
  <si>
    <t>ΖΑΧΑΡΟΠΛΑΣΤΙΚΗ ΤΕΧΝΗ Ι</t>
  </si>
  <si>
    <t>ΣΤΟΙΧΕΙΑ ΜΑΓΕΙΡΙΚΗΣ (CATERING) Ι</t>
  </si>
  <si>
    <t>ΚΑΛΑΦΑΤΗ ΜΑΡΙΑ ΜΑΡΙΝΑ</t>
  </si>
  <si>
    <t>ΔΙΑΧΕΙΡΙΣΗ ΠΡΩΤΩΝ ΥΛΩΝ ΙΙ (F &amp; B MANAGEMENT IΙ) - ΚΟΣΤΟΛΟΓΗΣΗ ΠΑΡΑΣΚΕΥΑΣΜΑΤΩΝ</t>
  </si>
  <si>
    <t>ΓΕΩΡΓΑΝΤΩΝΑΚΗ ΣΤΥΛΙΑΝΗ-ΓΕΩΡΓΙΑ</t>
  </si>
  <si>
    <t>ΚΟΥΜΑΚΗ ΜΑΡΙΑ</t>
  </si>
  <si>
    <t>ΚΟΥΝΑΛΑΚΗΣ ΣΤΑΥΡΟΣ</t>
  </si>
  <si>
    <t>ΚΥΠΡΑΙΟΣ ΜΙΧΑΗΛ</t>
  </si>
  <si>
    <t>ΜΑΛΛΙΩΤΑΚΗ ΦΙΛΟΞΕΝΗ</t>
  </si>
  <si>
    <t>ΠΡΑΚΤΙΚΗ ΕΦΑΡΜΟΓΗ</t>
  </si>
  <si>
    <t>ΚΑΠΛΛΑΝΙ ΓΙΩΡΓΟΣ</t>
  </si>
  <si>
    <t>ΚΑΡΕΜΑΝΑΪ ΚΛΟΝΤΙΑΝ</t>
  </si>
  <si>
    <t>ΑΝΔΡΟΥΛΑΚΗ</t>
  </si>
  <si>
    <t>androulaki</t>
  </si>
  <si>
    <t>Τρίτη 14/10/2025 19:30-21:00 ok και Πέμπτη 16/10/2025 19:30-21:00 ok</t>
  </si>
  <si>
    <t>ΓΕΩΡΓΙΑ ΒΡΑΧΝΑΚΗ</t>
  </si>
  <si>
    <t>Παρασκεύη, 13 Φεβρουαρίου 2026</t>
  </si>
  <si>
    <t>gogophysics@yahoo.gr</t>
  </si>
  <si>
    <t>EUROBANK GR 2002603300000130201705162</t>
  </si>
  <si>
    <t xml:space="preserve">Την Δευτέρα 02/03/2026 να προετοοιμάσω αξιολογήσεις και να στείλω στους εκπαιδευτές και να φτιάξω και μια μαζική αναφορά με το τι πάει καλά και τι θέλει διόρθωση με βάση αυτά που γράφουν. </t>
  </si>
  <si>
    <t xml:space="preserve">ΑΞΙΟΛΟΓΗΣΕΙΣ </t>
  </si>
  <si>
    <t xml:space="preserve">Να πω στο Κώστα να με συνδέσει ξανά στο κατάρτιση στη google διότι πάω να συνδεθώ και μου γράφει θέλει επιβεβαίωση από XIAOMI REDMI NOTE 10  και δεν έχω πρόσβαση ούτε στα gforms που θέλω να ελέγξω </t>
  </si>
  <si>
    <t xml:space="preserve">ΤΕΧΝΙΚΟΣ ΥΠΟΛΟΓΙΣΤΩΝ </t>
  </si>
  <si>
    <t>Θα έρθει άυριο ο υποψήφιος Σπουδαστής Μπουντόνας Άγγελος με την μητέρα του κυρία Μουτράκη, να δει τον Φυσαράκη και τον Κυρλάκη τηλέφωνο (6948403397)</t>
  </si>
  <si>
    <t xml:space="preserve">ΡΑΝΤΕΒΟΥ </t>
  </si>
  <si>
    <t>EUROBANK: IBAN GR0302601670000640200710192   </t>
  </si>
  <si>
    <t>iwona55@windowslive.com, antonis232123@outlook.com.gr</t>
  </si>
  <si>
    <t>ΝΑ ΚΑΝΟΥΜΕ ΒΕΒΑΙΩΣΗ ΣΤΡΑΤΟΛΟΓΙΑΣ ΓΙΑ ΤΟΝ ΑΝΤΟΝΗ ΠΑΠΑΔΟΠΟΥΛΟ</t>
  </si>
  <si>
    <t>ΛΟΓΑΡΙΑΣΜΟΙ IBAN</t>
  </si>
  <si>
    <t>ΝΑ ΣΤΕΙΛΩ ΛΙΣΤΕΣ ΜΕ ΤΟΥΣ ΕΚΠΑΙΔΕΥΟΜΕΝΟΥΣ ΤΟΥΣ ΣΤΟΥΣ ΕΚΠΑΙΔΕΥΤΕΣ ΠΟΥ ΤΟΥΣ ΈΧΟΥΝ</t>
  </si>
  <si>
    <t>ΛΙΟΥΔΑΚΗ</t>
  </si>
  <si>
    <t xml:space="preserve">ΖΑΧΑΡΕΝΙΑ </t>
  </si>
  <si>
    <t>zaxarenialiou@gmail.com</t>
  </si>
  <si>
    <t>lioudaki</t>
  </si>
  <si>
    <t>ΖΑΧΑΡΕΝΙΑ</t>
  </si>
  <si>
    <t>Τράπεζα Πειραιώς GR0401727510 005751063714325</t>
  </si>
  <si>
    <t>ΠΑΓΚΡΗΤΙΑ GR7801600150000000150992851</t>
  </si>
  <si>
    <t>ΑΝΑΚΑΙΝΗΣΗ</t>
  </si>
  <si>
    <t>ΝΑ ΥΠΕΝΘΥΜΙΣΩ ΣΤΟΝ ΚΑΘΑΡΑΚΗ ΓΙΑ ΤΑ ΠΛΑΚΑΚΙΑ ΚΑΙ ΝΑ ΤΟΥ ΔΩΣΩ ΤΟ ΧΑΡΤΑΚΙ ΠΟΥ ΕΧΩ ΣΤΟ ΣΥΡΤΑΡΙ ΔΙΠΛΑ ΜΟΥ ΤΟ ΜΠΛΕ ΧΑΡΤΑΚΙ ΚΑΙ ΝΑ ΌΤΑΝ ΤΑ ΠΑΡΕΙ ΝΑ ΚΑΛΕΣΩ ΤΟΝ ΜΠΑΜΠΑ ΤΗΣ ΒΟΙΔΑΣΚΗ ΓΙΑ ΝΑ ΤΑ ΒΑΛΕΙ ΤΑ ΠΛΑΚΑΚΙΑ ΣΤΟ ΚΕΘΕΙΟ. ΒΟΙΔΑΣΚΗΣ ΜΙΧΑΛΗΣ (6974432428) ΠΛΑΚΑΚΙΑ 15€+ΦΠΑ</t>
  </si>
  <si>
    <t>Σοκολάτες</t>
  </si>
  <si>
    <t>ΕΝΗΜΕΡΩΣΗ ΠΡΟΣ ΚΑΘΑΡΑΚΗ</t>
  </si>
  <si>
    <t xml:space="preserve">1. ΛΥΚΕΙΟ ΑΡΚΑΛΟΧΩΡΙΟΥ ΜΩΡΑΙΤΗΣ 11/03/2026 10:00, 2. ΠΛΑΚΑΚΙΑ ΣΟΣ, 3. ΝΑ ΚΑΝΟΝΙΣΕΤΕ ΣΤΟ FORUM ΝΑ ΕΧΟΥΜΕ ΤΗΛΕΩΡΑΣΗ, 4.ΝΑ ΠΕΙ ΓΙΑ ΣΗΜΕΙΕΣ ΤΙ ΝΑ ΚΑΝΟΥΜΕ ΚΑΙ ΑΝ ΕΊΝΑΙ ΝΑ ΚΑΛΕΣΩ ALPHA SIN 5. ΝΑ ΠΕΙ ΚΑΙ ΕΚΕΙΝΟΣ ΤΙ ΝΑ ΚΑΝΟΥΜΕ ΓΙΑ ΤΑ ΠΡΑΓΜΑΤΑ ΓΙΑΤΙ ΤΡΙΤΗ ΕΧΕΙ ΓΥΨΟΣΑΝΙΔΕΣ 6. ΣΑΣ ΕΧΕΙ ΣΤΕΙΛΕΙ ΕΜΑΙΛ ΓΙΑ ΤΙ ΣΧΟΛΗ ΓΟΝΕΩΝ </t>
  </si>
  <si>
    <t>marilenaagg@gmail.com</t>
  </si>
  <si>
    <t>Δευτέρα, 23 Φεβρουαρίου 2026</t>
  </si>
  <si>
    <t>ΜΑΡΙΛΕΝΑ ΑΓΚΟΥΡΑΚΙ</t>
  </si>
  <si>
    <t>ΘΕΛΕΙ ΝΑ ΕΡΘΕΙ ΚΑΠΟΙΑ ΣΤΙΓΜΗ ΘΕΛΕΙ ΝΑ ΕΡΘΕΙ ΝΑ ΓΡΑΦΤΕΙ ΓΙΑ ΟΚΤΩΜΒΡΙΟ</t>
  </si>
  <si>
    <t>ΣΥΜΒΑΣΕΙΣ ΚΑΙ ΠΡΟΣΩΠΙΚΑ ΔΕΔΟΜΕΝΑ ΝΑ ΚΑΝΩ</t>
  </si>
  <si>
    <t>ΝΑ ΤΣΕΚΑΡΩ ΠΗΓΑΣΟ ΚΑΙ ΓΙΑ ΜΑΡΑΓΚΑΚΗ ΠΡΑΚΤΙΚΗ ΚΑΙ ΜΕΤΑ ΕΚΔΟΣΗ ΒΕΚ</t>
  </si>
  <si>
    <t xml:space="preserve">ΝΑ ΚΟΙΤΑΩ ΣΤΟ ΙΣΑΕΚ ΠΡΩΤΟ ΓΙΑ ΤΥΧΩΝ ΕΓΓΡΑΦΕΣ ΓΙΑ ΣΧΟΛΕΙΑ </t>
  </si>
  <si>
    <t>ΕΚΑΝΑ ΠΑΡΑΓΓΕΛΙΕΣ, ΕΣΤΕΙΛΑ ΕΙΣΗΓΗΣΗ ΣΤΟ ΚΑΘΑΡΑΚΗ ΓΙΑ ΤΑ ΠΛΑΚΑΚΙΑ, ΜΙΛΗΣΑ ΓΙΑ ΤΗΛΕΩΡΑΣΗ ΓΙΑ ΤΟ FORUM, ΤΟΥ ΕΙΠΑ ΓΙΑ ΤΗΝ ΣΧΟΛΗ ΓΟΝΕΩΝ</t>
  </si>
  <si>
    <t>ΝΑ ΒΡΩ ΒΙΒΛΙΟΠΟΛΕΙΑ ΣΤΟ ΗΡΑΚΛΕΙΟ ΚΑΙ ΕΚΔΟΤΙΚΟΥΣ ΟΙΚΟΥΣ ΣΕ ΟΛΗ ΤΗΝ ΕΛΛΑΔΑ ΚΑΙ ΝΑ ΡΩΤΗΣΩ ΤΟΝ ΚΑΘΑΡΑΚΗ ΑΝ ΕΊΝΑΙ ΝΑ ΣΤΕΙΛΩ ΤΗΝ ΑΠΟΦΑΣΗ ΓΙΑ ΝΑ ΤΟ ΠΑΡΟΥΝ</t>
  </si>
  <si>
    <t>Αριθμός Μητρώου</t>
  </si>
  <si>
    <t>ΝΑ ΠΗΓΑΙΝΩ ΣΤΙΣ ΑΙΘΟΥΣΕΣ ΠΡΙΝ ΞΕΚΙΝΗΣΟΥΝ ΚΑΙ ΝΑ ΤΟΥΣ ΖΗΤΑΩ ΝΑ ΚΑΝΟΥΝ ΤΗΝ ΑΞΙΟΛΟΓΗΣΗ ΟΣΟΙ ΔΕΝ ΤΗΝ ΕΧΟΥΝ ΚΑΝΕΙ ΚΑΙ ΝΑ ΕΧΩ ΚΑΙ ΤΟ ΛΙΝΚ ΝΑ ΤΟΥΣ ΤΟ ΚΑΝΩ ΑΠΟΣΤΟΛΗ ΕΚΕΙΝΗ ΤΗΝ ΩΡΑ</t>
  </si>
  <si>
    <t xml:space="preserve">Το 2ο και το 3ο ΕΠΑΛ θέλουν να έρθουν εδώ και όχι να πάμε εμείς </t>
  </si>
  <si>
    <t>64</t>
  </si>
  <si>
    <t>33</t>
  </si>
  <si>
    <t>30</t>
  </si>
  <si>
    <t>35</t>
  </si>
  <si>
    <t>36</t>
  </si>
  <si>
    <t>56</t>
  </si>
  <si>
    <t>41</t>
  </si>
  <si>
    <t>59</t>
  </si>
  <si>
    <t>19</t>
  </si>
  <si>
    <t>60</t>
  </si>
  <si>
    <t>37</t>
  </si>
  <si>
    <t>Μιίλησα με τον Μασαούτη ο οποίος θα ερθει αύριο προς το μεσημεράκι για να δεί τη φούσκα 3 που ρίχνει το ρελε διαροής στην αίθουσα μαγειρικής</t>
  </si>
  <si>
    <t>Να πω στον κύριο Τσικαλάκη να πληρώσει τις σημαίες με revolut με email που θα του προωθήσω από τις εκκρεμώτητες και να με ενημερώσει όταν έχει γίνει η πληρωμή για να τις πάρω</t>
  </si>
  <si>
    <t>Να δώσω στο κ.Τσικαλάκη τις ώρες των εκπαιδευτών.</t>
  </si>
  <si>
    <t>ΌΤΑΝ ΕΡΘΕΙ Η ΜΕΛΠΩ ΝΑ ΤΗΣ ΘΥΜΙΣΩ ΤΗΝ ΔΙΑΚΟΝΙΑ ΑΓΑΠΗΣ ΓΙΑ ΝΑ ΡΩΤΗΣΕΙ ΤΟΝ ΚΑΘΑΡΑΚΗ ΓΙΑ ΔΩΡΕΕΣ ΠΟΥ ΜΑΣ ΕΙΧΕ ΠΕΙ</t>
  </si>
  <si>
    <t xml:space="preserve">ΕΙΔΙΚΑ ΘΕΜΑΤΑ ΟΙΚΟΝΟΜΙΚΩΝ ΜΑΘΗΜΑΤΙΚΩΝ </t>
  </si>
  <si>
    <t>ΟΙΚΟΝΟΜΙΚΗ ΤΩΝ ΕΠΙΧΕΙΡΗΣΕΩΝ</t>
  </si>
  <si>
    <t xml:space="preserve">ΕΙΔΙΚΑ ΘΕΜΑΤΑ ΓΕΝΙΚΗΣ ΛΟΓΙΣΤΙΚΗΣ </t>
  </si>
  <si>
    <t>ΕΠΙΧΕΙΡΙΣΙΑΚΕΣ ΕΠΙΚΟΙΝΩΝΙΕΣ</t>
  </si>
  <si>
    <t xml:space="preserve">ΕΦΑΡΜΟΓΗ ΣΤΗΝ ΚΑΤΑΣΚΕΥΗ ΑΕΡΟΠΟΡΙΚΟΥ ΝΑΥΛΟΥ ΚΑΙ ΤΙΜΟΛΟΓΗΣΗ ΑΕΡΟΠΟΡΙΚΩΝ ΕΙΣΗΤΗΡΙΩΝ </t>
  </si>
  <si>
    <t xml:space="preserve">ΕΦΑΡΜΟΣΜΕΝΑ ΣΥΣΤΗΜΑΤΑ ΚΡΑΤΗΣΕΩΝ ΑΕΡΟΠΟΡΙΚΩΝ ΕΙΣΙΤΗΡΙΩΝ </t>
  </si>
  <si>
    <t xml:space="preserve">ΜΑΡΚΕΤΙΝΓΚ ΑΕΡΟΔΡΟΜΙΩΝ ΚΑΙ ΑΕΡΟΠΟΡΙΚΩΝ ΕΤΑΙΡΕΙΩΝ </t>
  </si>
  <si>
    <t>ΛΕΙΤΟΥΡΓΙΕΣ ΕΤΑΙΡΕΙΩΝ ΕΠΙΓΕΙΑΣ ΕΞΥΠΗΡΕΤΗΣΗΣ - ΕΞΥΠΗΡΕΤΗΣΗΕΠΙΒΑΤΩΝ/ΙΔΙΩΝ Ή ΠΕΛΑΤΩΝ/ΙΣΣΩΝ (ΑΝΑΧΩΡΗΣΗΣ/AIRSIDE)</t>
  </si>
  <si>
    <t>ΠΡΟΒΛΕΨΗ ΖΗΤΗΣΗΣ ΑΕΡΟΠΟΡΙΚΩΝ ΕΙΣΗΤΗΡΙΩΝ ΚΑΙ ΑΝΑΛΥΣΗ ΑΓΟΡΑΣ</t>
  </si>
  <si>
    <t>ΟΡΓΑΝΩΣΗ ΕΡΓΑΣΙΩΝ ΕΡΓΟΥ</t>
  </si>
  <si>
    <t>ΔΙΑΚΟΣΜΗΤΙΚΟ ΣΧΕΔΙΟ</t>
  </si>
  <si>
    <t>ΖΑΧΑΡΟΠΛΑΣΤΙΚΗ ΤΕΧΝΗ ΙΙ</t>
  </si>
  <si>
    <t>FOOD AND BEVERAGE MANAGEMENT (ΕΛΕΓΧΟΣ ΕΜΠΟΡΕΥΜΑΤΩΝ)</t>
  </si>
  <si>
    <t>ΖΑΧΑΡΟΠΛΑΣΤΙΚΗ ΤΕΧΝΗ ΙV</t>
  </si>
  <si>
    <t>ΣΤΟΙΧΕΙΑ ΖΑΧΑΡΟΠΛΑΣΤΙΚΗ ΙΙ</t>
  </si>
  <si>
    <t>ΝΑ ΠΩ ΣΤΟΝ ΜΑΡΙΟ ΝΑ ΠΑΡΕΙ ΤΟ ΤΙΜΟΛΟΓΙΟ ΓΙΑΤΙ ΔΕΝ ΕΊΝΑΙ ΔΙΚΟ ΜΑΣ ΤΕΛΙΚΑ, ΑΣ  ΤΟ ΠΑΕΙ ΣΤΗΝ ΕΠΙΧΕΙΡΗΣΗ ΝΑ ΤΟ ΚΑΝΟΥΝ ΠΙΣΤΩΤΙΚΟ Ή ΔΕΝ ΞΕΡΩ ΤΙ….ΤΟ ΕΧΩ ΣΤΟ ΣΥΡΤΑΡΙ ΜΟΥ ΣΤΟ 2ο ΡΑΦΙ</t>
  </si>
  <si>
    <t>ΝΑ ΕΝΗΜΕΡΩΣΩ ΤΟΝ ΚΑΘΑΡΑΚΗ ΓΙΑ ΤΗΝ ΦΟΥΣΚΑ ΣΤΟ ΜΑΓΕΙΡΙΟ ΠΩΣ ΕΧΕΙ ΧΑΛΆΣΕΙ ΤΟ ΜΟΤΕΡ ΚΑΙ ΜΠΟΡΟΥΜΕ ΕΙΠΕ Ο ΚΥΡΙΟΣ ΜΑΣΑΟΥΤΗΣ ΕΊΤΕ ΝΑ ΑΛΛΑΞΟΥΜΕ ΤΟ ΜΟΤΕΡ (Ο ΚΑΠΕΤΑΝΙΟΣ ΠΟΥ ΤΟ ΕΒΑΛΕ) ΕΙΤΕ ΝΑ ΤΟ ΑΛΛΆΞΕΙ ΕΚΕΙΝΟΣ, ΕΙΤΕ ΝΑ ΤΟ ΔΙΟΡΘΩΣΕΙ ΚΑΙ ΘΑ ΕΡΘΕΙ ΕΚΕΙΝΟΣ ΤΟ ΜΕΣΗΜΕΡΙ ΝΑ ΤΟ ΠΑΡΕΙ ΝΑ ΤΟ ΔΙΟΡΘΩΣΕΙ</t>
  </si>
  <si>
    <t>ΘΑ ΕΡΘΕΙ Ο ΜΑΣΑΟΥΤΗΣ ΝΑ ΠΑΡΕΙ ΤΟ ΜΟΤΕΡ ΤΟ ΜΕΣΗΜΕΡΙ ΝΑ ΤΟ ΠΑΕΙ ΣΤΟ ΜΑΣΤΟΡΑ ΚΑΙ ΜΕΤΑ ΘΑ ΔΟΥΜΕ ΠΟΣΑ ΧΡΗΜΑΤΑ ΘΕΛΕΙ ΓΙΑ ΝΑ ΦΤΙΑΧΘΕΙ ΚΑΙ ΣΕ ΠΟΣΟ ΧΡΟΝΟ ΓΙΑ ΝΑ ΔΟΥΜΕ ΑΝ ΣΥΜΦΑΙΡΕΙ</t>
  </si>
  <si>
    <t xml:space="preserve">ΝΑ ΠΩ ΣΤΗΝ ΜΕΛΠΩ ΠΩΣ ΜΕ ΚΑΛΕΣΕ Ο ΨΥΚΤΙΚΟΣ ΚΑΙ ΜΟΥ ΕΙΠΕ ΌΤΙ ΤΗΣ ΕΣΤΕΙΛΕ ΠΡΟΣΦΟΡΕΣ ΚΑΙ ΘΕΛΕΙ ΝΑ ΜΑΘΕΙ ΔΕΥΤΕΡΑ ΤΙ ΘΑ ΓΙΝΕΙ ΤΟΥ ΕΙΠΑ ΠΩΣ ΜΑΛΛΟΝ ΠΕΡΝΑΕΙ ΠΡΩΤΑ ΔΣ ΑΛΛΑ ΝΑ ΤΟΝ ΕΝΗΜΕΡΩΣΟΥΜΕ </t>
  </si>
  <si>
    <t>ΝΑ ΠΩ ΣΤΗΝ ΜΕΛΠΩ ΝΑ ΤΣΕΚΑΡΕΙ ΛΙΓΟ ΤΙΣ ΣΥΜΒΑΣΕΙΣ ΓΙΑ ΤΑ ΤΙΜΟΛΟΓΙΑ ΚΑΙ ΜΕΤΑ ΑΝ ΕΊΝΑΙ ΝΑ ΕΚΤΥΠΏΣΟΥΜΕ ΚΑΙ ΝΑ ΔΙΝΟΥΜΕ ΠΡΟΣ ΥΠΟΓΡΑΦΕΣ</t>
  </si>
  <si>
    <t xml:space="preserve">ΤΙ ΕΚΑΝΑ </t>
  </si>
  <si>
    <t>ΧΑΛΙΛΗΣ - CLEAN HEAVEN</t>
  </si>
  <si>
    <t>Ο ΜΑΣΑΟΥΤΗΣ ΔΕΝ ΤΟ ΣΗΚΩΝΕΙ ΓΙΑ ΝΑ ΜΑΣ ΠΕΙ ΠΛΗΡΟΦΟΡΙΕΣ ΓΙΑ ΤΟ ΜΟΤΕΡ, Ο ΨΥΚΤΙΚΟΣ ΕΝΗΜΕΡΩΣΕ ΠΩΣ ΘΑ ΕΡΘΕΙ ΣΗΜΕΡΑ ΤΟ ΒΡΑΔΥ ΑΛΛΑ ΕΊΝΑΙ ΠΑΡΑ ΠΟΛΎ ΔΥΣΚΟΛΟ, ΚΑΘΩΣ ΔΕΝ ΒΡΊΣΚΟΝΤΑΙ ΗΡΑΚΛΕΙΟ ΚΑΙ ΘΑ ΓΥΡΙΣΟΥΝ ΠΟΛΎ ΑΡΓΑ ΤΟ ΒΡΑΔΥ. ΟΠΟΤΕ ΜΑΛΛΟΝ ΛΕΕΙ ΘΑ ΕΡΘΕΙ ΑΥΡΙΟ ΔΗΛΑΔΗ ΤΟ ΣΑΒΒΑΤΟ Ή ΤΗΝ ΔΕΥΤΕΡΑ ΑΝ ΔΕΝ ΠΡΟΛΑΒΕΙ. ΤΟ ΜΕΣΗΜΕΡΙ ΘΑ ΕΡΘΕΙ ΚΑΙ ΕΚΕΙΝΟΣ ΓΙΑ ΤΙΣ ΦΥΑΛΕΣ</t>
  </si>
  <si>
    <t>ΝΑ ΔΩΣΟΥΜΕ 2 ΧΑΡΤΙΑ ΕΚΠΑΙΔΕΥΤΩΝ ΈΝΑ ΤΟΥ ΛΥΡΑΤΖΑΚΗ ΚΑΙ ΈΝΑ ΤΟΥ ΤΣΑΚΙΡΕΛΗ ΓΙΑ ΝΑ ΚΑΝΟΥΜΕ ΤΙΣ ΣΥΜΒΑΣΕΙΣ</t>
  </si>
  <si>
    <t>Να βρούμε βιβλιοπωλεία του Ηρακλείου και Εκδοτικούς Οίκους σε όλη την Ελλάδα για να στείλουμε το ενύπο από το ΔΣ και να μας διαθέσουν - κάνουν δωρεές για βιβλία</t>
  </si>
  <si>
    <t>ΝΑ ΕΝΗΜΕΡΩΣΩ ΤΗΝ ΜΕΛΠΩ ΓΙΑ ΤΟ EXCEL ΜΕ ΤΑ ΡΑΝΤΕΒΟΥ ΣΧΟΛΕΙΒΝ ΚΑΙ ΝΑ ΠΩ Το 2ο ΕΠΑΛ ΑΚΥΡΩΣΕ ΤΟ 18/03 ΚΑΙ ΤΟ ΕΚΑΝΕ 01/04/2026 ΚΑΙ ΘΑ ΕΡΘΟΥΝ ΚΑΝΟΝΙΚΑ ΕΔΏ</t>
  </si>
  <si>
    <t xml:space="preserve">ΝΑ ΚΑΛΕΣΩ ΔΕΥΤΕΡΑ ΞΑΝΑ ΤΟΝ ΤΕΧΝΙΚΟ ΑΝ ΔΕΝ ΕΧΟΥΝ ΦΕΡΕΙ ΦΥΑΛΕΣ ΚΑΙ ΝΑ ΚΑΛΕΣΩ ΓΙΑ ΤΗΝ ΗΛΕΚΤΡΟΒΑΝΑ </t>
  </si>
  <si>
    <t xml:space="preserve">Να αφερέσει την ηλεκτροβάνα (λευκόκουτάκι), και να συνδέσει την μαύρη ηλεκτροβανα με το καλόδιο που είναι σε αναμονή. </t>
  </si>
  <si>
    <t>5/15</t>
  </si>
  <si>
    <t>4/12</t>
  </si>
  <si>
    <t>3/6</t>
  </si>
  <si>
    <t>10/12</t>
  </si>
  <si>
    <t>4/21</t>
  </si>
  <si>
    <t>3/12</t>
  </si>
  <si>
    <t>4/6</t>
  </si>
  <si>
    <t>7/21</t>
  </si>
  <si>
    <t>Ο ψυκτικός θα έρθει το απόγευμα για να κάνει την κατάψυξη στο μαγειρίο</t>
  </si>
  <si>
    <t>Ο ηλεκτρολόγος με ενημέρωσε πως έφτιαξε ήδη ο τεχνικός το μοτέρ και είναι 120€ γιατί ένα καινούργιο θα κάνει 350€-400€ και θα έρθει μέχρι Τετάρτη να το βάλει. Είχε έρθει και το Σάββατο και έπαθε μια βλάβη και δεν τα κατάφερε να το βάλει…</t>
  </si>
  <si>
    <t>ΠΑΡΑΣΚΕΥΗ 13/03/2026 ΝΑ ΤΟΝ ΚΑΛΕΣΩ ΑΚΟΜΑ ΚΑΙ ΑΝ ΔΕΝ ΕΝΗΜΕΡΩΣΩ.ΜΑΣ ΚΑΛΕΣΕ Ο ΑΡΕΤΑΚΗΣ ΛΕΩΝΙΔΑΣ (6983830727) ΠΟΥ ΈΧΕΙ ΤΟ THE HOME, ΤΟ ELTORO ΚΑΙ ΤΟΝ ΑΛΧΗΜΙΣΤΗ, ΔΙΟΤΙ ΘΕΛΕΙ ΑΤΟΜΑ ΓΙΑ ΠΡΑΚΤΙΚΗ ΕΧΕΙ ΣΤΟ ΚΕΝΤΡΟ ΚΑΙ ΣΤΗΝ ΧΕΡΣΟΝΗΣΣΟ ΕΚΕΙΝΟΣ ΘΕΛΕΙ ΓΙΑ ΠΡΑΚΤΙΚΗ ΣΤΗ ΧΕΡΣΟΝΗΣΣΟ ΟΠΟΥ ΠΑΡΕΧΕΙ ΚΑΙ ΔΙΑΜΟΝΗ, ΤΟΥ ΕΙΠΑ ΘΑ ΜΑΣ ΣΤΕΙΛΕΙ EMAIL, ΝΑ ΤΟ ΠΡΟΩΘΉΣΟΥΜΕ ΣΤΑ ΠΑΙΔΙΑ ΚΑΙ ΜΕΤΑ ΒΛΕΠΟΥΜΕ ΑΝ ΘΕΛΕΙ ΚΑΠΟΙΟΣ</t>
  </si>
  <si>
    <t>ΝΑ ΡΩΤΗΣΩ ΤΟΝ ΚΩΣΤΑ ΑΝ ΕΧΕΙ ΤΟ AUTOCAD ΣΤΗΝ 8 ΚΑΙ ΝΑ ΕΧΟΥΜΕ ΈΝΑ ΑΚΟΜΗ LAPTOP ΜΕ AUTOCAD ΣΤΗΝ 8 ΓΙΑΤΙ ΜΙΑ ΜΑΘΗΤΡΙΑ ΔΕΝ ΕΧΕΙ ΚΑΙ ΘΕΛΕΙ ΝΑ ΕΧΕΙ ΤΙΣ ΤΕΤΑΡΤΕΣ</t>
  </si>
  <si>
    <t>IT</t>
  </si>
  <si>
    <t>14/21</t>
  </si>
  <si>
    <t>6/6</t>
  </si>
  <si>
    <t>11/21</t>
  </si>
  <si>
    <t>8/15</t>
  </si>
  <si>
    <t>3/18</t>
  </si>
  <si>
    <t>8/12</t>
  </si>
  <si>
    <t>18/21</t>
  </si>
  <si>
    <t>9/6</t>
  </si>
  <si>
    <t xml:space="preserve">Ο ψυκτικός ήρθε και είπε πως θέλει καθάρισμα, απόψυξη και θα του περάσει και ένα φάρμακο και αν γίνει εντάξει αλλίως θα το ψάξει τι μπορεί να είναι. Θα έρθει Πέμπτη ή Παραεσκεύη 12/13 ή θα έρθει Σάββατο 09-20 τον ενημέρωσα πως έχει μάθημα </t>
  </si>
  <si>
    <t>16/15</t>
  </si>
  <si>
    <t>ΤΗΝ ΠΕΜΠΤΗ 12/03/2026 ΣΤΙΣ 17:00 ΘΑ ΕΡΘΕΙ Η ΤΖΩΜΠΑΡΤΖΑΚΗ ΕΛΕΝΑ  (6986958977) ΠΟΥ ΕΊΝΑΙ ΥΠΟΨΗΦΙΑ ΣΠΟΥΔΑΣΤΡΙΑ ΣΤΟ ΤΜΗΜΑ ΔΙΑΚΟΣΜΗΣΗΣ ΚΑΙ ΘΕΛΕΙ ΞΕΝΑΓΗΣΗ ΚΑΙ ΝΑ ΔΕΙ ΚΑΙ ΤΗΝ ΜΠΙΤΖΟΥ</t>
  </si>
  <si>
    <t>8/6</t>
  </si>
  <si>
    <t>Πέμπτη, 12 Μαρτίου 2026</t>
  </si>
  <si>
    <t>17:00 μμ</t>
  </si>
  <si>
    <t xml:space="preserve"> ΤΖΩΜΠΑΡΤΖΑΚΗ ΕΛΕΝΑ</t>
  </si>
  <si>
    <t>ΒΕΒΑΙΩΣΗ ΕΡΓΟΔΟΤΗ (ΓΙΑ ΤΡΑΠΕΖΑ) ΚΑΙ ΒΕΒΑΙΩΣΗ ΔΙΔΑΚΤΙΚΗΣ ΕΜΠΕΙΡΙΑΣ (ΠΟΙΑ ΜΑΘΗΜΑΤΑ, ΠΟΙΑ ΠΕΡΙΟΔΟΣ, ΠΟΙΑ ΕΙΔΙΚΟΤΗΤΑ ΚΛΠ)ΦΥΓΕΤΑΚΗ ΜΑΡΙΑ ΚΑΙ ΠΕΛΑ ΜΑΡΚΑΚΗ ΤΡΥΠΑΚΗ</t>
  </si>
  <si>
    <t>15/15</t>
  </si>
  <si>
    <t>24/15</t>
  </si>
  <si>
    <t>Λευκοθεα Χαιρετη</t>
  </si>
  <si>
    <t>lefkahereti@gmail.com</t>
  </si>
  <si>
    <t>ΕΧΕΙ ΠΑΡΑΚΟΛΟΥΘΕΙΣΕΙ ΠΟΛΎ ΠΑΛΊΑ ΤΗΝ ΙΔΙΑ ΕΙΔΙΚΟΤΗΤΑ ΣΕ ΆΛΛΟ ΙΕΚ ΚΑΙ ΜΟΛΙΣ ΒΓΕΙ Η ΒΕΚ ΘΑ ΜΑΣ ΤΗΝ ΦΕΡΕΙ ΓΙΑ ΝΑ ΔΟΥΜΕ ΑΝ ΓΛΥΤΩΝΕΙ ΚΑΠΟΙΑ ΜΑΘΗΜΑΤΑ ΚΑΙ ΝΑ ΕΡΘΕΙ ΑΠΌ ΟΚΤΩΜΒΡΙΟ</t>
  </si>
  <si>
    <t>Κυριακή, 22 Μαρτίου 2026</t>
  </si>
  <si>
    <t>18:43 μμ</t>
  </si>
  <si>
    <t>10/6</t>
  </si>
  <si>
    <t>5/6</t>
  </si>
  <si>
    <t>12/12</t>
  </si>
  <si>
    <t>11/6</t>
  </si>
  <si>
    <t>12/6</t>
  </si>
  <si>
    <t>1/12</t>
  </si>
  <si>
    <t>15/18</t>
  </si>
  <si>
    <t>Nikos Maroulis</t>
  </si>
  <si>
    <t>23:48 μμ</t>
  </si>
  <si>
    <t>maroulisnikos2030@gmail.com</t>
  </si>
  <si>
    <t>ΕΧΕΙ ΚΑΝΕΙ ΑΛΛΕΣ ΤΡΕΙΣ ΦΟΡΕΣ ΕΚΔΗΛΩΣΗ ΕΚΔΙΑΦΕΡΟΝΤΟΣ ΚΑΙ ΕΙΠΕ ΘΑ ΜΑΣ ΕΝΗΜΕΡΩΣΕΙ ΚΑΙ ΘΑ ΕΡΘΕΙ ΡΑΝΤΕΒΟΥ</t>
  </si>
  <si>
    <t>ΕΛΕΝΗ ΣΑΡΙΔΑΚΗ</t>
  </si>
  <si>
    <t>Κυριακή, 29 Μαρτίου 2026</t>
  </si>
  <si>
    <t>Σάββατο, 28 Μαρτίου 2026</t>
  </si>
  <si>
    <t>24:08 μμ</t>
  </si>
  <si>
    <t>eleni1saridaki@gmail.com</t>
  </si>
  <si>
    <t>ΤΗΝ ΚΑΛΕΣΑΜΕ, ΔΕΝ ΤΥΟ ΣΗΚΩΝΕ ΚΑΙ ΘΑ ΞΑΝΑ ΕΠΙΚΟΙΝΩΝΗΣΟΥΜΕ ΑΥΡΙΟ ΣΤΙΣ 12:00</t>
  </si>
  <si>
    <t>10/15</t>
  </si>
  <si>
    <t xml:space="preserve">ΝΑ ΔΟΥΜΕ ΤΗΝ ΣΥΜΒΑΣΗ ΤΟΥ ΛΥΡΑΤΖΑΚΗ ΚΑΙ ΝΑ ΤΟΥ ΤΗΝ ΣΤΕΙΛΟΥΜΕ ΓΙΑΤΙ ΤΗΝ ΖΗΤΑΕΙ Ο ΛΟΓΙΣΤΗΣ </t>
  </si>
  <si>
    <t>13/6</t>
  </si>
  <si>
    <t>ΝΑ ΔΩΣΩ ΤΗΝ ΣΦΡΑΓΙΔΑ ΣΤΟΝ ΚΥΡΙΟ ΤΣΙΚΑΛΑΚΗ ΠΟΥ ΤΗΝ ΕΧΩ ΣΤΟ ΓΡΑΦΕΙΟ ΜΟΥ ΚΑΤΩ ΑΠΌ ΤΗΝ ΟΘΟΝΗ ΤΟΥ ΥΠΟΛΟΓΙΣΤΗ</t>
  </si>
  <si>
    <t>1/6</t>
  </si>
  <si>
    <t>5/21</t>
  </si>
  <si>
    <t>19/21</t>
  </si>
  <si>
    <t>14/6</t>
  </si>
  <si>
    <t xml:space="preserve">28 </t>
  </si>
  <si>
    <t>42</t>
  </si>
  <si>
    <t>31</t>
  </si>
  <si>
    <t>ΤΕΛΙΩΣΕ ΣΗΜΕΡΑ Η ΜΑΡΙΑ Η ΑΣΤΡΙΝΑΚΗ ΤΗΝ ΠΡΑΚΤΙΚΗ. ΑΠΕΛΕΥΘΕΡΩΝΕΤΑΙ ΘΕΣΗ ΑΝ ΘΕΛΕΙ ΝΑ ΚΑΝΕΙ ΤΗΝ ΠΡΑΚΤΙΚΗ Η ΚΑΣΙΑΝΗ ΑΡΕΤΑΚΗ, ΤΗΝ ΚΑΛΕΣΑ ΔΕΝ ΤΟ ΣΗΚΩΣΕ ΟΠΟΤΕ ΝΑ ΤΗΝ ΞΑΝΑ ΚΑΛΕΣΟΥΜΕ</t>
  </si>
  <si>
    <t>ΕΜΜΑΝΟΥΕΛΑ</t>
  </si>
  <si>
    <t>kallirroi78@gmail.com</t>
  </si>
  <si>
    <t>Δευτέρα, 20 Απριλίου 2026</t>
  </si>
  <si>
    <t>ΚΑΛΛΗΡΟΗ</t>
  </si>
  <si>
    <t>ΜΑΣ ΚΑΛΕΣΕ ΚΑΙ ΤΗΣ ΣΤΕΙΛΑΜΕ EMAIL, ΤΙ ΧΡΕΙΑΖΕΤΑΙ ΓΙΑ ΝΑ ΚΑΝΕΙ ΕΓΓΡΑΦΗ ΚΑΙ ΘΑ ΚΑΝΕΙ ΕΙΠΕ ΤΟΝ ΕΠΌΜΕΝΟ ΜΗΝΑ</t>
  </si>
  <si>
    <t>ΑΠΟ ΔΙΟΙΚΗΣΗ ΕΧΩ ΝΑ ΡΩΤΗΣΩ ΑΝΑΓΝΩΣΤΑΚΗ (ΔΙΑ ΖΩΣΗΣ), ΠΑΠΑΔΟΜΑΝΩΛΑΚΗΣ (ΕΞ ΑΠΟΣΤΑΣΕΩΣ), ΚΟΥΝΔΟΥΡΑΚΗ (ΔΙΑ ΖΩΣΗΣ), ΜΑΡΚΑΚΗ ΤΡΥΠΑΚΗ (ΕΞ ΑΠΟΣΤΑΣΕΩΣ)</t>
  </si>
  <si>
    <t>ΛΥΓΕΡΗ ΧΑΝΤΖΗ</t>
  </si>
  <si>
    <t>16:22 μμ</t>
  </si>
  <si>
    <t>kontogoulidouk@gmail.com</t>
  </si>
  <si>
    <t>7/18</t>
  </si>
  <si>
    <t>ΝΑ ΠΑΡΑΓΓΕΙΛΟΥΜΕ ΓΑΛΑ ΚΑΙ ΑΥΓΑ</t>
  </si>
  <si>
    <t xml:space="preserve">ΤΟ ΕΙΧΕ ΚΑΝΕΙ ΜΙΑ ΜΑΘΗΤΡΙΑ ΚΑΙ ΕΔΩΣΕ ΤΟ ΤΗΛΕΦΩΝΟ ΤΗΣ ΜΗΤΕΡΑΣ </t>
  </si>
  <si>
    <t>ΑΙΚΑΤΕΡΙΝΗ ΜΑΡΗ</t>
  </si>
  <si>
    <t>Σάββατο, 25 Απριλίου 2026</t>
  </si>
  <si>
    <t>marikaterina@gmail.com</t>
  </si>
  <si>
    <t>12:16 μμ</t>
  </si>
  <si>
    <t>Από το all day bar restaurant The yard, στην Πάργα ζητείται α' μάγειρας και βοηθός μάγειρα για την καλοκαιρινή σεζόν. Πλήρης ασφάλιση, διαμονή και διατροφή. Καλές συνθήκες εργασίες. Στο site του εστιατοριου μπορείτε να δείτε το μενού, από το πρωινό μέχρι και το μενού του εστιατορίου. Για περισσότερες πληροφορίες καλέστε με στο 6932635026. Θα χαρώ πολύ να επικοινωνήσετε μαζί μου! Ευχαριστώ εκ των προτέρων!</t>
  </si>
  <si>
    <t>20/9</t>
  </si>
  <si>
    <t>22/21</t>
  </si>
  <si>
    <t>9/12</t>
  </si>
  <si>
    <t>21/21</t>
  </si>
  <si>
    <t>NA KANOYME ΧΑΡΤΙΑ ΜΕΤΑΚΙΝΗΣΗΣ ΓΙΑ ΚΥΡΛΑΚΗ ΚΑΙ ΦΥΣΑΡΑΚΗ</t>
  </si>
  <si>
    <t>17/6</t>
  </si>
  <si>
    <t>18/18</t>
  </si>
  <si>
    <t>10/18</t>
  </si>
  <si>
    <t>11/18</t>
  </si>
  <si>
    <t>34/21</t>
  </si>
  <si>
    <t>45/21</t>
  </si>
  <si>
    <t>35/21</t>
  </si>
  <si>
    <t>ΔΕΝ ΤΟ ΣΗΚΩΝΕ ΚΑΙ ΣΤΕΙΛΑΜΕ EMAIL, ΜΑΣ ΚΑΛΕΣΕ ΤΗΝ ΕΠΟΜΕΝΗ ΗΜΕΡΑ ΚΑΙ ΤΗΝ ΕΝΗΜΕΡΩΣΑ ΓΙΑ ΤΙΣ ΣΥΜΘΗΚΕΣ ΚΑΙ ΜΟΥ ΕΙΠΕ ΠΩΣ ΕΊΝΑΙ ΕΝΤΑΞΕΙ ΚΑΙ ΘΕΛΕΙ ΑΠΟΓΕΥΜΑ ΕΠΕΙΔΗ ΔΟΥΛΕΥΕΙ ΚΑΙ ΘΑ ΤΟ ΣΚΕΥΤΕΙ ΚΑΙ ΘΑ ΕΠΙΚΟΙΝΩΝΗΣΕΙ ΚΑΙ ΕΚΕΙΝΗ ΞΑΝΑ ΜΑΖΙ ΜΑΣ</t>
  </si>
  <si>
    <t>40/21</t>
  </si>
  <si>
    <t>25/21</t>
  </si>
  <si>
    <t>16/21</t>
  </si>
  <si>
    <t>ΑΠΟ ΑΕΡΟΜΕΤΑΦΟΡΑ ΕΧΩ ΝΑ ΡΩΤΗΣΩ ΣΑΒΑ (ΕΞ ΑΠΟΣΤΑΣΕΩΣ), ΡΕΠΑΝΑΚΗ (), ΠΑΠΑΓΡΑΓΚΑΚΗ (ΔΙΑ ΖΩΣΗΣ), ΣΑΜΟΛΗ (), ΜΑΡΚΑΚΗ ΤΡΥΠΑΚΗ (ΔΙΑ ΖΩΣΗΣ)</t>
  </si>
  <si>
    <t>18/6</t>
  </si>
  <si>
    <t>ΝΑ ΡΩΤΗΣΩ ΓΙΑ ΠΛΗΡΩΜΕΣ ΤΗΝ ΝΑΤΑΣΑ ΓΙΑ ΤΗΝ ΣΤΕΛΑ ΤΗΝ ΦΡΑΓΚΙΑΔΑΚΗ ΔΙΟΤΙ ΛΕΕΙ ΠΩΣ ΕΧΕΙ ΠΛΗΡΩΣΕΙ ΟΚΤΩΜΒΡΙΟ, ΝΟΕΜΒΡΙΟ, ΔΕΚΕΜΒΡΙΟ ΚΑΙ ΙΑΝΟΥΑΡΙΟ 174€, ΤΟΝ ΦΕΒΡΟΥΑΡΙΟ 170€, ΤΟΝ ΜΑΡΤΙΟ 220€, ΚΑΙ ΤΟΝ ΑΠΡΙΛΙΟ 220€ ΕΞΤΡΑ ΑΠΌ ΤΑ 220€ ΤΟΥ ΜΑΙΟΥ ΠΟΥ ΕΔΩΣΕ ΣΗΜΕΡΑ</t>
  </si>
  <si>
    <t>20/15</t>
  </si>
  <si>
    <t>17/9</t>
  </si>
  <si>
    <t>ΤΡΙΣΔΙΑΣΤΑΤΗ ΔΙΑΚΟΣΜΗΤΙΚΗ</t>
  </si>
  <si>
    <t xml:space="preserve">ΔΙΑΚΟΣΜΗΤΙΚΕΣ ΜΕΤΑΒΛΗΤΕΣ ΕΦΑΡΜΟΓΕΣ </t>
  </si>
  <si>
    <t xml:space="preserve">ΕΠΙΧΕΙΡΗΣΙΑΚΕΣ ΕΠΙΚΟΙΝΩΝΙΕΣ </t>
  </si>
  <si>
    <t xml:space="preserve">ΟΙΚΟΝΟΜΙΚΗ ΤΩΝ ΕΠΙΧΕΙΡΗΣΕΩΝ </t>
  </si>
  <si>
    <t xml:space="preserve">ΜΟΛΙΣ ΠΕΡΑΣΟΥΜΕ ΤΑ ΣΤΟΙΧΕΙΑ ΚΑΙ ΕΙΜΑΣΤΕ ΕΤΟΙΜΟΙ ΓΙΑ ΝΑ ΚΛΕΙΣΟΥΜΕ ΤΟ ΕΞΆΜΗΝΟ ΚΑΙ ΝΑ ΞΕΚΙΝΗΣΟΥΝ ΤΑ ΠΑΙΔΙΑ ΠΡΑΚΤΙΚΕΣ, ΝΑ ΚΑΛΕΣΟΥΜΕ ΤΗΝ Άννα Κοκκίνη  (6980007399) Ζαχαροπλαστείο μέλισσα για να κλεισουμε το στιγμιοτυπο και να ξεκινήσει η ΣΟΦΙΑ ΑΛΕΞΗ ΑΝΑΡΓΥΡΗ ΠΡΑΚΤΙΚΗ 15/05
</t>
  </si>
  <si>
    <t>ΡΙΖΟΥ ΕΜΜΜΑΝΟΥΕΛΛΑ</t>
  </si>
  <si>
    <t>ΤΣΙΚΑΝΔΥΛΑΚΗΣ ΚΩΝΣΤΑΝΤΙΝΟΣ</t>
  </si>
  <si>
    <t xml:space="preserve">  ΜΑΝΩΛΑΚΑΚΗ ΜΑΡΙΑ</t>
  </si>
  <si>
    <t>ΝΑ ΔΩ ΜΕ ΤΗΝ ΝΑΤΑΣΑ ΓΙΑ ΤΟΝ ΖΑΧΑΡΑΚΗ ΝΙΚΟΛΑΟ</t>
  </si>
  <si>
    <t>2</t>
  </si>
  <si>
    <t>22</t>
  </si>
  <si>
    <t>21/9</t>
  </si>
  <si>
    <t>9/18</t>
  </si>
  <si>
    <t>11/9</t>
  </si>
  <si>
    <t xml:space="preserve">                                                                                                                                                                                                                                                                                                                                                                                        </t>
  </si>
  <si>
    <t>ΕΦΑΡΜΟΓΗ ΣΤΗΝ ΚΑΤΑΣΚΕΥΗ ΑΕΡΟΠΟΡΙΚΟΥ ΝΑΥΛΟΥ</t>
  </si>
  <si>
    <t>ΕΦΑΡΜΟΣΜΕΝΑ ΣΥΣΤΗΜΑΤΑ ΚΡΑΤΗΣΕΩΝ ΑΕΡΟΠΟΡΙΚΩΝ ΕΙΣΗΤΗΡΙΩΝ</t>
  </si>
  <si>
    <t xml:space="preserve">ΛΕΙΤΟΥΡΓΙΕΣ ΕΤΑΙΡΕΙΩΝ ΕΠΙΓΕΙΑΣ ΕΞΥΠΗΡΕΤΗΣΗΣ ΑΝΕΦΟΔΙΑΣΜΟΣ </t>
  </si>
  <si>
    <t>ΛΕΙΤΟΥΡΓΙΕΣ ΕΤΑΙΡΕΙΩΝ ΕΠΙΓΕΙΑΣ ΕΞΥΠΗΡΕΤΗΣΗΣ ΕΠΙΒΑΤΩΝ</t>
  </si>
  <si>
    <t>ΠΡΟΒΛΕΨΗ ΖΗΤΗΣΗΣ ΑΕΡΟΠΟΡΙΚΩΝ ΕΙΣΙΤΗΡΙΩΝ</t>
  </si>
  <si>
    <t>ΣΤΑΜΑΤΑΚΗΣ ΑΝΤΩΝΗΣ</t>
  </si>
  <si>
    <t>FOOD AND BEVERAGE MANAGEMENT I (ΕΛΕΓΧΟΣ ΕΜΠΟΡΕΥΜΑΤΩΝ)</t>
  </si>
  <si>
    <t xml:space="preserve">ΠΡΑΚΤΙΚΗ ΕΦΑΡΜΟΓΗ </t>
  </si>
  <si>
    <t>ΣΤΥΛΙΑΡΑΣ ΔΗΜΗΤΡΗΣ</t>
  </si>
  <si>
    <t>ΕΣΩΤΕΡΙΚΗ ΑΡΧΙΚΤΕΚΤΟΝΙΚΗ ΔΙΑΚΟΣΜΗΣΗ ΚΑΙ ΣΧΕΔΙΑΣΜΟΣ ΑΝΤΙΚΕΙΜΕΝΩΝ 2 ΕΤΟΣ</t>
  </si>
  <si>
    <t>ΤΕΧΝΙΚΟΣ ΜΑΓΕΙΡΙΚΗΣ ΤΕΧΝΗΣ - ΑΡΧΙΜΑΓΕΙΡΑΣ CHEF</t>
  </si>
  <si>
    <t>ΔΙΑΧΕΙΡΗΣΗ ΠΡΩΤΩΝ ΥΛΩΝ (F &amp; B MANAGEMENT)</t>
  </si>
  <si>
    <t>ΤΕΧΝΙΚΟΣ ΑΡΤΟΠΟΙΙΑΣ ΚΑΙ ΖΑΧΑΡΟΠΛΑΣΤΙΚΗΣ ΤΕΧΝΗΣ 1 ΕΤΟΣ</t>
  </si>
  <si>
    <t>ΑΛΕΞΗ ΣΟΦΙΑ ΑΝΑΡΓΥΡΗ</t>
  </si>
  <si>
    <t xml:space="preserve">ΕΛΛΗΝΙΚΑΚΗΣ ΙΩΑΝΝΗΣ </t>
  </si>
  <si>
    <t>ΤΕΧΝΙΚΟΣ ΑΡΤΟΠΟΙΙΑΣ ΚΑΙ ΖΑΧΑΡΟΠΛΑΣΤΙΚΗΣ ΤΕΧΝΗΣ 2 ΕΤΟΣ</t>
  </si>
  <si>
    <t xml:space="preserve">                                                 αρχιτεκτονικό γραφείο IRO PAPALOUKA sustainable architecture (https://papalouka.gr/)                                Studio: 57 Dimokratias Avenue, 
Heraklion 71306, Crete, Greece
Tel: +306937015655
Web: papalouka.gr</t>
  </si>
  <si>
    <t>ΑΙΚΑΤΕΡΙΝΗ ΠΛΑΤΕΛΑ</t>
  </si>
  <si>
    <t>k.platela@gmail.com</t>
  </si>
  <si>
    <t>Πέμπτη, 07 Μαίου 2026</t>
  </si>
  <si>
    <t>22:41 μμ</t>
  </si>
  <si>
    <t xml:space="preserve">ΤΗΝ ΚΑΛΕΣΑΜΕ ΔΕΝ ΤΟ ΣΗΚΩΣΕ ΚΑΙ ΞΑΝΑ ΚΑΛΕΣΕ ΠΙΣΩ ΚΑΙ ΜΑΣ ΕΙΠΕ ΠΩΣ ΑΡΧΙΚΑ ΝΟΜΙΖΕ ΠΩΣ ΕΊΝΑΙ ΙΔΙΟΤΙΚΟ ΕΠΕΙΤΑ ΔΟΥΛΕΥΕΙ ΠΡΩΙ - ΑΠΟΓΕΥΜΑ, ΤΗΣ ΕΙΠΑ ΠΩΣ ΕΧΕΙ ΚΑΙ ΓΙΑ ΕΞ ΑΠΟΣΤΑΣΕΩΣ ΚΑΙ ΜΟΥ ΕΙΠΕ ΠΩΣ ΘΑ ΤΟ ΣΚΕΥΤΕΙ ΚΑΙ ΘΑ ΜΑΣ ΠΕΙ </t>
  </si>
  <si>
    <t>ΑΝΔΡΟΥΛΑΚΗ ΕΛΕΥΘΕΡΙΑ</t>
  </si>
  <si>
    <t>ΑΝΑΛΥΤΙΚΗ ΚΑΡΤΕΛΑ ΠΛΗΡΩΜΩΝ ΒΕΛΟΓΛΟΥ ΓΕΩΡΓΙΑ ΝΑ ΠΩ ΣΤΗΝ ΝΑΤΑΣΑ</t>
  </si>
  <si>
    <t xml:space="preserve">                                                           Αρχιτεκτονικού γραφείου SUTO Architects                                                                                                                                Avra Tomara
Architect Engineer TUC, UPenn, SCI-Arc
Founding Principal
+30 6988272971</t>
  </si>
  <si>
    <t>ΝΑ ΔΩΣΩ ΤΑ ΧΡΗΜΑΤΑ ΤΟΥ ΤΑΤΑΡΗ</t>
  </si>
  <si>
    <t>6955581674 ΣΗΦΑΚΗ ΑΡΧΙΤΕΚΤΟΝΙΚΟ ΓΡΑΦΕΙΟ, ΣΤΕΡΓΟΓΙΑΝΝΗ 60</t>
  </si>
  <si>
    <t>ΝΑ ΡΩΤΗΣΩ ΓΙΑ ΕΞ ΑΠΟΣΤΑΣΕΩΣ Ή ΔΙΑ ΖΩΣΗΣ ΕΚΕΤΑΣΗ ΡΕΠΑΝΑΚΗ, ΣΑΜΟΛΗ, ΠΑΠΑΔΟΜΑΝΩΛΑΚΗ ΚΑΙ ΚΟΥΝΔΟΥΡΑΚΗ ΓΙΑ ΝΑ ΕΠΙΚΑΙΡΟΠΟΙΗΣΩ ΠΡΟΓΡΑΜΜΑΤΑ ΚΑΙ ΝΑ ΤΑ ΣΤΕΙΛΩ ΠΡΟΣ ΕΛΕΓΧΟ</t>
  </si>
  <si>
    <t xml:space="preserve">ΚΟΥΜΑΚΗΣ ΧΡΗΣΤΟΣ </t>
  </si>
  <si>
    <t>ΛΙΟΥΔΑΚΗ ΖΑΧΑΡΕΝΙΑ</t>
  </si>
  <si>
    <t>16/6</t>
  </si>
  <si>
    <t>Κατερίνα Καλύβα</t>
  </si>
  <si>
    <t>kkalyba42@gmail.com</t>
  </si>
  <si>
    <t>Τρίτη, 12 Μαίου 2026</t>
  </si>
  <si>
    <t>20:29 μμ</t>
  </si>
  <si>
    <t>Σοφία Αρναούτη</t>
  </si>
  <si>
    <t>sofia.arnaouti1@gmail.com</t>
  </si>
  <si>
    <t>Τετάρτη, 13 Μαίου 2026</t>
  </si>
  <si>
    <t>ΤΗΝ ΚΑΛΕΣΑΜΕ ΚΑΙ ΔΕΝ ΤΟ ΣΗΚΩΣΕ ΚΑΙ ΤΗΣ ΣΤΕΙΛΑΜΕ ΚΑΙ EMAIL, ΟΠΟΤΕ ΠΕΡΙΜΕΝΟΥΜΕ ΑΠΑΝΤΗΣΗ. ΜΕ ΚΑΛΕΣΕ ΜΕΤΑ ΚΑΙ ΕΊΝΑΙ ΠΟΛΎ ΣΥΝΕΝΟΗΣΗΜΗ ΤΗΣ ΑΡΕΣΕ Η ΙΔΕΑ. ΜΕΝΕΙ ΣΤΗΝ ΙΕΡΑΠΕΤΡΑ ΚΑΙ ΘΑ ΕΡΧΕΤΑΙ. ΘΑ ΤΟ ΣΚΕΦΤΕΙ ΚΑΙ ΘΑ ΜΑΣ ΚΑΛΕΣΕΙ.</t>
  </si>
  <si>
    <t>ΤΗΝ ΚΑΛΕΣΑΜΕ ΚΑΙ ΔΕΝ ΤΟ ΣΗΚΩΣΕ ΚΑΙ ΤΗΣ ΣΤΕΙΛΑΜΕ ΚΑΙ EMAIL, ΟΠΟΤΕ ΠΕΡΙΜΕΝΟΥΜΕ ΑΠΑΝΤΗΣΗ.</t>
  </si>
  <si>
    <t>16/12</t>
  </si>
  <si>
    <t>7/12</t>
  </si>
  <si>
    <t>5/12</t>
  </si>
  <si>
    <t>23/9</t>
  </si>
  <si>
    <t>ΒΑΘΜΟΛΟΓΙΕΣ ΠΡΟΧΕΙΡΟ</t>
  </si>
  <si>
    <t>Το φύλλο ΒΑΘΜΟΛΟΓΙΕΣ ΠΡΟΧΕΙΡΟ χρησιμοποιείτε κάθε τέλος του εξαμήνου (χειμερινό και εαρινό). Καθώς το eclass, δεν έχει δυνατότητα να ανεβάσουμε βαθμολογίες. Έτσι περνάμε εκεί τις βαθμολογίες, βάζοντας φίλτρο και πατόντας το αντίστιχο μάθημα, θα βάλουμε τις βαθμολογίες και μετά θα το κάνουμε αντιγραφή και επικόληση ως εικόνα και θα τους το στείλουμε στο email</t>
  </si>
  <si>
    <t>ΑΠΟΦΟΙΤΟΙ</t>
  </si>
  <si>
    <t>Στο φύλλο κατάσταση σπουδα και εκπαιδ, περιέχονται πληροφορίες όπως ποιοι είναι οι σπουδαστές ανά τμήμα και οι εκπαιδευτές γενικα στοιχεία τους και απουσιές. Επίσης περιλαμβάνονται στοιχεία και για τους απόφοιτους που έχουν τελειώσει, για να υπάρχουν συγκεντρωμένα όλα σε ένα φύλλο.</t>
  </si>
  <si>
    <t>eleftheriatzanaki@gmail.com</t>
  </si>
  <si>
    <t>(ΟΝΟΜΑ ΦΥΛΛΟΥ)</t>
  </si>
  <si>
    <t>Οπουδήποτε (αρχή, μέση, τέλος) βρίσκεται ή βρίσκονται φύλλο ή φύλλα που δεν έχει ή έχουν χρώμμα και είναι μέσα σε εισαγωγικά, είναι πρόχειρο και δουλέυεται εκείνη την περιόδο για αυτό υπάρχει, για παράδειγμα (ΒΑΘΜΟΛΟΓΙΕΣ 2026Α). Μετά την ολοκλρήρωση της δουλείας του θα διαγραφεί εντελώς ή θα μετακινηθεί το περιεχόμενο του σε άλλο ήδη υπάρχον φύλλο.</t>
  </si>
  <si>
    <t>22/6</t>
  </si>
  <si>
    <t>6/12</t>
  </si>
  <si>
    <t>ΡΑΝΤΕΒΟΥ</t>
  </si>
  <si>
    <t>ΤΕΧΝΙΚΟΣ ΑΡΤΟΠΟΙΙΑΣ ΚΑΙ ΖΑΧΑΡΟΠΛΑΣΤΙΚΗΣ ΤΕΧΝΗΣ (ΑΠΟΦΟΙΤΟΙ 2023Β)</t>
  </si>
  <si>
    <t>ΕΣΩΤΕΡΙΚΗ ΑΡΧΙΤΕΚΤΟΝΙΚΗ ΔΙΑΚΟΣΜΗΣΗ ΚΑΙ ΣΧΕΔΙΑΣΜΟΣ ΑΝΤΙΚΕΙΜΕΝΩΝ (ΑΠΟΦΟΙΤΟΙ 2023Β)</t>
  </si>
  <si>
    <t>ΤΕΧΝΙΚΟΣ ΜΑΓΕΙΡΙΚΗΣ ΤΕΧΝΗΣ - ΑΡΧΙΜΑΓΕΙΡΑΣ CHEF (ΑΠΟΦΟΙΤΟΙ 2023Β)</t>
  </si>
  <si>
    <t>20/6</t>
  </si>
  <si>
    <t>32/12</t>
  </si>
  <si>
    <t>17/12</t>
  </si>
  <si>
    <t>ΝΑ ΒΓΑΛΩ ΦΩΤΟΤΥΠΙΕΣ ΤΗΣ ΜΠΙΤΖΟΥ</t>
  </si>
  <si>
    <t>ΝΑ ΡΩΤΗΣΩ ΣΕ ΔΙΑΚΟΣΜΗΤΙΚΑ ΚΑΙ ΑΡΧΙΤΕΚΤΟΝΙΚΑ ΓΡΑΦΕΙΑ ΣΤΟ ΡΕΘΥΜΝΟ ΓΙΑ ΝΑ ΚΑΝΕΙ ΠΡΑΚΤΙΚΗ Η ΦΡΑΓΚΑΔΙΑΚΗ Η ΣΤΕΛΛΑ</t>
  </si>
  <si>
    <t>ΧΡΩΜΑΤΑ ΚΑΙ ΑΡΩΜΑΤΑ (2831023640)- ΑΣΧΟΛΕΙΤΕ ΜΕ ΔΙΑΚΟΣΜΗΣΗ ΓΑΜΟΥ ΚΑΙ ΔΕΝ ΕΧΕΙ ΚΑΘΟΛΟΥ ΣΤΟ ΑΝΤΙΚΕΙΜΕΝΟ ΕΣΩΤΕΡΙΚΟΥΣ ΧΩΡΟΥΣ ΚΑΙ ΔΕΝ ΠΑΙΡΝΕΙ ΠΡΑΚΤΙΚΑΡΙΟΥΣ ,                                           ΨΑΡΟΥΔΑΚΗΣ Γ ΕΜΜΑΝΟΥΗΛ (2831050155) - ΔΕΝ ΤΟ ΣΗΚΩΝΕΙ ΤΟ ΤΗΛΕΦΩΝΟ,                                                      ΓΚΡΙΛΛΟ ΠΑΟΛΑ - ΕΜΜΑΝΟΥΕΛΑ (2831072513 &amp; 6909110251)ΑΥΤΗ ΔΕΝ ΕΝΔΙΑΦΕΡΕΤΕ ΓΙΑ ΠΡΑΚΤΙΚΗ ΔΙΟΤΙ ΔΕΝ ΜΠΟΡΕΙ ΝΑ ΔΕΣΜΕΥΤΕΙ ΓΙΑ ΜΕΓΑΛΟ ΧΡΟΝΙΚΟ ΔΙΑΣΤΗΜΑ ΠΟΥ ΕΙΝΑΙ ΟΙ 6 ΜΗΝΕΣ ΔΙΟΤΙ ΕΧΕΙ ΕΞΩΤΕΡΙΚΕΣ ΔΟΥΛΕΙΕΣ ΚΑΙ ΚΑΝΟΝΙΖΕΙ ΤΟ ΠΡΟΓΡΑΜΜΑ ΜΕ ΒΑΣΗ ΑΥΤΕΣ ΑΝ ΘΕΛΕΙ Η ΣΤΕΛΛΑ ΝΑ ΠΑΕΙ ΝΑ ΤΙΣ ΔΕΙΞΕΙ 1-2 ΦΟΡΕΣ ΣΤΗΝ ΟΙΚΟΔΟΜΗ ΠΡΑΓΜΑΤΑ ΕΙΝΑΙ ΔΙΑΤΕΘΗΜΕΝΗ ΝΑ ΣΥΜΒΑΛΕΙ,                                                                 ALMECO (2831032241) ΝΑ ΚΑΛΕΣΩ ΑΥΡΙΟ ΠΑΛΙ ΠΟΥ ΘΑ ΕΙΝΑΙ Η ΥΠΕΥΘΥΝΗ ΓΙΑ ΝΑ ΔΟΥΜΕ ΑΛΛΑ ΑΠΌ ΟΤΙ ΞΕΡΕΙ ΔΕΝ ΔΕΧΟΝΤΑΙ</t>
  </si>
  <si>
    <t>ΝΑ ΕΝΗΜΕΡΩΣΩ ΤΗΝ ΛΥΡΑΤΖΑΚΗ ΠΩΣ ΑΥΡΙΟ ΘΑ ΦΥΓΟΥΝ 21:15, ΝΑ ΜΗΝ ΚΑΝΟΥΝ ΔΙΑΛΕΙΜΜΑ ΜΕΓΑΛΟ (ΌΠΩΣ ΤΟ ΚΑΝΕΙ Η ΣΚΟΡΔΟΥ ΚΑΙ ΝΑ ΦΥΓΟΥΝ) ΏΣΤΕ ΝΑ ΚΛΕΙΔΩΣΕΙ Η ΗΛΕΚΤΡΑ 21:15</t>
  </si>
  <si>
    <t>4//6</t>
  </si>
  <si>
    <t>ΝΑ ΡΩΤΗΣΩ ΠΟΤΕ ΘΑ ΕΧΟΥΜΕ ΤΑ ΘΕΜΑΤΑ (ΗΛΕΚΤΡΑ ΟΚ, ΝΙΚΗ ΟΚ, ΡΕΠΑΝΑΚΗ ΟΚ, ΣΑΜΟΛΗ ΟΚ, ΠΑΠΑΦΡΑΓΚΑΚΗ ΟΚ), ΡΩΤΗΣΑ ΔΕΥΤΕΡΑ 18/05/2026, ΣΤΗΝ ΗΛΕΚΤΡΑ ΕΣΤΕΙΛΑ ΜΗΝΥΜΑ ΣΤΟ TEAMS ΜΟΥ ΑΠΑΝΤΗΣΕ ΠΩΣ ΘΑ ΤΑ ΣΤΕΙΛΕΙ ΟΤΑΝ ΓΥΡΙΣΕΙ ΑΠΌ ΤΟ ΤΑΞΙΔΙ ΚΑΙ ΒΡΕΙ ΣΗΜΑ, Η ΝΙΚΗ ΘΑ ΜΟΥ ΤΑ ΣΤΕΙΛΕΙ ΜΕΧΡΙ ΑΥΡΙΟ (ΤΑ ΕΣΤΕΙΛΕ), Η ΡΕΠΑΝΑΚΗ ΘΑ ΜΟΥ ΤΑ ΣΤΕΙΛΕΙ ΜΕΧΡΙ ΤΗΝ ΤΕΤΑΡΤΗ OK, ΜΕ ΤΗΝ ΣΑΜΟΛΗ ΘΑ ΜΙΛΗΣΩ ΣΤΙΣ 12:00, ΜΙΛΗΣΑΜΕ ΚΑΙ ΜΟΥ ΕΙΠΕ ΘΑ ΤΑ ΣΤΕΙΛΕΙ ΜΕΧΡΙ ΑΥΡΙΟ ΚΑΙ ΤΑ ΕΣΤΕΙΛΕ, Η ΠΑΠΑΦΡΑΓΚΑΚΗ ΘΑ ΤΑ ΣΤΕΙΛΕΙ Μ,ΕΧΡΙ ΑΥΡΙΟ ΚΑΙ ΥΑ ΕΣΤΕΙΛΕ)</t>
  </si>
  <si>
    <t>7/6</t>
  </si>
  <si>
    <t>13/15</t>
  </si>
  <si>
    <t>Ο ΒΑΣΙΛΕΙΟΣ ΚΑΡΑΤΖΗΣ ΕΚΔΟΘΙΚΕ Η ΒΕΚ ΚΑΙ ΘΑ ΠΕΡΑΣΕΙ ΑΥΡΙΟ 16:00-17:00 ΓΙΑ ΝΑ ΠΑΡΑΛΑΒΕΙ ΤΗΝ ΒΕΚ ΚΑΙ ΙΣΩΣ ΝΑ ΚΑΝΟΥΜΕ ΚΑΙ ΤΗΝ ΑΙΤΗΣΗ (ΕΧΩ ΒΓΑΛΕΙ ΚΑΙ ΈΝΑ ΑΠΟΔΕΙΚΤΙΚΟ ΧΟΡΗΓΗΣΗΣ ΒΕΒΑΙΩΣΗΣ ΕΠΑΓΓΕΛΜΑΤΙΚΗΣ ΚΑΤΑΡΤΙΣΗΣ (ΣΕ ΠΕΡΙΠΤΩΣΗ ΠΟΥ ΔΕΝ ΒΓΕΙ Η ΒΕΚ ΕΠΙΚΥΡΩΜΕΝΗ) ΝΑ ΚΑΝΕΙ ΤΗΝ ΑΙΤΗΣΗ ΤΗΝ ΤΕΤΑΡΤΗ 27/05/2026 ΓΙΑ ΝΑ ΜΗΝ ΧΑΣΕΙ ΤΗΝ ΠΡΟΘΕΣΜΙΑ</t>
  </si>
  <si>
    <t>ΝΑ ΠΡΟΩΘΗΣΩ ΤΑ ΠΡΟΤΥΠΑ ΘΕΜΑΤΩΝ ΣΕ ΜΠΙΤΖΟΥ, ΛΥΡΑΤΖΑΚΗ, ΛΥΡΑΤΖΑΚΗ, ΤΣΑΚΙΡΕΛΗ ΑΝ ΔΕΝ ΜΟΥ ΤΑ ΕΧΟΥΝ ΣΤΕΙΛΕΙ ΜΕΧΡΙ ΤΡΙΤΗ 27/05/2026</t>
  </si>
  <si>
    <t>24/12</t>
  </si>
  <si>
    <t>23/6</t>
  </si>
  <si>
    <t>42/12</t>
  </si>
  <si>
    <t>18/12</t>
  </si>
  <si>
    <t>37/15</t>
  </si>
  <si>
    <t>27/9</t>
  </si>
  <si>
    <t>27/15</t>
  </si>
  <si>
    <t>6/15</t>
  </si>
  <si>
    <t>24/6</t>
  </si>
  <si>
    <t>ΓΙΑ ΤΟ RESET ΜΠΑΙΝΟΥΜΕ ΣΤΟ https://www.training.sellingplatformconnect.amadeus.com/login/?event=LOGIN_LOGOUT&amp;OCTX=SKL ΠΑΤΑΜΕ ΤΑ ΣΤΟΙΧΕΙΑ ΓΙΑ ΤΟΝ ΛΟΓΑΡΙΑΣΜΟ ΈΝΑ ΈΝΑ ΚΑΙ ΜΕΤΑ ΒΑΖΟΥΜΕ ΣΤΟ PASSWORD αντίς katartisi123, ΤΟ amadeus1 ΚΑΙ ΜΕΤΑ ΚΑΝΟΥΜΕ ΥΠΟΤΙΘΕΤΕ ΝΕΟ ΚΩΔΙΚΟ ΑΛΛΑ ΕΜΕΙΣ ΒΑΖΟΥΜΕ ΞΑΝΑ ΤΟ ΙΔΙΟ katartisi123 ΚΑΙ ΤΟ ΞΑΝΑ ΕΠΙΒΕΒΑΙΩΣΟΥΜΕ ΚΑΙ ΜΕΤΑ ΤΟ ΚΑΝΟΥΜΕ ΞΑΝΑ ENTER Ή SIGN IN ΚΑΙ ΜΕΤΑ ΜΠΑΙΝΟΥΜΕ ΚΑΝΟΝΙΚΑ ΚΑΙ ΕΛΕΓΧΟΥΜΕ ΑΝ ΜΠΑΙΝΕΙ</t>
  </si>
  <si>
    <t xml:space="preserve">12:00 ΧΑΙΡΕΤΗ ΕΙΡΗΝΗ 6973806031 ΕΣΩΤΕΡΙΚΗ ΑΡΧΙΤΕΚΤΟΝΙΚΗ ΔΙΑΚΟΣΜΗΣΗ ΚΑΙ ΣΧΕΔΙΑΣΜΟΣ ΑΝΤΙΚΕΙΜΕΝΩΝ </t>
  </si>
  <si>
    <t>20/12</t>
  </si>
  <si>
    <t>48/15</t>
  </si>
  <si>
    <t>52/15</t>
  </si>
  <si>
    <t>Πέμπτη, 04 Ιουνίου 2026</t>
  </si>
  <si>
    <t>Paulina Bitzeli</t>
  </si>
  <si>
    <t>paulinabitzeli@gmail.com</t>
  </si>
  <si>
    <t>ΤΗΝ ΚΑΛΕΣΑΜΕ ΚΑΙ ΡΩΤΗΣΕ ΑΡΧΙΚΑ ΑΝ ΕΙΜΑΣΤΕ ΔΗΜΟΣΙΟ Ή ΙΔΙΟΤΙΚΟ ΜΕΤΑ ΡΩΤΗΣΕ ΠΟΣΑ ΧΡΟΝΙΑ ΦΟΙΤΗΣΗ, ΔΙΔΑΚΤΡΑ ΚΑΙ ΑΝ ΤΩΡΑ ΜΕ ΤΗΝ ΕΚΔΗΛΩΣΗ ΕΝΔΙΑΦΕΡΟΝΤΟΣ ΕΊΝΑΙ ΣΑΝ ΝΑ ΕΧΕΙ ΚΑΝΕΙ ΕΓΓΡΑΦΗ, ΤΗΣ ΤΟΝΙΣΑ ΚΑΙ ΓΙΑ ΤΗΝ ΕΚΠΤΩΣΗ. ΤΗΝ ΕΝΗΜΕΡΩΣΑ ΚΑΙ ΑΝΑΛΥΤΙΚΑ ΓΙΑ ΌΤΙ ΡΩΤΗΣΕ ΚΑΙ ΜΕΤΑ ΕΙΠΕ ΘΑ ΤΟ ΣΚΕΥΤΕΙ ΚΑΙ ΘΑ ΕΠΙΚΟΙΝΩΝΙΣΕΙ ΕΚ ΝΕΟΥ</t>
  </si>
  <si>
    <t>30/9</t>
  </si>
  <si>
    <t>29/9</t>
  </si>
  <si>
    <t>ΕΣΩΤΕΡΙΚΗ ΑΡΧΙΚΤΕΚΤΟΝΙΚΗ ΔΙΑΚΟΣΜΗΣΗ ΚΑΙ ΣΧΕΔΙΑΣΜΟΣ ΑΝΤΙΚΕΙΜΕΝΩΝ ΕΤΟΣ</t>
  </si>
  <si>
    <t>Koutsogiannakis</t>
  </si>
  <si>
    <t>Γιάννης Σοφικιτης</t>
  </si>
  <si>
    <t>Παρασκεύη, 05 Ιουνίου 2026</t>
  </si>
  <si>
    <t>21:53 μμ</t>
  </si>
  <si>
    <t>tsarlisof@gmail.com</t>
  </si>
  <si>
    <t>41/15</t>
  </si>
  <si>
    <t>69/15</t>
  </si>
  <si>
    <t>29/12</t>
  </si>
  <si>
    <t>26/12</t>
  </si>
  <si>
    <t>Δομνα Χριστοπουλου</t>
  </si>
  <si>
    <t>Δευτέρα, 08 Ιουνίου 2026</t>
  </si>
  <si>
    <t>02:53 μμ</t>
  </si>
  <si>
    <t>domna.xri@gmail.com</t>
  </si>
  <si>
    <t xml:space="preserve">ΤΟΝ ΚΑΛΕΣΑΜΕ ΔΕΥΤΕΡΑ 08/06/2026 ΚΑΙ ΔΕΝ ΤΟ ΣΗΚΩΣΕ ΚΑΙ ΣΤΕΙΛΑΜΕ EMAIL ΚΑΙ ΠΕΡΙΜΕΝΟΥΜΕ. ΜΑΣ ΚΑΛΕΣΕ ΡΩΤΟΥΣΕ ΠΛΗΡΟΦΟΡΙΕΣ ΓΙΑ ΕΞΑΜΗΝΑ, ΧΡΗΜΑΤΑ ΚΛΠ ΚΑΙ ΕΙΠΕ ΠΩΣ ΘΑ ΤΟ ΣΚΕΦΤΕΙ ΚΑΙ ΘΑ ΜΑΣ ΚΑΛΕΣΕΙ </t>
  </si>
  <si>
    <t xml:space="preserve">ΤΟΝ ΚΑΛΕΣΑΜΕ ΜΑΣ ΚΑΛΕΣΕ ΡΩΤΟΥΣΕ ΠΛΗΡΟΦΟΡΙΕΣ ΓΙΑ ΕΞΑΜΗΝΑ, ΑΝ ΑΝΟΙΞΕΙ , ΧΡΗΜΑΤΑ ΚΛΠ ΚΑΙ ΕΙΠΕ ΠΩΣ ΘΑ ΤΟ ΣΚΕΦΤΕΙ ΚΑΙ ΘΑ ΜΑΣ ΚΑΛΕΣΕΙ </t>
  </si>
  <si>
    <t>ΣΥΝΟΛΙΚΟ ΠΟΣΟ ΓΙΑ ΕΠΙΣΥΤΙΣΤΗΚΑ 2.250€</t>
  </si>
  <si>
    <t>ΕΚΠΤΩΣΗ ΕΩΣ 30 ΙΟΥΝΙΟΥ 20%</t>
  </si>
  <si>
    <t>ΕΚΠΤΩΣΗ 10% ΓΙΑ ΜΕΛΗ Ή ΣΥΓΓΕΝΗΣ ΠΡΩΤΟΥ ΒΑΘΜΟΥ ΜΕΛΩΝ ΤΟΥ ΕΠΙΜΕΛΗΤΗΡΙΟΥ</t>
  </si>
  <si>
    <t>ΕΚΠΤΩΣΗ 15% ΓΙΑ ΕΦΑΠΑΞ ΚΑΤΑΒΟΛΗ</t>
  </si>
  <si>
    <t xml:space="preserve">ΕΚΠΤΩΣΗ 20% ΜΕ ΚΟΙΝΩΝΙΚΑ ΚΡΙΤΗΡΙΑ (ΤΡΙΤΕΚΝΟΣ- ΠΟΛΥΤΕΚΝΟΣ-ΜΟΝΟΓΩΝΕΙΚΗ) </t>
  </si>
  <si>
    <t xml:space="preserve">ΤΡΙΤΗ 09/06/2026 12:00 ΠΡΑΣΑΝΑΚΗ ΔΕΣΠΟΙΝΑ 6980882454 ΣΤΕΛΕΧΟΣ ΜΟΝΑΔΩΝ ΦΙΛΟΞΕΝΕΙΑΣ ΣΤΕΛΕΧΟΣ ΥΠΗΡΕΣΙΩΝ ΤΟΥΡΙΣΜΟΥ ΠΕΡΣΙ ΕΙΧΕ ΓΡΑΦΕΙ ΣΤΗΝ ΑΕΡΟΜΕΤΑΦΟΡΑ ΚΑΙ ΔΕΝ ΕΓΙΝΕ ΤΜΗΜΑ ΚΑΙ ΦΕΤΟΣ ΘΕΛΕΙ ΣΕ ΆΛΛΟ ΤΜΗΜΑ ΝΑ ΠΑΕΙ. ΗΡΘΕ ΚΑΙ ΕΙΠΕ ΘΑ ΤΟ ΔΕΙ ΚΑΙ ΜΑΛΛΟΝ ΕΙΤΕ ΘΑ ΕΠΙΛΕΞΕΙ </t>
  </si>
  <si>
    <t>ΠΕΡΙΜΕΝΟΥΜΕ ΤΗΝ ΕΜΜΑΝΟΥΕΛΛΑ ΡΙΖΟΥ ΝΑ ΚΑΝΕΙ ΕΡΓΑΣΙΑ ΛΟΓΙΣΤΙΚΗΣ ΚΑΙ ΝΑ ΚΑΝΕΙ ΚΑΙ Η ΚΛΕΙΩ ΤΗΝ ΕΡΓΑΣΙΑ ΣΤΗΝ ΠΡΑΚΤΙΚΗ ΕΦΑΡΜΟΓΗ ΣΤΗΝ ΕΙΔΙΚΟΤΗΤΑ</t>
  </si>
  <si>
    <t xml:space="preserve">ΤΡΙΤΗ 09/06/2026 15:30 ΧΡΗΣΤΑΚΗΣ 6973775792, ΤΕΧΝΙΚΟΣ ΑΡΤΟΠΟΙΙΑΣ ΚΑΙ ΖΑΧΑΡΟΠΛΑΣΤΙΚΗΣ ΤΕΧΝΗΣ </t>
  </si>
  <si>
    <t>ΑΠΟΥΣΙΕΣ ΧΕΙΜΕΡΙΝΟΥ ΕΞΑΜΗΝΟΥ</t>
  </si>
  <si>
    <t>ΑΠΟΦΟΙΤΟΙ ΣΠΟΥΔΑΣΤΕΣ</t>
  </si>
  <si>
    <t>ΠΙΝΑΚΑΣ ΓΙΑ ΑΞΙΟΛΟΓΗΣΗ ΘΕΜΑΤΟΣ ΓΙΑ ΕΙΣΗΓΗΣΗ</t>
  </si>
  <si>
    <t>ΕΠΟΠΤΡΙΑ</t>
  </si>
  <si>
    <t>11</t>
  </si>
  <si>
    <t>2025Β-2026Α</t>
  </si>
  <si>
    <t>Το φύλλο αυτό περιέχονται όλα τα φύλλα που είχαν δημιουργηθεί για το εξάμηνο 2025Β και 2026Α και έχουν αντιγραφεί εκεί</t>
  </si>
  <si>
    <t>ΠΕΡΙΜΕΝΟΥΜΕ ΤΗΝ ΡΙΖΟΥ ΝΑ ΓΡΑΨΕΙ ΛΟΓΙΣΤΙΚΗ ΚΑΙ ΝΑ ΤΙΣ ΣΤΕΙΛΟΥΜΕ ΚΑΙ ΣΕ ΕΚΕΙΝΗ ΒΑΘΜΟΛΟΓΙΑ</t>
  </si>
  <si>
    <t>ΣΤΕΛΕΧΟΣ ΔΙΟΙΚΗΣΗΣ ΚΑΙ ΟΙΚΟΝΟΜΙΑΣ (2ο ΕΤΟΣ)</t>
  </si>
  <si>
    <t>ΦΟΡΟΛΟΓΙΚΗ ΠΡΑΚΤΙΚΗ /ΦΟΡΟΛΟΓΙΚΕΣ ΕΦΑΡΜΟΓΕΣ</t>
  </si>
  <si>
    <t>ΛΟΓΙΣΤΙΚΗ ΕΤΑΙΡΕΙΩΝ</t>
  </si>
  <si>
    <t>ΜΗΧΑΝΟΓΡΑΦΗΜΕΝΗ ΛΟΓΙΣΤΙΚΗ</t>
  </si>
  <si>
    <t>ΛΟΓΙΣΤΙΚΗ ΚΟΣΤΟΥΣ</t>
  </si>
  <si>
    <t>ΔΗΜΟΣΙΕΣ ΣΧΕΣΕΙΣ ΚΑΙ ΕΠΙΚΟΙΝΩΝΙΑ</t>
  </si>
  <si>
    <t>ΕΠΕΞΕΡΓΑΣΙΑ ΚΕΙΜΕΝΟΥ (Η/Υ)</t>
  </si>
  <si>
    <t>ΕΠΙΧΕΙΡΗΜΑΤΙΚΟΤΗΤΑ &amp; ΚΑΙΝΟΤΟΜΙΑ</t>
  </si>
  <si>
    <t>ΕΜΠΟΡΙΚΗ ΔΙΑΧΕΙΡΙΣΗ (WMS)-ΜΙΣΘΟΔΟΣΙΑ (PAYROLL)</t>
  </si>
  <si>
    <t>PROJECT MANAGEMENT</t>
  </si>
  <si>
    <t>ΧΡΗΜΑΤΟΟΙΚΟΝΟΜΙΚΗ ΔΙΟΙΚΗΣΗ – ΑΞΙΟΛΟΓΗΣΗ ΕΠΕΝΔΥΣΕΩΝ</t>
  </si>
  <si>
    <t>ΔΙΟΙΚΗΣΗ ΑΝΘΡΩΠΙΝΩΝ ΠΟΡΩΝ</t>
  </si>
  <si>
    <t>ΕΙΔΙΚΑ ΘΕΜΑΤΑ ΛΟΓΙΣΤΙΚΩΝ ΦΥΛΛΩΝ</t>
  </si>
  <si>
    <t>ΣΤΕΛΕΧΟΣ ΥΠΗΡΕΣΙΩΝ ΑΕΡΟΜΕΤΑΦΟΡΑΣ (1ο ΕΤΟΣ)</t>
  </si>
  <si>
    <t>ΤΟΥΡΙΣΜΟΣ ΚΑΙ ΑΕΡΟΠΟΡΙΚΗ ΒΙΟΜΗΧΑΝΙΑ ΜΕΤΑΦΟΡΩΝ</t>
  </si>
  <si>
    <t>ΤΑΞΙΔΙΩΤΙΚΗ ΓΕΩΓΡΑΦΙΑ ΚΑΙ ΤΑΞΙΔΙΩΤΙΚΟΙ ΟΔΗΓΟΙ</t>
  </si>
  <si>
    <t>ΑΕΡΟΠΟΡΙΚΟ ΔΙΚΑΙΟ ΚΑΙ ΔΙΕΘΝΕΙΣ ΣΧΕΣΕΙΣ (IATA – UFTAA – ICAO – BSP)</t>
  </si>
  <si>
    <t>ΜΕΤΑΦΟΡΑ ΑΕΡΟΠΟΡΙΚΩΝ ΕΜΠΟΡΕΥΜΑΤΩΝ (CARGO)</t>
  </si>
  <si>
    <t>ΤΕΧΝΗ ΜΑΓΕΙΡΙΚΗΣ ΙΙΙ</t>
  </si>
  <si>
    <t>FOOD &amp; BEVERAGE MANAGEMENT II (ΚΟΣΤΟΛΟΓΗΣΗ ΠΑΡΑΣΚΕΥΑΣΜΑΤΩΝ)</t>
  </si>
  <si>
    <t>ΣΥΝΘΕΣΗ ΜΕΝΟΥ</t>
  </si>
  <si>
    <t>ΟΙΝΟΛΟΓΙΑ</t>
  </si>
  <si>
    <t>ΟΡΓΑΝΩΣΗ ΚΑΙ ΛΕΙΤΟΥΡΓΙΑ ΕΣΤΙΑΤΟΡΙΟΥ</t>
  </si>
  <si>
    <t>ΠΡΑΚΤΙΚΗ ΕΦΑΡΜΟΓΗ Γ</t>
  </si>
  <si>
    <t>ΤΕΧΝΗ ΜΑΓΕΙΡΙΚΗΣ ΙV</t>
  </si>
  <si>
    <t>ΠΡΑΚΤΙΚΗ ΑΣΚΗΣΗ*</t>
  </si>
  <si>
    <t>ΕΣΩΤΕΡΙΚΗ ΑΡΧΙΤΕΚΤΟΝΙΚΗ ΔΙΑΚΟΣΜΗΣΗ ΚΑΙ ΣΧΕΔΙΑΣΜΟΣ ΑΝΤΙΚΕΙΜΕΝΩΝ (ΑΠΟΦΟΙΤΟΙ 2024Β)</t>
  </si>
  <si>
    <t xml:space="preserve">ΑΠΟΦΟΙΤΟΙ </t>
  </si>
  <si>
    <t>ΠΙΝΑΚΑΣ ΚΑΘΑΡΙΟΤΗΤΑΣ ΓΙΑ ΦΥΣΑΡΑΚΗ</t>
  </si>
  <si>
    <t>ΕΧΕΙ ΠΑΡΕΙ ΒΕΚ</t>
  </si>
  <si>
    <t xml:space="preserve">ΒΕΒΕΙΑΩΣΕΙΣ </t>
  </si>
  <si>
    <t xml:space="preserve">Αν κάποιος ζητήσει βεβαίωση (φοίτησης -σπουδών, στρατολογίας, ατομικό δελτίο - γράφει αναλυτικά και τα μαθήματα και τις βαθμολογίες τους αν θέλουν κλπ). Πάμε στο πληροφοριακό σύστημα του υπουργείου - ΠΗΓΑΣΟΣ (https://pegasus.it.minedu.gov.gr/site/welcome), πατάμε πάνω στην κορδέλα που γράφει βεβαιώσεις. Επιλέγουμε ποια βεβαιώση μας ζήτησαν, πχ βεβαίωση φοίτησης σπουδών (τα ζητάνε οι λογιστές τους συνήθως) και πατάμε αναζήτηση με όνομα ή επίθετο σπουδαστή. Έπειτα πατάμε το μπλέ έγγραφο στα δεξιά και βάζουμε αριθμό προτοκώλου από το πράσινο βιβλίο και επιλέγουμε ποιος θα υπογράψει πχ Μιχελάκη. Και πατάμε Δημιουργία, το εκτυπώνουμε, βάζουμε σφραγίδα και υπογραφή και το σκανάρουμε να το στείλουμε ή το στέλνουμε επι τόπου. </t>
  </si>
  <si>
    <t>Πληροφοριακό Σύστημα του Υπουργείου - ΠΗΓΑΣΟΣ (https://pegasus.it.minedu.gov.gr/site/welcome)</t>
  </si>
  <si>
    <t>1. Ανεβάζουμε το αρχείο portfolio4.html, μετά το βιογραφικό και μια φωτογραφία 
2. Μετά γράφουμε να μας το αποθηκεύσει σε html 
3. Κατεβάζουμε το αρχείο, το αποθηκεύουμε ως σημειωματάριο
4. Μετά το ανοίγουμε ως html                                                                                                                                                                                                                                                                                                                                                                                                                                                                                                               5. Το στέλνουμε στον IT</t>
  </si>
  <si>
    <t>ΔΗΛΩΣΗ ΠΡΑΚΤΙΚΗΣ: Για να δηλωθεί πρακτική σε κάποιον, πάμε στον ΠΗΓΑΣΟ πατάμε εκεί που γράφει ΠΡΑΚΤΙΚΗ - ΜΑΘΗΤΕΙΑ, πατάμε έναρξη-απαλλαγή και μετά επιλέγουμε το έκαστοτε άτομο πχ μέσω αναζήτησης και μετά επιλέγεις το βαλιτσάκι = πρακτική ή το Α=απαλλαγή, έπειτα για πρακτική επιλέγεις εργοδότη (αναζητάς μέσω ΑΦΜ να δείς αν υπάρχει, αν δεν υπάρχει πατάς το βαλιτσάκι και βρίσκεις αποθηκεύεις ότι στοιχεία σου ζητάει) μετά πατάς επιλογή εργοδότη με το μπλε ξαπλωτό τρίγωνο και βάζεις ότι άλλα στοιχεία χρειάζονται και κάνεις επόμενο και έναρξη στιγμιοτύπου) μετά κάνεις έναρξη, βάζεις αριθμό πρωτοκόλου και τον κύριο Καθαράκη και πατάς έναρξη και βάζεις σφραγγίδα και του το πάς να υπογράψει. Για την απαλαγή πατάμε Α και έπειτα γράφουμε σχόλια πως έχει απασχοληθεί στην (....) επιχείρηση ή επιχειρήσεις και έχει συμπληρώσει 960 ώρες. Έπειτα στέλνουμε email, στην Κοτανίδι (ekotanidi@minedu.gov.gr), με ΘΕΜΑ: ΑΠΑΛΛΑΓΗ ΠΡΑΚΤΙΚΗΣ + ΟΝΟΜΑΤΕΠΩΝΥΜΟ ΣΠΟΥΔΑΣΤΗ και με KEIMENO: Καλημέρα κ. Κοτανίδη. Σας επισυνάπτω τα δικαιολογητικά για την απόφοιτη .......... με ΑΜ ..... από την ειδικότητα .................., προκειμένου να εγκρίνετε την ολική απαλλαγή λόγω προϋπηρεσίας. Έχει ανοιχτεί στιγμιότυπο απαλλαγής 960 ωρών. Σας ευχαριστώ πολύ εκ των προτέρων.. Στο emailεπισυνάπτεις: 1. Βεβαίωση Προυπηρεσίας, 2. Ένσημα και 3. Υπέυθυνη Δήλωση μέσω gov που γράφει: " έχω συμπληρώσει τα 120 ένσημα 8ωρης απασχόλησης στην επιχείρηση.............. ή στις επιχειρήσεις ............. με την ειδικότητα βοηθός μάγειρα ή γ΄ μάγειρα ή ζαχαροπλάστη και αιτούμαι την ολική απαλλαγή από την πρακτική άσκηση της ειδικότητάς μου.......................". (συμπληρώνετε τα κενά ανάλογα την ειδικότητα που έχει ο καθένας σας και τους εργοδότες που εργάστηκε), (τα έγγραφα αυτά τα 3 τα ζητάμε και μας τα έχει στείλει ο σπουδαστής). Μετά όταν έχει δει τα έγγραφα και τα έχει τσεκάρει η Κοτανίδη θα κάνει έγκριση και εσύ θα το δείς από τον ΠΗΓΑΣΟ εκεί που λεεί Διαχείρηση Πρακτικής - Μαθητείας εκεί θα γράφει πως θα το δείχνει πράσινο και μετά θα πατάς το τικ και αν έχει τελειώσει πατάς ΒΕΚ ---&gt; Έκδοση ΒΕΚ ---&gt; επιλέγεις τον σπουδαστή και γράφεις από το καφέ - γαλάζιο Βιβλίο Πρακτικών αριθμό πράξης τον τελευταίο αριθμό στα αριστερά, ημερομηνία και αριθμό ΒΕΚ που θα είναι ο επόμενος από αυτόν που βλέπεις πχ είναι 17 θα βάλεις 18 και μετά θα πατήσεις έκδοση. Η ΒΕΚ εκτυπώνεται σε κάτι κίτρινα διαφορετικά από το κανονικό χαρτί, τα οποία είναι κάτω στα ντουλάπάκια δίπλα στον εκτυπωτή και το βάζεις και ανοίγεις τα άλλα ράφια, για να εκτυπωθεί σε αυτό και βάζεις και σφραγγίδα και υπογραφή από Καθαράκη και όταν έρθει κάνει βάζεις την φωτογραφία (τύπου ταυτότητας) πάνω και το εκτυπώνεις να το βάλεις στο φάκελο με τις ΒΕΚ και το σκανάρεις και το βάζεις και στο ΛΑΖΑΡΟ --&gt; ΙΕΚ ΓΡΑΜΜΑΤΕΙΑ--&gt;ΒΕΚ</t>
  </si>
  <si>
    <t>Οτιδήποτε πρόβλημα ή απορία έχεις με τον ΠΗΓΑΣΟ, πχ καθηστερεί η ΒΕΚ να εγκριθεί είτε μιλάς με την ΕΠΟΠΤΡΙΑ αν αυτό είναι στο δικό της χέρι όπως η έγκριση, είτε στέλνεις στην υπηρεσία μηνυμάτων, πας Λετουργίες ---&gt; Υπηρεσίες Μηνυμάτων --&gt; Πατάς το πράσινο κυκλάκι με τον φάκελο και μετά γράφεις το αίτημα σου είτε στην ΤΕΧΝΙΚΗ ΥΠΟΣΤΗΡΙΞΗ αν το θέμα είναι κάτι με το σύστημα (πχ δεν μπορώ να βγάλω βεβαίωση σπουδών σε ένα μαθητή, δεν μου εμφανίζει την δυνατότητα), είτε το θέμα είναι διαχειριστικό Ιπχ δεν ξέρω ποιος υπογράφει για να εκτυπωθεί η ΒΕΚ που δεν έχει επικυρωθεί ακόμα) και εκείνοι σου απαντάνε και σε καθοδηγούνε.</t>
  </si>
  <si>
    <t xml:space="preserve">ΚΑΝΑΜΕ ΤΟΥΡ ΤΗΣ ΜΙΛΗΣΑ ΓΙΑ ΤΙΣ ΕΓΚΑΤΑΣΤΑΣΕΙΣ ΓΙΑ ΤΟΝ ΘΕΣΜΟ ΤΟΥ ΣΥΜΒΟΥΛΟΥ ΣΤΑΔΙΟΔΡΟΜΙΑΣ ΚΑΙ ΤΗΝ ΠΗΓΑ ΣΤΗΝ ΜΠΙΤΖΟΥ ΝΑ ΔΕΙ ΜΑΘΗΜΑ ΚΑΙ ΤΗΣ ΜΙΛΗΣΕ ΚΑΙ Η ΧΑΤΖΗΝΤΕΒΕ. ΘΑ ΞΑΝΑ ΕΡΘΕΙ ΕΠΟΜΕΝΗ ΕΒΔΟΜΑΔΑ ΓΙΑ ΝΑ ΔΕΙ ΚΑΙ ΤΙΣ ΆΛΛΕΣ ΚΑΘΗΓΗΤΡΙΕΣ ΚΑΙ ΝΑ ΚΑΝΕΙ ΚΑΙ ΤΗΝ ΕΓΓΡΑΦΗ. </t>
  </si>
  <si>
    <t>Πέμπτη, 11 Ιουνίου 2026</t>
  </si>
  <si>
    <t>elenikalogeraki70@gmail.com</t>
  </si>
  <si>
    <t xml:space="preserve">ΕΡΓΑΖΕΤΑΙ ΣΤΑ ΞΕΝΟΔΟΧΕΙΑ ΚΑΙ ΌΧΙ ΣΧΕΤΙΚΟ ΜΕ ΜΑΓΕΙΡΙΚΗ ΚΑΙ ΘΕΛΕΙ ΝΑ ΠΑΕΙ ΠΡΟΣ ΤΗΝ ΜΑΓΕΙΡΙΚΗ. ΘΑ ΜΑΣ ΕΝΗΜΕΡΩΣΕΙ ΓΙΑ ΝΑ ΕΡΘΕΙ ΤΗΝ ΕΠΟΜΕΝΗ ΕΒΔΟΜΑΔΑ ΝΑ ΚΑΝΕΙ ΕΓΓΡΑΦΗ, ΘΕΛΕΙ ΠΡΩΙΝΟ ΤΜΗΜΑ </t>
  </si>
  <si>
    <t>ΝΤΕΜΟ</t>
  </si>
  <si>
    <t>mikaelantemo@gmail.com</t>
  </si>
  <si>
    <t>ΠΕΜΠΤΗ 21/05/2026, 17:00 ΜΙΚΑΕΛΑ ΝΤΕΜΟ 6996825501 ΓΙΑ ΣΤΕΛΕΧΟΣ ΥΠΗΡΕΣΙΩΝ ΑΕΡΟΜΕΤΑΓΟΡΑΣ</t>
  </si>
  <si>
    <t>ΧΡΙΣΤΟΔΟΥΛΑΚΗΣ</t>
  </si>
  <si>
    <t>christodoulakesgiorgos57@gmail.com</t>
  </si>
  <si>
    <t>ΣΚΟΥΜΠΑΚΗΣ</t>
  </si>
  <si>
    <t>askoumpakis20@gmail.com</t>
  </si>
  <si>
    <t>ΠΡΑΚΤΙΚΗ - ΑΠΑΛΛΑΓΗ ΚΑΙ ΒΕΚ</t>
  </si>
  <si>
    <t>ΙΣΑΕΚ ΕΠΙΜΕΛΗΤΗ</t>
  </si>
  <si>
    <t>Εκεί που γράφει ΙΣΑΕΚ ΕΠΙΜΕΛΗΤΗ κάνουμε προγράμματα, ωρολόγια κλπ</t>
  </si>
  <si>
    <t xml:space="preserve">ΚΑΤΑΡΤΙΣΗ </t>
  </si>
  <si>
    <t>Στο ΚΑΤΑΡΤΙΣΗ θα βρείς ότι είναι σχετικό με τους σπουδαστές.  Στο ΜΗΤΡΩΟ ΚΑΤΑΡΤΙΖΟΜΕΝΩΝ που εκεί είναι όλοι μας οι σπουδαστές και τα στοιχεία τους. Εκεί επίσης περγάνε τις νέες εγγραφές, μετεγραφές κλπ στα αντίστοιχα πεδία. Βάζουμε τις απουσίες, βαθμολογίες κλπ.</t>
  </si>
  <si>
    <t>ΛΕΙΤΟΥΡΓΙΕΣ</t>
  </si>
  <si>
    <t>ΑΝΑΦΟΡΕΣ</t>
  </si>
  <si>
    <t>ΚΟΡΔΕΛΑ - ΕΠΙΛΟΓΗ</t>
  </si>
  <si>
    <t>ΕΞΗΓΗΣΗ</t>
  </si>
  <si>
    <t>ΕΞΗΓΗΣΗ - ΤΙ ΠΕΡΙΕΧΕΙ</t>
  </si>
  <si>
    <t>Τις αναφορές τις χρησιμοποιούμε στο τέλος του εξαμήνου που κλείνουμε το εκάστοτε εξάμηνο</t>
  </si>
  <si>
    <t>ΕΠΙΛΟΓΕΣ</t>
  </si>
  <si>
    <t>Στο γενικό περιβάλλον θα βλέπεις μαθήματα κλπ. Θα βάλεις την γραμματεία στα αγαπημένα - αστέρι την ΓΡΑΜΜΑΤΕΙΑ που είναι όλη η ενημέρωση που κάνουμε εμείς ως γραμματεία.</t>
  </si>
  <si>
    <t xml:space="preserve">ΔΗΜΙΟΥΡΓΙΑ ΜΑΘΗΜΑΤΩΝ </t>
  </si>
  <si>
    <t>Αν το τμήμα δεν είναι καινούργιο και δεν έχουν δημιουργηθεί μαθήματα κάνεις τα παρακάτω βήματα. 1. Πατάς πάνω στην εικόνα σου (πάνω δεξιά), 2. Πατάς την 2η επιλογή που γράφει Δημιουργία Μαθήματος. 3. Συμπληρώνεις Τίτλο Μαθήματος πχ Παράγωγα Υλικά, κωδικό δεν βάζεις, στην κατηγορία επιλέγεις ΙΣΑΕΚ Επιμελητηρίου Ηρακλείου μετά επιλέγεις τομέα και τμήμα,  στο πεδίο εκπαιδευτές βάζεις αν ξέρεις αλλιώς αφήνεις το δικό σου όνομα και το αλλάζεις όταν μάθεις εκπαιδευτή, εικόνα δεν βάζεις (βάζει ο εκπαιδευτής) εκτός αν έχουμε διαφορετική οδηγία, στην μορφή το αφήνεις το προεπιλεγμένο που είναι ΜΟΡΦΗ ΜΕ ΕΝΟΤΗΤΕΣ, στην άδεια χρήσης βάζουμε την τελευταία επιλογή που λέει "Άδεια χρήσης Creative Commons (CC)", στο πεδίο Διαθέσιμοι τύποι πρόσβασης βάζουμε ανοιχτό και μετά Δημιουργία μαθήματος και έχει δημιουργηθεί. Για να το δεις ξανά επιλέγεις πάνω πάνω αριστερά που έχει το σήμα της ΙΣΑΕΚ και πάς στην αρχική, πατάς την επιλογή Διαχείρηση Πλατφόρμας που είναι δεξιά κάτω από την αναζήτηση, έπειτα επιλέγουμε στο κέντρο που γράφει μαθήματα, μετά αναζήτηση μαθημάτων, πατάς τον μεγενθυτικό φακό δεξιά που γράφει όλα τα μαθήματα, αναζητάς με τίτλο, και το βρίσκεις και πατάς πάνω στο όνομα και το βλέπεις και για να αλλάξεις πράγματα πχ το όνομα του εκπαιδευτή, εκεί που είσαι μέσα στο μάθημα πατάς πάνω δεξιά Διαχείρηση Μαθήματος, ρυθμίσεις και αλλάζεις τα στοιχεία. και πατάς υποβολή.</t>
  </si>
  <si>
    <t>ΚΑΤΕΡΙΝΑ</t>
  </si>
  <si>
    <t>ΠΕΤΡΟΠΟΥΛΟΥ</t>
  </si>
  <si>
    <t>petropoulou@katartisi.gr</t>
  </si>
  <si>
    <t>petropoulou</t>
  </si>
  <si>
    <t xml:space="preserve">ΑΥΤΌ ΕΊΝΑΙ ΈΝΑ ΠΑΡΑΔΕΙΓΜΑ ΕΓΓΡΑΦΗΣ ΤΟ ΟΠΟΙΟ ΘΑ ΔΙΑΓΡΑΦΕΙ ΓΙΑ ΝΑ ΠΕΡΑΣΤΟΥΝ ΤΑ ΝΕΑ ΣΤΟΙΧΕΙΑ </t>
  </si>
  <si>
    <t>1. ΠΗΓΑΙΝΟΥΜΕ ΣΤΟ ΦΥΛΛΟ ΔΕΞΙΑ ΠΡΟΤΥΠΟ ΕΓΓΡΑΦΗ USER ECLASS , ΓΡΑΦΟΥΜΕ ΌΛΑ ΤΑ ΣΤΟΙΧΕΙΑ ΠΟΥ ΘΕΛΟΥΜΕ(ΚΑΛΟ ΘΑ ΗΤΑΝ ΝΑ ΠΕΡΝΟΥΝΤΑΙ ΜΑΘΗΤΕΣ Ή ΚΑΘΗΓΗΤΕΣ ΑΝΑ ΤΜΗΜΑ) ΝΑ ΒΑΛΟΥΜΕ, 2. ΜΕΤΑ ΠΗΓΑΙΝΟΥΜΕ ECLASS ΔΙΑΧΕΙΡΗΣΗ ΠΛΑΤΦΟΡΜΑΣ, 3. ΜΑΖΙΚΗ ΔΗΜΙΟΥΡΓΙΑ ΛΟΓΑΡΙΑΣΜΩΝ ΧΡΗΣΤΩΝ, 4. ΚΑΝΟΥΜΕ ΔΕΞΙ ΚΛΙΚ ΠΑΝΩ ΣΤΟ ΦΥΛΛΟ ΠΡΟΤΥΠΟ ΓΙΑ ΕΓΓΡΑΦΗ ΚΑΙ ΕΠΙΛΕΓΟΥΜΕ ΜΕΤΑΚΙΝΗΣΗ Ή ΑΝΤΙΓΡΑΦΗ, ΜΕΤΑ ΚΑΝΟΥΜΕ ΚΛΙΚ ΣΤΟ ΠΕΔΙΟ ΑΝΤΙΓΡΑΦΗ ΚΑΙ ΚΑΝΟΥΜΕ ΣΕ ΆΛΛΟ ΒΙΒΛΙΟ ΚΑΙ ΤΟ ΚΑΙΝΟΥΡΓΙΟ ΒΙΒΛΙΟ ΟΠΩΣ ΕΙΝΑΙ ΤΟ ΑΠΟΘΗΚΕΥΟΥΜΕ ΣΤΙΣ ΛΗΨΕΙΣ ΜΕ ΟΝΟΜΑ ΟΠΩΣ ΘΕΛΟΥΜΕ ΕΙΤΕ ΒΙΒΛΙΟ ΕΊΤΕ ΟΤΙ ΘΕΛΟΥΜΕ ΠΧ ΟΝΟΜΑ ΜΑΘΗΤΗ, 5. ΕΠΕΙΤΑ ΑΝΕΒΑΖΟΥΜΕ ΤΟ ΑΡΧΕΙΟ ΚΑΙ ΕΠΙΛΕΓΟΥΜΕ ΕΙΔΟΣ ΛΟΓΑΡΙΣΜΟΥ ΠΧ ΕΚΠΑΙΔΕΥΟΜΕΝΟΣ, ΚΛΙΚΑΡΟΥΜΕ ΣΤΗΝ ΑΛΛΑΓΗ ΣΥΝΘΗΜΑΤΙΚΟΥ ΚΑΤΑ ΤΗΝ ΕΙΣΟΔΟ, ΣΤΗΝ ΚΑΤΗΓΟΡΙΑ ΕΠΙΛΕΓΟΥΜΕ ΤΟ ΤΜΗΜΑ ΤΟΥ, ΤΑ ΑΛΛΑ ΔΕΝ ΤΑ ΠΕΙΡΑΖΟΥΜΕ ΚΑΙ ΜΕΤΑ ΚΛΙΚΑΡΟΥΜΕ ΚΑΙ ΤΟ ΑΠΟΣΤΟΛΗ ΤΩΝ ΣΤΟΙΧΕΙΩΝ ΤΟΥ ΜΕΣΩ EMAIL 6. ΤΕΛΟΣ ΤΟ ΚΑΝΟΥΜΕ ΥΠΟΒΟΛΗ</t>
  </si>
  <si>
    <t>Για να δημιουργήσεις χρήστες στο eclass μαζικά ή μεμονομένα (1. ΠΗΓΑΙΝΟΥΜΕ ΣΤΟ ΦΥΛΛΟ ΔΕΞΙΑ ΠΡΟΤΥΠΟ ΕΓΓΡΑΦΗ USER ECLASS , ΓΡΑΦΟΥΜΕ ΌΛΑ ΤΑ ΣΤΟΙΧΕΙΑ ΠΟΥ ΘΕΛΟΥΜΕ(ΚΑΛΟ ΘΑ ΗΤΑΝ ΝΑ ΠΕΡΝΟΥΝΤΑΙ ΜΑΘΗΤΕΣ Ή ΚΑΘΗΓΗΤΕΣ ΑΝΑ ΤΜΗΜΑ) ΝΑ ΒΑΛΟΥΜΕ, 2. ΜΕΤΑ ΠΗΓΑΙΝΟΥΜΕ ECLASS ΔΙΑΧΕΙΡΗΣΗ ΠΛΑΤΦΟΡΜΑΣ ΠΑΝΩ ΔΕΞΙΑ, 3. ΜΑΖΙΚΗ ΔΗΜΙΟΥΡΓΙΑ ΛΟΓΑΡΙΑΣΜΩΝ ΧΡΗΣΤΩΝ (ΑΝΕΞΑΡΤΗΤΑ ΑΝ Ο ΜΑΘΗΤΗΣ Ή ΚΑΘΗΓΗΤΗΣ ΕΙΝΑΙ ΕΝΑΣ), 4. ΚΑΝΟΥΜΕ ΔΕΞΙ ΚΛΙΚ ΠΑΝΩ ΣΤΟ ΦΥΛΛΟ ΠΡΟΤΥΠΟ ΓΙΑ ΕΓΓΡΑΦΗ (ΔΙΠΛΑ ΣΤΟ ΦΥΛΛΟ ECLASS) ΚΑΙ ΕΠΙΛΕΓΟΥΜΕ ΜΕΤΑΚΙΝΗΣΗ Ή ΑΝΤΙΓΡΑΦΗ, ΜΕΤΑ ΚΑΝΟΥΜΕ ΚΛΙΚ ΣΤΟ ΠΕΔΙΟ ΑΝΤΙΓΡΑΦΗ ΚΑΙ ΚΑΝΟΥΜΕ ΣΕ ΆΛΛΟ ΒΙΒΛΙΟ ΚΑΙ ΤΟ ΚΑΙΝΟΥΡΓΙΟ ΒΙΒΛΙΟ ΟΠΩΣ ΕΙΝΑΙ ΤΟ ΑΠΟΘΗΚΕΥΟΥΜΕ ΣΤΙΣ ΛΗΨΕΙΣ ΜΕ ΟΝΟΜΑ ΟΠΩΣ ΘΕΛΟΥΜΕ ΕΙΤΕ ΒΙΒΛΙΟ ΕΊΤΕ ΟΤΙ ΘΕΛΟΥΜΕ ΠΧ ΟΝΟΜΑ ΜΑΘΗΤΗ, 5. ΕΠΕΙΤΑ ΑΝΕΒΑΖΟΥΜΕ ΤΟ ΑΡΧΕΙΟ ΚΑΙ ΕΠΙΛΕΓΟΥΜΕ ΕΙΔΟΣ ΛΟΓΑΡΙΣΜΟΥ ΠΧ ΕΚΠΑΙΔΕΥΟΜΕΝΟΣ, ΚΛΙΚΑΡΟΥΜΕ ΣΤΗΝ ΑΛΛΑΓΗ ΣΥΝΘΗΜΑΤΙΚΟΥ ΚΑΤΑ ΤΗΝ ΕΙΣΟΔΟ, ΣΤΗΝ ΚΑΤΗΓΟΡΙΑ ΕΠΙΛΕΓΟΥΜΕ ΤΟ ΤΜΗΜΑ ΤΟΥ, ΤΑ ΑΛΛΑ ΔΕΝ ΤΑ ΠΕΙΡΑΖΟΥΜΕ ΚΑΙ ΜΕΤΑ ΚΛΙΚΑΡΟΥΜΕ ΚΑΙ ΤΟ ΑΠΟΣΤΟΛΗ ΤΩΝ ΣΤΟΙΧΕΙΩΝ ΤΟΥ ΜΕΣΩ EMAIL 6. ΤΕΛΟΣ ΤΟ ΚΑΝΟΥΜΕ ΥΠΟΒΟΛΗ)</t>
  </si>
  <si>
    <t>ΔΗΜΙΟΥΡΓΙΑ ΧΡΗΣΤΗ/ΣΤΩΝ</t>
  </si>
  <si>
    <t>ΕΓΓΡΑΦΗ ΧΡΗΣΤΩΝ ΣΕ ΜΑΘΗΜΑΤΑ</t>
  </si>
  <si>
    <t xml:space="preserve">Για να εγγράψεις χρήστες ακολουθείς τα παρακάτω βήματα 1. Πάμε στο αρχείο eclass (στο οποίο έχουμε καταγράψει όλους τους μαθητές τα ονόματα τους και όλους τους καθηγητές και όλα τα μαθήματα - καλό θα είναι να ανανεώνεται κάθε φορά που έχουμε κάτι καινούργιο), 2. Στο eclass πάμε κάτω από την αναζήτηση τέρμα δεξιά και πατάμε Διαχείρηση Πλατφόρμας, μετά κάτω αριστερά εκεί που γράφει Χρήστες, επιλέγουμε το Μαζική εγραφή χρηστών σε μαθήματα (που είναι 3η επιλογή από το τέλος), 3. Γράφουμε τα username μαθητών ή καθηγητών και τους κωδικούς μαθημάτων που τους βρήσκουμε από το αρχείο ECLASS, (αν κάποιος κωδικός μαθήματος δεν υπάρχει μπορούμε εύκολα να τον βρούμε από την αρχική σελίδα δίπλα στο όνομα του μαθήματος) επιλέγουμε ρόλο, δηλασή αν αυτός/αυτοί που γράφουμε είναι εκπαιδευτές/μαθητές κλπ και το βάζουμε. (Υ.Γ. Στους εκπαιδεύτες καλό θα ήταν να βάζουμε ρόλο Διαχειριστής - Εκπαιδευτής, έτσι ώστε να έχουν περισσότερες δυνατότητες στα μαθήματα τους) και πατάμε εγγραφή. Αν θέλουμε να δούμε τους χρήστες του κάθε μαθήματος, πάμε ξανά στην αρχική πατώντας το logo της ΙΣΑΕΚ πάνω αριστερά και μετά επιλέγουμε το εκάστοτε μάθημα με αριστερο κλικ πάνω στο τίτλο μαθήματος, αν θέλω να δώ χρήστες πατάω τα 3 ανθρωπάκια που είναι δίπλα στο γρανάζι και κάτω από τον τίτλο, βλέπουμε τους εγγεγραμμένους. Αν έχουμε κάνει κάποιο λάθος πχ ένα εκπαιδεύομενο τον βάλαμε εκπαιδευτή, πατάμε το γρανάζι δίπλα στο όνομα του και αλλάζουμε την ιδιότητα αν θέλουμε να αφαιρέσουμε κάποιον πατάμε το κόκκινο με το Χ. </t>
  </si>
  <si>
    <t xml:space="preserve">ΟΔΗΓΙΕΣ ΕΡΓΑΣΙΑΣ </t>
  </si>
  <si>
    <t>ΠΡΟΤΥΠΟ ΕΓΓΡΑΦΗΣ USER ECLASS</t>
  </si>
  <si>
    <t>Στο φύλλο ΠΡΟΤΥΠΟ ΕΓΓΡΑΦΗΣ USER ECLASS, υπάρχει περιεχόμενο που βοηθάει σε νέα εγγραφή χρήστη στο eclass</t>
  </si>
  <si>
    <t>ΑΠΟΥΣΙΕΣ ΕΑΙΝΟΥ ΕΞΑΜΗΝΟΥ</t>
  </si>
  <si>
    <t>Στο φύλλο ΟΔΗΓΙΕΣ ΕΡΓΑΣΙΑΣ υπάρχουν οδηγίες για ΛΑΖΑΡΟ(Αποθηκευτικός Χώρος), ΠΗΓΑΣΟ (Πληροφοριακό Σύστημα Υπουργείου) και ECLASS (Εκπαιδευτική Πλατφόρμα)</t>
  </si>
  <si>
    <t>ΛΑΖΑΡΟΣ - (Αποθηκευτικός Χώρος)</t>
  </si>
  <si>
    <t>Πλατφόρμα Εκπαίδευσης ECLASS (https://eclass-isaek.katartisi.gr/)</t>
  </si>
  <si>
    <t>ΦΑΚΕΛΟΣ</t>
  </si>
  <si>
    <t>ΕΞΗΓΗΣΗ ΠΕΡΙΕΧΟΜΈΝΟΥ ΦΑΚΕΛΟΥ ΚΑΙ ΧΡΗΣΙΜΟΤΗΤΑ</t>
  </si>
  <si>
    <t>ΕΚΚΡΕΜΟΤΗΤΕΣ</t>
  </si>
  <si>
    <t>ΠΕΡΙΜΕΝΟΥΜΕ ΒΑΘΜΟΛΟΓΙΕΣ ΕΣΩΤΕΡΙΚΗ ΑΡΧΙΤΕΚΤΟΝΙΚΗ ΔΙΑΚΟΣΜΗΣΗ (ΜΠΙΤΖΟΥ (1 ΕΤΟΣ (ΔΙΣΔΙΑΣΤΑΤΗ ΨΗΦΙΑΚΗ ΣΧΕΔΙΑΣΗ ΚΑΙ ΤΡΙΣΔΙΑΣΤΑΤΗ ΔΙΑΚΟΣΜΗΤΙΚΗ ΑΠΕΙΚΟΝΙΣΗ -ΕΡΓΑΣΙΑ) ΚΑΙ 2 ΕΤΟΣ (ΨΗΦΙΑΚΟΣ ΦΩΤΟΡΕΑΛΙΣΜΟΣ)) (ΤΣΑΚΙΡΕΛΗΣ (2 ΕΤΟΣ (ΔΙΑΚΟΣΜΗΤΙΚΟ ΣΧΕΔΙΟ ΦΩΤΙΣΜΟΣ -ΕΡΓΑΣΙΑ)) ( ΛΥΡΑΤΖΑΚΗΣ (1 ΕΤΟΣ (ΟΡΓΑΝΩΣΗ ΕΡΓΑΣΙΩΝ ΕΡΓΟΥ) ΚΑΙ 2 ΕΤΟΣ (ΠΑΡΑΓΩΓΑ ΥΛΙΚΑ))) (ΛΥΡΑΤΖΑΚΗ (2 ΕΤΟΣ (ΔΟΜΙΚΑ ΣΤΟΙΧΕΙΑ ΕΣΩΤΕΡΙΚΩΝ ΧΩΡΩΝ ΚΑΙ ΜΕΘΟΔΟΛΟΓΙΑ ΜΕΛΕΤΗΣ ΔΙΑΚΟΣΜΗΣΗΣ))</t>
  </si>
  <si>
    <t>stellaampartzaki@hotmail.com 2810240140/6944635028</t>
  </si>
  <si>
    <t>iek (\\192.168.2.79)</t>
  </si>
  <si>
    <t>Στον φάκελο, μπαίνεις στο δίπλα ονομα (iek (\\192.168.2.79))</t>
  </si>
  <si>
    <t>A_ΙΙΕΚ ΓΡΑΜΜΑΤΕΙΑ</t>
  </si>
  <si>
    <t>Για τα δικά μας θέματα ΙΕΚ, μπαίνουμε στο φάκελο με όνομα: A_ΙΙΕΚ ΓΡΑΜΜΑΤΕΙΑ</t>
  </si>
  <si>
    <t>ΕΓΓΡΑΦΑ ΓΙΑ ΕΝΗΜΕΡΩΣΕΙΣ</t>
  </si>
  <si>
    <t xml:space="preserve">Στο φάκελο "ΕΓΓΡΑΦΑ ΓΙΑ ΕΝΗΜΕΡΩΣΕΙΣ", υπάρχουν μέσα όλα τα αρχεία προς εκτύπωση για τα ραντεβού (ενημέρωση για ΙΣΑΕΚ και πραγματοποίηση εγγραφών). Επίσης υπάρχουν τα δίδακτρα και οι ΟΔΗΓΟΙ ΣΠΟΥΔΩΝ (προσοχοί υπάρχουν οι νεοι, τα άλλα είναι για αρχείο κλπ </t>
  </si>
  <si>
    <t>Στο φάκελο "ΕΓΓΡΑΦΕΣ", υπάρχουν μέσα υποφάκελοι με εγγραφές ανά έτος, στο 2026 όταν μπεις έχει ανα τμήμα τις εγγραφές και τα στοιχεία που μας έχουν φέρει και τα έχουμε σκανάρει</t>
  </si>
  <si>
    <t>Στο φάκελο "ΕΚΠΑΙΔΕΥΤΕΣ", υπάρχουν μέσα κάποια γενικά στοιχεία για τους εκπαιδευτές, τα υπόλοιπα συμβάσεις κλπ, υπάρχον στις συμβάσεις εκπαιδευτών ανα έτος.</t>
  </si>
  <si>
    <t>ΕΚΠΑΙΔΕΥΤΙΚΟ ΥΛΙΚΟ</t>
  </si>
  <si>
    <t>Στο φάκελο "ΕΚΠΑΙΔΕΥΤΙΚΟ ΥΛΙΚΟ", υπάρχουν μέσα οι σημειώσεις που έχουμε κάνει για τις ειδικότητες που έχουμε το ακαδημαικο έτος 2025Β-2026Α. Έχουμε και εκπαιδευτικό υλικό για κύριο Καθαράκη, διότι τα ήθελε αλλιώς αποθηκευμένα (είναι όμως οι ίδιες οι σημειώσεις)</t>
  </si>
  <si>
    <t>ΕΞΑΜΗΝΟ 2026Α</t>
  </si>
  <si>
    <t>Υπάρχουν διάφοροι φάκελοι που είναι με όνοματα εξαμήνων πχ ΕΞΑΜΗΝΟ 2026Α εκεί μέσα υπάρχουν όλα τα αρχεία που αφορούν το εξάμηνο πχ προγράμματα (εξαμήνου, εξετάσεων), θέματα εξετάσεων, αξιολογήσεις, συμβάσεις εκπαιδευτικών κλπ)</t>
  </si>
  <si>
    <t>ΣΤΟΙΧΕΙΑ ΣΠΟΥΔΑΣΤΩΝ</t>
  </si>
  <si>
    <t>Τα γενικά στοιχεία ΣΠΟΥΔΑΣΤΩΝ θα τα βρείς στις εγγραφές, ανάλογα με το έτος εγγραφής τους.</t>
  </si>
  <si>
    <t>ΣΤΟΙΧΕΙΑ ΕΚΠΑΙΔΕΥΤΕΣ</t>
  </si>
  <si>
    <t>Τα γενικά στοιχεία ΕΚΠΑΙΔΕΥΤΩΝ θα τα βρείς στο φάκελο εκπαιδευτές και οι συμβάσεις τους θα είναι στα επιμέρους εξάμηνα</t>
  </si>
  <si>
    <t>ΣΥΝΟΛΙΚΟ ΠΟΣΟ ΓΙΑ ΜΗ ΕΠΙΣΥΤΙΣΤΗΚΑ 2.000€</t>
  </si>
  <si>
    <t>6 ΜΗΝΕΣ ΠΡΑΚΤΙΚΗ ΑΣΚΗΣΗ Ή ΑΠΑΛΛΑΓΗ(6 ΜΗΝΕΣ ΕΡΓΑΣΙΑ)</t>
  </si>
  <si>
    <t>ΕΚΚΡΕΜΟΤΗΤΕΣ ΓΙΑ ΠΡΟΓΡΑΜΜΑ ΕΞΕΤΑΣΕΩΝ</t>
  </si>
  <si>
    <t>Τρίτη, 16 Ιουνίου 2026</t>
  </si>
  <si>
    <t>mylonaeirini9@gmail.com</t>
  </si>
  <si>
    <t>Ειρήνη Μυλωνά</t>
  </si>
  <si>
    <t>ΤΗΝ ΚΑΛΕΣΑΜΕ ΚΑΙ ΜΑΣ ΕΝΗΜΕΡΩΣΕ ΠΩΣ ΔΕΝ ΕΧΕΙ  ΑΠΟΛΥΤΗΡΙΟ ΛΥΚΕΙΟΥ ΚΑΙ ΤΩΡΑ ΒΓΑΖΕΙ ΤΟ ΓΥΜΝΑΣΙΟ ΚΑΙ ΤΗΝ ΣΤΕΙΛΑΜΕ ΣΕ ΣΕΜΙΝΑΡΙΟ</t>
  </si>
  <si>
    <t>ΠΑΠΑΔΟΠΟΥΛΟΣ ΑΝΤΩΝΙΟΣ</t>
  </si>
  <si>
    <t>ΠΕΡΙΜΕΝΟΥΜΕ ΤΣΑΚΙΡΕΛΗ (ΕΡΓΑΣΙΑ ΔΙΑΚΟΣΜΗΤΙΚΟ ΣΧΕΔΙΟ ΚΑΙ ΦΩΤΙΣΜΟΣ)</t>
  </si>
  <si>
    <t>15/07 ΞΕΚΙΝΑΕΙ ΠΡΑΚΤΙΚΗ Η ΔΑΣΚΑΛΑΚΗ ΙΕΡΑΠΕΤΡΙΤΑΚΗ ΡΑΦΑΕΛΑ, ΣΤΗΝ ΚΥΡΙΑ ΣΚΟΡΔΟΥ</t>
  </si>
  <si>
    <t>ΕΝΗΜΕΡΩΣΗ ΚΑΤΑΣΤΑΣΗΣ Κ.ΚΑΘΑΡΑΚΗ</t>
  </si>
  <si>
    <t xml:space="preserve">Στο φύλλο περιέχονταιι πληροφορίες για τις νέες εγγραφές και για τους υπάρχοντες σπουδαστές και χρησιμέυει για όταν μας ρωτάει ο κ.Καθαράκης να έχουμε σύντομα μια εικόνα και να τον ενημερώνουμε </t>
  </si>
  <si>
    <t>Πέμπτη 18 Ιουνίου 2026</t>
  </si>
  <si>
    <t>ΜΑΝΩΛΗΣ ΜΑΣΤΟΡΑΚΗΣ</t>
  </si>
  <si>
    <t>mastorakis.doc@gmail.com</t>
  </si>
  <si>
    <t>ΤΟΝ ΚΑΛΕΣΑΜΕ ΚΑΙ ΜΑΣ ΡΩΤΟΥΣΕ ΩΡΕΣ, ΜΕΡΕΣ ΜΑΘΗΜΑΤΩΝ ΚΑΙ ΑΝ ΜΠΟΡΕΙ ΝΑ ΚΑΝΕΙ ΔΙΑΚΟΠΗ ΣΠΟΥΔΩΝ ΚΑΙ ΓΙΑ ΠΟΣΟ ΔΙΑΣΤΗΜΑ. ΕΠΙΣΗΣ ΡΩΤΟΥΣΕ ΓΙΑ ΧΡΗΜΑΤΑ ΚΑΙ ΑΥΤΟΣ ΘΕΛΕΙ ΠΡΩΙΝΟ ΤΜΗΜΑ ΚΑΙ ΘΑ ΤΟ ΣΚΕΥΤΕΙ ΚΑΙ ΘΑ ΞΑΝΑ ΕΠΙΚΟΙΝΩΝΙΣΕΙ</t>
  </si>
  <si>
    <t>SDO120</t>
  </si>
  <si>
    <t>SDO121</t>
  </si>
  <si>
    <t>SDO122</t>
  </si>
  <si>
    <t>SDO123</t>
  </si>
  <si>
    <t>SDO124</t>
  </si>
  <si>
    <t>SDO125</t>
  </si>
  <si>
    <t>ΠΡΑΚΤΙΚΗ ΕΦΑΡΜΟΓΗ ΣΤΗΝ ΕΙΔΙΚΟΤΗΤΑ (Γ ΕΞΑΜΗΝΟ)</t>
  </si>
  <si>
    <t>SDO126</t>
  </si>
  <si>
    <t>SDO127</t>
  </si>
  <si>
    <t>SDO128</t>
  </si>
  <si>
    <t>SDO129</t>
  </si>
  <si>
    <t>SDO130</t>
  </si>
  <si>
    <t>SDO131</t>
  </si>
  <si>
    <t>SDO132</t>
  </si>
  <si>
    <t>ΠΡΑΚΤΙΚΗ ΕΦΑΡΜΟΓΗ ΣΤΗΝ ΕΙΔΙΚΟΤΗΤΑ (Δ ΕΞΑΜΗΝΟ)</t>
  </si>
  <si>
    <t>SDO133  </t>
  </si>
  <si>
    <t>CHEF113</t>
  </si>
  <si>
    <t>CHEF114</t>
  </si>
  <si>
    <t>CHEF115</t>
  </si>
  <si>
    <t>CHEF116</t>
  </si>
  <si>
    <t>CHEF117</t>
  </si>
  <si>
    <t>CHEF118</t>
  </si>
  <si>
    <t>CHEF119</t>
  </si>
  <si>
    <t>ΠΡΑΚΤΙΚΗ ΑΣΚΗΣΗ (Δ ΕΞΑΜΗΝΟ)</t>
  </si>
  <si>
    <t>CHEF120</t>
  </si>
  <si>
    <t>CHEF121</t>
  </si>
  <si>
    <t>CHEF122</t>
  </si>
  <si>
    <t>CHEF123</t>
  </si>
  <si>
    <t>ΠΡΟΣΩΠΙΚΟ</t>
  </si>
  <si>
    <t>katharakis</t>
  </si>
  <si>
    <t>michelaki</t>
  </si>
  <si>
    <t>nikolopoulou</t>
  </si>
  <si>
    <t>ΜΕΛΠΩ</t>
  </si>
  <si>
    <t>ΚΑΘΑΡΑΚΗΣ</t>
  </si>
  <si>
    <t>ΜΙΧΕΛΑΚΗ</t>
  </si>
  <si>
    <t>ΝΙΚΟΛΟΠΟΥΛΟΥ</t>
  </si>
  <si>
    <t>katharak@katartisi.gr</t>
  </si>
  <si>
    <t>michelaki@katartisi.gr</t>
  </si>
  <si>
    <t>nikolopoulou@katartisi.gr</t>
  </si>
  <si>
    <t xml:space="preserve">ΚΩΣΤΑΣ </t>
  </si>
  <si>
    <t>ΤΣΙΚΑΛΑΣ</t>
  </si>
  <si>
    <t>tsikalas</t>
  </si>
  <si>
    <t>tsikalas@katartisi.gr</t>
  </si>
  <si>
    <t>ΥΠΟΛΟΓΙΣΤΩΝ (1ο ΕΤΟΣ)</t>
  </si>
  <si>
    <t>ΤΟΥΡΙΣΜΟΥ (1ο ΕΤΟΣ)</t>
  </si>
  <si>
    <t>ΥΠΟΛΟΓΙΣΤΩΝ</t>
  </si>
  <si>
    <t>ΤΟΥΡΙΣΜΟΥ</t>
  </si>
  <si>
    <t>ΣΤΕΛΕΧΟΣ ΔΙΟΙΚΗΣΗΣ ΚΑΙ ΟΙΚΟΝΟΜΙΑΣ 1 ΕΤΟΣ</t>
  </si>
  <si>
    <t>ΣΤΕΛΕΧΟΣ ΔΙΟΙΚΗΣΗΣ ΚΑΙ ΟΙΚΟΝΟΜΙΑΣ 2 ΕΤΟΣ</t>
  </si>
  <si>
    <t>ΕΣΩΤΕΡΙΚΗ ΑΡΧΙΚΤΕΚΤΟΝΙΚΗ ΔΙΑΚΟΣΜΗΣΗ ΚΑΙ ΣΧΕΔΙΑΣΜΟΣ ΑΝΤΙΚΕΙΜΕΝΩΝ 1 ΕΤΟΣ</t>
  </si>
  <si>
    <t>ΤΕΧΝΙΚΟΣ ΜΑΓΕΙΡΙΚΗΣ ΤΕΧΝΗΣ - ΑΡΧΙΜΑΓΕΙΡΑΣ CHEF 1 ΕΤΟΣ</t>
  </si>
  <si>
    <t>ΣΤΕΛΕΧΟΣ ΥΠΗΡΕΣΙΩΝ ΑΕΡΟΜΕΤΑΦΟΡΑΣ 1 ΕΤΟΣ</t>
  </si>
  <si>
    <t>ΣΤΕΛΕΧΟΣ ΥΠΗΡΕΣΙΩΝ ΑΕΡΟΜΕΤΑΦΟΡΑΣ 2 ΕΤΟΣ</t>
  </si>
  <si>
    <t>ΠΡΑΚΤΙΚΗ ΕΦΑΡΜΟΓΗ ΣΤΗΝ ΕΙΔΙΚΟΤΗΤΑ (Α+Β ΕΞΑΜΗΝΟ)</t>
  </si>
  <si>
    <t>ΤΕΧΝΙΚΟΣ ΜΑΓΕΙΡΙΚΗΣ ΤΕΧΝΗΣ - ΑΡΧΙΜΑΓΕΙΡΑΣ CHEF 2 ΕΤΟΣ</t>
  </si>
  <si>
    <t>Γιωργος Κυρικλακης</t>
  </si>
  <si>
    <t>Παρασκεύη 19 Ιουνίου 2026</t>
  </si>
  <si>
    <t>22:05 μμ</t>
  </si>
  <si>
    <t>giorgoskiriklakis10@gmail.com</t>
  </si>
  <si>
    <t>Στο φύλλο περιέχονται πληροφορίες για τις εκδηλώσεις ενδιαφέροντος. Εχει και πινακάκι με τα στατιστικά και λεεί από που μάθανε για την ΙΣΑΕΚ κλπ. Περιέχει όλες τις εκδηλώσεις ενδιαφέροντος από 26/06/2025.</t>
  </si>
  <si>
    <t>ΟΔΗΓΙΕΣ ΓΙΑ ΒΑΣΙΚΕΣ ΕΡΓΑΣΙΕΣ ΣΤΟ ECLASS</t>
  </si>
  <si>
    <t>ΒΗΜΑΤΑ ΓΙΑ ΔΗΜΙΟΥΡΓΙΑ ΧΡΗΣΤΗ/ΣΤΩΝ</t>
  </si>
  <si>
    <r>
      <t xml:space="preserve">Αγαπητέ χρήστη,
Ο λογαριασμός σας για την εκπαιδευτική πλατφόρμα eClass έχει δημιουργηθεί. Μέσα από την πλατφόρμα θα γίνεται ανάρτηση υλικού μαθημάτων, ανακοινώσεις και λοιπές εκπαιδευτικές δραστηριότητες.
</t>
    </r>
    <r>
      <rPr>
        <b/>
        <sz val="11"/>
        <color rgb="FFFF0000"/>
        <rFont val="Aptos Narrow"/>
        <family val="2"/>
        <scheme val="minor"/>
      </rPr>
      <t>(ΑΥΤΑ ΔΕΝ ΤΑ ΑΝΤΙΓΡΑΦΟΥΜΕ, ΤΑ ΚΡΑΤΑΜΕ ΚΑΙ ΤΑ ΕΧΟΥΜΕ ΩΣ ΜΠΟΥΣΟΥΛΑ ΠΩΣ ΑΝΤΙΓΡΑΦΟΥΜΕ ΤΑ ΠΑΝΩ ΚΑΙ ΤΑ ΚΑΤΩ ΑΠΟ ΑΥΤΑ ΓΙΑΤΙ ΑΥΤΑ ΤΑ ΕΧΕΙ ΩΣ USERNAME ΚΑΙ PASSWORD ΤΑ ΔΙΝΕΙ ΤΟ ECLASS)</t>
    </r>
    <r>
      <rPr>
        <b/>
        <sz val="11"/>
        <color theme="1"/>
        <rFont val="Aptos Narrow"/>
        <family val="2"/>
        <scheme val="minor"/>
      </rPr>
      <t xml:space="preserve">🔑 Στοιχεία λογαριασμού
Όνομα χρήστη (username): [username]
Συνθηματικό (password): [password]
</t>
    </r>
    <r>
      <rPr>
        <sz val="11"/>
        <color theme="1"/>
        <rFont val="Aptos Narrow"/>
        <family val="2"/>
        <charset val="161"/>
        <scheme val="minor"/>
      </rPr>
      <t>Διεύθυνση πλατφόρμας: https://eclass-isaek.katartisi.gr/
📝 Βήματα πρώτης σύνδεσης
Μεταβείτε στη διεύθυνση: https://eclass-isaek.katartisi.gr/.
Εισάγετε το όνομα χρήστη και το συνθηματικό που σας δόθηκαν.
Μόλις συνδεθείτε, προχωρήστε σε αλλαγή κωδικού ώστε να ορίσετε έναν νέο, πιο προσωπικό και εύχρηστο.
Ο νέος κωδικός θα πρέπει να είναι εύκολος για εσάς, αλλά δύσκολος να τον μαντέψει άλλος (π.χ. συνδυασμός γραμμάτων, αριθμών και συμβόλων).
📞 Υποστήριξη
Αν αντιμετωπίσετε κάποιο πρόβλημα με τη σύνδεση ή τη χρήση της πλατφόρμας, μπορείτε να επικοινωνήσετε με:
Μέλπω Μιχελάκη ή Μαρία Νικολοπούλου
Τηλ.: 2810331580
Email: michelaki@katartisi.gr , nikolopoulou@katartisi.gr</t>
    </r>
  </si>
  <si>
    <r>
      <t xml:space="preserve">Αγαπητέ/ή εκπαιδευόμενε/η,
Ο λογαριασμός σας για την εκπαιδευτική πλατφόρμα eClass έχει δημιουργηθεί. Μέσα από την πλατφόρμα θα μπορείτε:
να έχετε πρόσβαση σε εκπαιδευτικό υλικό,
να ενημερώνεστε για ανακοινώσεις και δραστηριότητες.
</t>
    </r>
    <r>
      <rPr>
        <b/>
        <sz val="11"/>
        <color rgb="FFFF0000"/>
        <rFont val="Aptos Narrow"/>
        <family val="2"/>
        <scheme val="minor"/>
      </rPr>
      <t>(ΑΥΤΑ ΔΕΝ ΤΑ ΑΝΤΙΓΡΑΦΟΥΜΕ, ΤΑ ΚΡΑΤΑΜΕ ΚΑΙ ΤΑ ΕΧΟΥΜΕ ΩΣ ΜΠΟΥΣΟΥΛΑ ΠΩΣ ΑΝΤΙΓΡΑΦΟΥΜΕ ΤΑ ΠΑΝΩ ΚΑΙ ΤΑ ΚΑΤΩ ΑΠΟ ΑΥΤΑ ΓΙΑΤΙ ΑΥΤΑ ΤΑ ΕΧΕΙ ΩΣ USERNAME ΚΑΙ PASSWORD ΤΑ ΔΙΝΕΙ ΤΟ ECLASS)</t>
    </r>
    <r>
      <rPr>
        <b/>
        <sz val="11"/>
        <color theme="1"/>
        <rFont val="Aptos Narrow"/>
        <family val="2"/>
        <scheme val="minor"/>
      </rPr>
      <t>🔑 Στοιχεία λογαριασμού
Όνομα χρήστη (username): [username]
Συνθηματικό (password): [password]
Διεύθυνση πλατφόρμας: https://eclass-isaek.katartisi.gr/</t>
    </r>
    <r>
      <rPr>
        <sz val="11"/>
        <color theme="1"/>
        <rFont val="Aptos Narrow"/>
        <family val="2"/>
        <charset val="161"/>
        <scheme val="minor"/>
      </rPr>
      <t xml:space="preserve">
📝 Βήματα πρώτης σύνδεσης
Μεταβείτε στη διεύθυνση: https://eclass-isaek.katartisi.gr/.
Εισάγετε το όνομα χρήστη και το συνθηματικό που σας δόθηκαν.
Μόλις συνδεθείτε, κάντε αλλαγή κωδικού ώστε να βάλετε έναν νέο, πιο προσωπικό και εύκολο να θυμάστε.
ℹ️ Χρήσιμες πληροφορίες
Από την αρχική σελίδα του κάθε μαθήματος θα βρίσκετε σημειώσεις, υλικό, εργασίες και ανακοινώσεις.
Ελέγχετε τακτικά την πλατφόρμα για ενημερώσεις από τον εκπαιδευτή.
📞 Υποστήριξη
Αν αντιμετωπίσετε κάποιο πρόβλημα με τη σύνδεση ή τη χρήση της πλατφόρμας, μπορείτε να επικοινωνήσετε με:
Μέλπω Μιχελάκη ή Μαρία Νικολοπούλου
Τηλ.: 2810331580
Email: michelaki@katartisi.gr , nikolopoulou@katartisi.gr</t>
    </r>
  </si>
  <si>
    <t>ΠΕΡΙΕΧΟΜΕΝΑ - ΕΞΗΓΗΣΗ EXCEL</t>
  </si>
  <si>
    <t xml:space="preserve">ΝΑ ΚΑΛΕΣΟΥΜΕ ΤΡΙΤΗ 23/06/2026 ΣΤΙΣ 12:00 TON Γιωργος Κυρικλακης ΑΠΌ ΤΙΣ ΕΚΔΗΛΩΣΕΙΣ ΕΝΔΙΑΦΕΡΟΝΤΟΣ </t>
  </si>
  <si>
    <t>ΑΡΙΘΜΟΣ ΑΠΟΦΟΙΤΩΝ ΧΩΡΙΣ\ ΒΕΚ</t>
  </si>
  <si>
    <t>ΑΡΙΘΜΟΣ ΑΠΟΦΟΙΤΩΝ ΧΩΡΙΣ ΒΕΚ</t>
  </si>
  <si>
    <t>ΣΥΝΟΛΟ ΑΠΟΦΟΙΤΩΝ</t>
  </si>
  <si>
    <t xml:space="preserve">1. 'Εστειλα κάτοψη στην διευθύντρια ΕΠΑΛ, 2. Εβγαλά τα ταψιά που ήταν στο ψυγείο για να τα βάλω στο ψυγείο της Αρτοποιήας που είναι του Βογιατζή, 3. Βοήθησα για τις σακούλες σπουπιδιών που είναι 4. Κάλεσα Μασαούτη για το μοτέρ αλλά δεν το σήκωνε και κάλεσα και ψυκτικό για το ψυγείο στην 5. που δεν πέυτει κάτω από -12 (θα έρθει σήμερα αλλά δύσκολο... μάλλον αύριο ή από δευτέρα). 6. Εστειλα την κάτοψη και στην Λυρατζάκη που την ήθελε για το μάθημα. 7. Πέρασα τις 3 πληρωμές από Μαρία η μια και από Νατάσα οι 2. 8. Μίλησα με την Πέλα και λέγαμε πως δεν θα κάνει μάθημα, θα κάνει τελικές και όχι εργασίες, για υλικό πως δεν θα μπορεί δεν θα τους δώσει. 9. Ενημέρωσα για ακύρωση του μαθήματος με την Πέλα, 10. Μίλησα με την Λυρατζάκη πως δεν έχουμε την Κάτοψη σε επεξεργάσιμη μορφή, 11. τακτοποίησα χαρτιά απουσιών, 12. τακτοποίησα χαρτιά για τις πληρωμές. 13. Έφτιαξα τα νέα χαρτιά για σήμερα με απουσίες και έφτιαξα και τα βιβλία ύλης. 14. Ενημέρωσα τον Μπουχαλάκη για τις πληρωμες σεμιναρίου... 15. Έμαθα για τις σημαίες πως πρέπει να πάω να τις πάρω την δευτέρα πριν πάω δουλειά...16. Ετοίμασα και έστειλα email, για τον διαγωνισμό της Λέσχης Αρχιμαγείρων. 17. Ο τεχνικός θα έρθει πιο μεσημέρι για να τις δει τις φυάλλες και σε μια ώρα (13:00) θα έρθουν να φέρουν και τις 2 φυάλλες επικοινωνήσα με τον καλογεράκη. 18. Εφτιαξά, πρωτοκόλλησα, εκτύπωσα σκάναρα και έστειλα βεβαίωση για 2 σπουδαστές. 19. Μίλησα με αυτούς που είχαν πάρει τηλέφωνο από βραδυς. 20. Ειδά για υλικά τι έχουμε και έχουμε πολλά αυγά και βούτηρο 82% οπότε δεν παράγγειλα. 21. Έκανα παραγγελιά από χαλκιαδάκη. 22. Κάλεσα τον Χαλιλι, διοτι δεν είχα ενημέρωση πως έχει συνενοηθεί για να έρθει σήμερα πολύ πρώι η καθαρίαστρια και εγώ την έψαχνα... 23. Ξανά κάλεσα τον Μασαούτη για το μοτέρ δεν το σηκώνει.... 24. Προσπάθησα πάλι να κάνω στοιχεία συμβάσεις. 25. Ετοίμασα τις αίθουσες για τα μαθηματα, 26. Κάλεσα τον Χανιωτάκη για να τον ενημερώσω πως αν δεν ερθει κανείς θα κάνει εξ αποστάσεως και είπε πως δεν γίνεται εξ αποστάσεως 27. Κάλεσα το κάθε ένα από τα δέκα παιδιά και κανένας δεν μπορούσε να έρθει 28. Ξανα κάλεσα τον Χανιωτάκη να του πω πως ακυρώνεται το μάθημα, 29. πήγα και έφτιαξα ξανά την αίθουσα όπως ήταν, ενημέρωσα ξανά με εκ νέου email πως δεν θα γίνει το μάθημα, έφτιαξα το internal και το ημερολόγιο αιθουσών. 30. Μίλησα με τον Χαλίλι, γιατί ήρθε και μας είπε ο Στρατίγης πως κανόνισα εγώ να κάνουν το ΣΚ πατώματα και πάγκους ενώ εγώ δεν κανόνισα τίποτα και τελικά το είχε κανονίσει πάλι ο Καθαράκης και δεν μας είχε ενημερώσει και κάλεσα πάλι και το ακύρωσα. 31. έβγαλα παρουσιολόγια ΠΗΓΑΣΟΣ για επόμενη εβδομάδα, 32. Έφτιαξα το σύστημα με τις απουσίες  </t>
  </si>
  <si>
    <t>ΒΙΝΤΕΟ ΓΙΑ ΤΗΛΕΩΡΑΣΕΙΣ (ΕΝ ΟΨΗ ΕΓΓΡΑΦΩΝ)</t>
  </si>
  <si>
    <t>ΤΑ ΒΙΝΤΕΟ ΓΙΑ ΝΑ ΠΑΙΖΟΥΝ ΟΙ ΤΗΛΕΩΡΑΣΕΙΣ ΌΤΑΝ ΕΧΕΙ ΕΓΓΡΑΦΕΣ ΕΊΝΑΙ ΣΤΟ YOUTUBE --&gt;https://www.youtube.com/watch?v=2xCXoCBR57A (ΣΤΟ ΚΑΝΑΛΙ ΤΟΥ ΛΟΓΑΡΙΑΣΜΟΥ iek katartisi), ΣΥΝΗΘΩΣ ΤΑ ΒΑΖΟΥΜΕ ΧΩΡΙΣ ΗΧΟ, ΌΧΙ ΌΤΙ ΕΊΝΑΙ ΛΑΘΟΣ ΑΝ ΕΧΕΙ ΗΧΟ ΦΥΣΙΚΑ. ΟΝΟΜΑ ΒΙΝΤΕΟ: ΙΣΑΕΚ ΕΠΙΜΕΛΗΤΗΡΙΟΥ ΗΡΑΚΛΕΙΟΥ "70 χρόνια ειδικοί στην κατάρτιση"</t>
  </si>
  <si>
    <t>ΤΟΝ ΚΑΛΕΣΑΜΕ ΔΕΥΤΕΡΑ 22/06/2026 ΤΟ ΠΡΩΙ ΚΑΙ ΕΙΠΕ ΝΑ ΤΟΝ ΚΑΛΕΣΟΥΜΕ ΑΥΡΙΟ ΤΡΙΤΗ 22/06/2026 ΚΑΙ ΩΡΑ 12:00, ΑΚΟΥΓΟΤΑΝ ΜΙΚΡΟΣ ΣΕ ΗΛΙΚΙΑ ΚΑΙ ΜΑΛΛΟΝ ΗΤΑΝ ΓΙΑ ΚΑΦΕ ΓΙΑ ΑΥΤΌ ΔΕΝ ΜΠΟΡΟΥΣΕ…, ΤΟΝ ΚΑΛΕΣΑΜΕ ΚΑΙ ΤΡΙΤΗ 23/06/2026 12:00 ΚΑΙ ΔΕΝ ΤΟ ΣΗΚΩΣΕ ΟΠΟΤΕ ΣΤΕΙΛΑΜΕ EMAIL ΚΑΙ ΠΕΡΙΜΈΝΟΥΜΕ</t>
  </si>
  <si>
    <t>ΠΑΡΑΣΚΕΥΗ 26/06/2026 17:00 ΑΥΓΟΥΣΤΑΚΗ ΕΥΓΕΝΙΑ (ΜΑΜΑ), ΕΡΩΤΟΚΡΙΤΑΚΗΣ ΕΜΜΑΝΟΥΗΛ (ΣΠΟΥΔΑΣΤΗΣ) ΓΙΑ ΤΕΧΝΙΚΟΣ ΜΑΓΕΙΡΙΚΗΣ ΤΕΧΝΗΣ - ΑΡΧΙΜΑΓΕΙΡΑΣ CHEF, ΚΙΝΗΤΟ (6940857951)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</si>
</sst>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0.0"/>
    <numFmt numFmtId="166" formatCode="h:mm\ AM/PM"/>
  </numFmts>
  <fonts count="75">
    <font>
      <sz val="11"/>
      <color theme="1"/>
      <name val="Aptos Narrow"/>
      <family val="2"/>
      <charset val="161"/>
      <scheme val="minor"/>
    </font>
    <font>
      <u/>
      <sz val="11"/>
      <color theme="10"/>
      <name val="Aptos Narrow"/>
      <family val="2"/>
      <charset val="161"/>
      <scheme val="minor"/>
    </font>
    <font>
      <b/>
      <sz val="11"/>
      <color theme="1"/>
      <name val="Aptos Narrow"/>
      <family val="2"/>
      <scheme val="minor"/>
    </font>
    <font>
      <sz val="11"/>
      <color rgb="FFFF0000"/>
      <name val="Aptos Narrow"/>
      <family val="2"/>
      <scheme val="minor"/>
    </font>
    <font>
      <sz val="11"/>
      <name val="Aptos Narrow"/>
      <family val="2"/>
      <scheme val="minor"/>
    </font>
    <font>
      <sz val="11"/>
      <color rgb="FFFF0000"/>
      <name val="Aptos Narrow"/>
      <family val="2"/>
      <charset val="161"/>
      <scheme val="minor"/>
    </font>
    <font>
      <sz val="11"/>
      <color theme="1"/>
      <name val="Aptos Narrow"/>
      <family val="2"/>
      <scheme val="minor"/>
    </font>
    <font>
      <b/>
      <sz val="11"/>
      <name val="Aptos Narrow"/>
      <family val="2"/>
      <scheme val="minor"/>
    </font>
    <font>
      <sz val="8"/>
      <name val="Aptos Narrow"/>
      <family val="2"/>
      <charset val="161"/>
      <scheme val="minor"/>
    </font>
    <font>
      <b/>
      <sz val="11"/>
      <color rgb="FFFF0000"/>
      <name val="Aptos Narrow"/>
      <family val="2"/>
      <scheme val="minor"/>
    </font>
    <font>
      <b/>
      <sz val="11"/>
      <color rgb="FFFFCC99"/>
      <name val="Aptos Narrow"/>
      <family val="2"/>
      <scheme val="minor"/>
    </font>
    <font>
      <sz val="11"/>
      <color rgb="FF99FF99"/>
      <name val="Aptos Narrow"/>
      <family val="2"/>
      <charset val="161"/>
      <scheme val="minor"/>
    </font>
    <font>
      <sz val="11"/>
      <color rgb="FFFFFF00"/>
      <name val="Aptos Narrow"/>
      <family val="2"/>
      <charset val="161"/>
      <scheme val="minor"/>
    </font>
    <font>
      <b/>
      <sz val="11"/>
      <color rgb="FFCCFFFF"/>
      <name val="Aptos Narrow"/>
      <family val="2"/>
      <scheme val="minor"/>
    </font>
    <font>
      <sz val="11"/>
      <color rgb="FFFF0066"/>
      <name val="Aptos Narrow"/>
      <family val="2"/>
      <charset val="161"/>
      <scheme val="minor"/>
    </font>
    <font>
      <sz val="11"/>
      <color rgb="FFFFCCFF"/>
      <name val="Aptos Narrow"/>
      <family val="2"/>
      <charset val="161"/>
      <scheme val="minor"/>
    </font>
    <font>
      <sz val="11"/>
      <color theme="1"/>
      <name val="Aptos Narrow"/>
      <family val="2"/>
      <charset val="161"/>
      <scheme val="minor"/>
    </font>
    <font>
      <b/>
      <sz val="11"/>
      <color theme="0"/>
      <name val="Aptos Narrow"/>
      <family val="2"/>
      <scheme val="minor"/>
    </font>
    <font>
      <b/>
      <sz val="11"/>
      <color theme="0"/>
      <name val="Aptos Narrow"/>
      <family val="2"/>
      <charset val="161"/>
      <scheme val="minor"/>
    </font>
    <font>
      <b/>
      <sz val="11"/>
      <color theme="1"/>
      <name val="Aptos Narrow"/>
      <family val="2"/>
      <charset val="161"/>
      <scheme val="minor"/>
    </font>
    <font>
      <b/>
      <sz val="10"/>
      <color theme="1"/>
      <name val="Arial"/>
      <family val="2"/>
      <charset val="161"/>
    </font>
    <font>
      <sz val="10"/>
      <color theme="1"/>
      <name val="Arial"/>
      <family val="2"/>
      <charset val="161"/>
    </font>
    <font>
      <b/>
      <sz val="11"/>
      <color rgb="FFCC00FF"/>
      <name val="Aptos Narrow"/>
      <family val="2"/>
      <charset val="161"/>
      <scheme val="minor"/>
    </font>
    <font>
      <b/>
      <sz val="11"/>
      <color rgb="FFFF3399"/>
      <name val="Aptos Narrow"/>
      <family val="2"/>
      <charset val="161"/>
      <scheme val="minor"/>
    </font>
    <font>
      <sz val="10"/>
      <name val="Arial"/>
      <family val="2"/>
      <charset val="161"/>
    </font>
    <font>
      <b/>
      <sz val="11"/>
      <color rgb="FF00B0F0"/>
      <name val="Aptos Narrow"/>
      <family val="2"/>
      <charset val="161"/>
      <scheme val="minor"/>
    </font>
    <font>
      <b/>
      <sz val="11"/>
      <color rgb="FF99FF99"/>
      <name val="Aptos Narrow"/>
      <family val="2"/>
      <charset val="161"/>
      <scheme val="minor"/>
    </font>
    <font>
      <sz val="10"/>
      <color rgb="FF92D050"/>
      <name val="Arial"/>
      <family val="2"/>
      <charset val="161"/>
    </font>
    <font>
      <b/>
      <sz val="20"/>
      <color theme="0"/>
      <name val="Aptos Narrow"/>
      <family val="2"/>
      <charset val="161"/>
      <scheme val="minor"/>
    </font>
    <font>
      <b/>
      <sz val="11"/>
      <color theme="4"/>
      <name val="Aptos Narrow"/>
      <family val="2"/>
      <charset val="161"/>
      <scheme val="minor"/>
    </font>
    <font>
      <sz val="10"/>
      <color rgb="FFFF00FF"/>
      <name val="Arial"/>
      <family val="2"/>
      <charset val="161"/>
    </font>
    <font>
      <sz val="11"/>
      <color rgb="FFCC00FF"/>
      <name val="Aptos Narrow"/>
      <family val="2"/>
      <charset val="161"/>
      <scheme val="minor"/>
    </font>
    <font>
      <b/>
      <sz val="11"/>
      <color rgb="FFFF0000"/>
      <name val="Aptos Narrow"/>
      <family val="2"/>
      <charset val="161"/>
      <scheme val="minor"/>
    </font>
    <font>
      <b/>
      <sz val="11"/>
      <color rgb="FF0070C0"/>
      <name val="Aptos Narrow"/>
      <family val="2"/>
      <charset val="161"/>
      <scheme val="minor"/>
    </font>
    <font>
      <u/>
      <sz val="11"/>
      <name val="Aptos Narrow"/>
      <family val="2"/>
      <charset val="161"/>
      <scheme val="minor"/>
    </font>
    <font>
      <u/>
      <sz val="11"/>
      <color rgb="FF0070C0"/>
      <name val="Aptos Narrow"/>
      <family val="2"/>
      <charset val="161"/>
      <scheme val="minor"/>
    </font>
    <font>
      <sz val="11"/>
      <name val="Aptos Narrow"/>
      <family val="2"/>
      <charset val="161"/>
      <scheme val="minor"/>
    </font>
    <font>
      <sz val="9"/>
      <color indexed="81"/>
      <name val="Tahoma"/>
      <family val="2"/>
      <charset val="161"/>
    </font>
    <font>
      <b/>
      <sz val="9"/>
      <color indexed="81"/>
      <name val="Tahoma"/>
      <family val="2"/>
      <charset val="161"/>
    </font>
    <font>
      <sz val="12"/>
      <color rgb="FF242424"/>
      <name val="Segoe UI"/>
      <family val="2"/>
      <charset val="161"/>
    </font>
    <font>
      <b/>
      <sz val="11"/>
      <color rgb="FF000000"/>
      <name val="Aptos Narrow"/>
      <family val="2"/>
      <charset val="161"/>
      <scheme val="minor"/>
    </font>
    <font>
      <sz val="11"/>
      <color rgb="FF000000"/>
      <name val="Aptos Narrow"/>
      <family val="2"/>
      <scheme val="minor"/>
    </font>
    <font>
      <sz val="12"/>
      <color theme="1"/>
      <name val="Aptos"/>
      <family val="2"/>
    </font>
    <font>
      <sz val="12"/>
      <color theme="1"/>
      <name val="Times New Roman"/>
      <family val="1"/>
      <charset val="161"/>
    </font>
    <font>
      <sz val="11"/>
      <color rgb="FF242424"/>
      <name val="Segoe UI"/>
      <family val="2"/>
      <charset val="161"/>
    </font>
    <font>
      <sz val="12"/>
      <color rgb="FF000000"/>
      <name val="Aptos"/>
      <family val="2"/>
    </font>
    <font>
      <b/>
      <sz val="24"/>
      <color theme="1"/>
      <name val="Aptos Narrow"/>
      <family val="2"/>
      <charset val="161"/>
      <scheme val="minor"/>
    </font>
    <font>
      <b/>
      <sz val="18"/>
      <color theme="1"/>
      <name val="Aptos Narrow"/>
      <family val="2"/>
      <charset val="161"/>
      <scheme val="minor"/>
    </font>
    <font>
      <sz val="12"/>
      <color rgb="FF323130"/>
      <name val="Segoe UI"/>
      <family val="2"/>
      <charset val="161"/>
    </font>
    <font>
      <sz val="12"/>
      <color theme="1"/>
      <name val="Aptos Narrow"/>
      <family val="2"/>
      <scheme val="minor"/>
    </font>
    <font>
      <b/>
      <sz val="12"/>
      <color theme="1"/>
      <name val="Aptos Narrow"/>
      <family val="2"/>
      <scheme val="minor"/>
    </font>
    <font>
      <b/>
      <u/>
      <sz val="11"/>
      <color theme="1"/>
      <name val="Aptos Narrow"/>
      <family val="2"/>
      <scheme val="minor"/>
    </font>
    <font>
      <u/>
      <sz val="11"/>
      <color theme="1"/>
      <name val="Aptos Narrow"/>
      <family val="2"/>
      <scheme val="minor"/>
    </font>
    <font>
      <sz val="11"/>
      <color theme="9"/>
      <name val="Aptos Narrow"/>
      <family val="2"/>
      <scheme val="minor"/>
    </font>
    <font>
      <b/>
      <sz val="11"/>
      <color theme="3"/>
      <name val="Aptos Narrow"/>
      <family val="2"/>
      <charset val="161"/>
      <scheme val="minor"/>
    </font>
    <font>
      <sz val="11"/>
      <color rgb="FF006100"/>
      <name val="Aptos Narrow"/>
      <family val="2"/>
      <charset val="161"/>
      <scheme val="minor"/>
    </font>
    <font>
      <sz val="11"/>
      <color theme="0"/>
      <name val="Aptos Narrow"/>
      <family val="2"/>
      <charset val="161"/>
      <scheme val="minor"/>
    </font>
    <font>
      <sz val="12"/>
      <color theme="1"/>
      <name val="Amadeus Neue"/>
    </font>
    <font>
      <b/>
      <sz val="16"/>
      <color theme="1"/>
      <name val="Aptos Narrow"/>
      <family val="2"/>
      <scheme val="minor"/>
    </font>
    <font>
      <sz val="16"/>
      <color theme="1"/>
      <name val="Aptos Narrow"/>
      <family val="2"/>
      <scheme val="minor"/>
    </font>
    <font>
      <b/>
      <sz val="12"/>
      <color theme="1"/>
      <name val="Aptos Narrow"/>
      <family val="2"/>
      <charset val="161"/>
      <scheme val="minor"/>
    </font>
    <font>
      <sz val="12"/>
      <color theme="1"/>
      <name val="Aptos Narrow"/>
      <family val="2"/>
      <charset val="161"/>
      <scheme val="minor"/>
    </font>
    <font>
      <sz val="10"/>
      <color theme="1"/>
      <name val="Aptos Narrow"/>
      <family val="2"/>
      <charset val="161"/>
      <scheme val="minor"/>
    </font>
    <font>
      <u/>
      <sz val="12"/>
      <color theme="1"/>
      <name val="Aptos Narrow"/>
      <family val="2"/>
      <charset val="161"/>
      <scheme val="minor"/>
    </font>
    <font>
      <u/>
      <sz val="12"/>
      <color theme="10"/>
      <name val="Aptos Narrow"/>
      <family val="2"/>
      <charset val="161"/>
      <scheme val="minor"/>
    </font>
    <font>
      <sz val="10"/>
      <color rgb="FFFF0000"/>
      <name val="Aptos Narrow"/>
      <family val="2"/>
      <charset val="161"/>
      <scheme val="minor"/>
    </font>
    <font>
      <u/>
      <sz val="12"/>
      <color rgb="FFFF0000"/>
      <name val="Aptos Narrow"/>
      <family val="2"/>
      <charset val="161"/>
      <scheme val="minor"/>
    </font>
    <font>
      <sz val="12"/>
      <name val="Aptos Narrow"/>
      <family val="2"/>
      <charset val="161"/>
      <scheme val="minor"/>
    </font>
    <font>
      <u/>
      <sz val="11"/>
      <color theme="1"/>
      <name val="Aptos Narrow"/>
      <family val="2"/>
      <charset val="161"/>
      <scheme val="minor"/>
    </font>
    <font>
      <sz val="12"/>
      <color rgb="FFFF0000"/>
      <name val="Aptos Narrow"/>
      <family val="2"/>
      <charset val="161"/>
      <scheme val="minor"/>
    </font>
    <font>
      <sz val="16"/>
      <color theme="1"/>
      <name val="Times New Roman"/>
      <family val="1"/>
      <charset val="161"/>
    </font>
    <font>
      <sz val="18"/>
      <color theme="1"/>
      <name val="Times New Roman"/>
      <family val="1"/>
      <charset val="161"/>
    </font>
    <font>
      <sz val="12"/>
      <color rgb="FF212529"/>
      <name val="Segoe UI"/>
      <family val="2"/>
      <charset val="161"/>
    </font>
    <font>
      <sz val="11"/>
      <color rgb="FF212529"/>
      <name val="Aptos Narrow"/>
      <family val="2"/>
      <scheme val="minor"/>
    </font>
    <font>
      <b/>
      <sz val="16"/>
      <color theme="1"/>
      <name val="Times New Roman"/>
      <family val="1"/>
      <charset val="161"/>
    </font>
  </fonts>
  <fills count="5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rgb="FFF7E1F5"/>
        <bgColor indexed="64"/>
      </patternFill>
    </fill>
    <fill>
      <patternFill patternType="solid">
        <fgColor rgb="FFFFCC99"/>
        <bgColor indexed="64"/>
      </patternFill>
    </fill>
    <fill>
      <patternFill patternType="solid">
        <fgColor rgb="FFFFCCCC"/>
        <bgColor indexed="64"/>
      </patternFill>
    </fill>
    <fill>
      <patternFill patternType="solid">
        <fgColor rgb="FFCCFFFF"/>
        <bgColor indexed="64"/>
      </patternFill>
    </fill>
    <fill>
      <patternFill patternType="solid">
        <fgColor rgb="FFCCFFCC"/>
        <bgColor indexed="64"/>
      </patternFill>
    </fill>
    <fill>
      <patternFill patternType="solid">
        <fgColor rgb="FFCCCCFF"/>
        <bgColor indexed="64"/>
      </patternFill>
    </fill>
    <fill>
      <patternFill patternType="solid">
        <fgColor rgb="FFFFC000"/>
        <bgColor indexed="64"/>
      </patternFill>
    </fill>
    <fill>
      <patternFill patternType="solid">
        <fgColor theme="9"/>
        <bgColor indexed="64"/>
      </patternFill>
    </fill>
    <fill>
      <patternFill patternType="solid">
        <fgColor rgb="FFFFFF00"/>
        <bgColor indexed="64"/>
      </patternFill>
    </fill>
    <fill>
      <patternFill patternType="solid">
        <fgColor rgb="FFFFFF99"/>
        <bgColor indexed="64"/>
      </patternFill>
    </fill>
    <fill>
      <patternFill patternType="solid">
        <fgColor rgb="FFFF0066"/>
        <bgColor indexed="64"/>
      </patternFill>
    </fill>
    <fill>
      <patternFill patternType="solid">
        <fgColor theme="8"/>
        <bgColor indexed="64"/>
      </patternFill>
    </fill>
    <fill>
      <patternFill patternType="solid">
        <fgColor rgb="FFCCECFF"/>
        <bgColor indexed="64"/>
      </patternFill>
    </fill>
    <fill>
      <patternFill patternType="solid">
        <fgColor rgb="FFFFCCFF"/>
        <bgColor indexed="64"/>
      </patternFill>
    </fill>
    <fill>
      <patternFill patternType="solid">
        <fgColor theme="9" tint="0.39997558519241921"/>
        <bgColor indexed="64"/>
      </patternFill>
    </fill>
    <fill>
      <patternFill patternType="solid">
        <fgColor rgb="FF0070C0"/>
        <bgColor indexed="64"/>
      </patternFill>
    </fill>
    <fill>
      <patternFill patternType="solid">
        <fgColor rgb="FF92D050"/>
        <bgColor indexed="64"/>
      </patternFill>
    </fill>
    <fill>
      <patternFill patternType="solid">
        <fgColor rgb="FFFF9999"/>
        <bgColor indexed="64"/>
      </patternFill>
    </fill>
    <fill>
      <patternFill patternType="solid">
        <fgColor rgb="FFFF3399"/>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C0000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C0066"/>
        <bgColor indexed="64"/>
      </patternFill>
    </fill>
    <fill>
      <patternFill patternType="solid">
        <fgColor rgb="FF660033"/>
        <bgColor indexed="64"/>
      </patternFill>
    </fill>
    <fill>
      <patternFill patternType="solid">
        <fgColor rgb="FFFF00FF"/>
        <bgColor indexed="64"/>
      </patternFill>
    </fill>
    <fill>
      <patternFill patternType="solid">
        <fgColor rgb="FF66CCFF"/>
        <bgColor indexed="64"/>
      </patternFill>
    </fill>
    <fill>
      <patternFill patternType="solid">
        <fgColor rgb="FFFF99CC"/>
        <bgColor indexed="64"/>
      </patternFill>
    </fill>
    <fill>
      <patternFill patternType="solid">
        <fgColor rgb="FFFF66CC"/>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bgColor theme="8"/>
      </patternFill>
    </fill>
    <fill>
      <patternFill patternType="solid">
        <fgColor rgb="FF990000"/>
        <bgColor indexed="64"/>
      </patternFill>
    </fill>
    <fill>
      <patternFill patternType="solid">
        <fgColor rgb="FFFF7C80"/>
        <bgColor indexed="64"/>
      </patternFill>
    </fill>
    <fill>
      <patternFill patternType="solid">
        <fgColor rgb="FFFF6699"/>
        <bgColor indexed="64"/>
      </patternFill>
    </fill>
    <fill>
      <patternFill patternType="solid">
        <fgColor rgb="FF00B050"/>
        <bgColor indexed="64"/>
      </patternFill>
    </fill>
    <fill>
      <patternFill patternType="solid">
        <fgColor rgb="FFFF5050"/>
        <bgColor indexed="64"/>
      </patternFill>
    </fill>
    <fill>
      <patternFill patternType="solid">
        <fgColor rgb="FFC6EFCE"/>
      </patternFill>
    </fill>
    <fill>
      <patternFill patternType="solid">
        <fgColor theme="4"/>
      </patternFill>
    </fill>
    <fill>
      <patternFill patternType="solid">
        <fgColor theme="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rgb="FFCC00CC"/>
        <bgColor indexed="64"/>
      </patternFill>
    </fill>
  </fills>
  <borders count="2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ck">
        <color rgb="FFFFFF99"/>
      </left>
      <right style="thick">
        <color rgb="FFFFFF99"/>
      </right>
      <top style="thick">
        <color rgb="FFFFFF99"/>
      </top>
      <bottom style="thick">
        <color rgb="FFFFFF99"/>
      </bottom>
      <diagonal/>
    </border>
    <border>
      <left/>
      <right/>
      <top style="thick">
        <color rgb="FFFFCC99"/>
      </top>
      <bottom style="thick">
        <color rgb="FFFFCC99"/>
      </bottom>
      <diagonal/>
    </border>
    <border>
      <left/>
      <right style="thick">
        <color rgb="FFFFCC99"/>
      </right>
      <top style="thick">
        <color rgb="FFFFCC99"/>
      </top>
      <bottom/>
      <diagonal/>
    </border>
    <border>
      <left style="thick">
        <color rgb="FFCCFFFF"/>
      </left>
      <right style="thick">
        <color rgb="FFCCFFFF"/>
      </right>
      <top style="thick">
        <color rgb="FFCCFFFF"/>
      </top>
      <bottom style="thick">
        <color rgb="FFCCFFFF"/>
      </bottom>
      <diagonal/>
    </border>
    <border>
      <left/>
      <right style="thick">
        <color rgb="FFCCFFCC"/>
      </right>
      <top style="thick">
        <color rgb="FFCCFFCC"/>
      </top>
      <bottom/>
      <diagonal/>
    </border>
    <border>
      <left style="thick">
        <color rgb="FFFF0066"/>
      </left>
      <right style="thick">
        <color rgb="FFFF0066"/>
      </right>
      <top style="thick">
        <color rgb="FFFF0066"/>
      </top>
      <bottom style="thick">
        <color rgb="FFFF0066"/>
      </bottom>
      <diagonal/>
    </border>
    <border>
      <left/>
      <right style="thick">
        <color rgb="FFCCFFFF"/>
      </right>
      <top style="thick">
        <color rgb="FFCCFFFF"/>
      </top>
      <bottom style="thick">
        <color rgb="FFCCFFFF"/>
      </bottom>
      <diagonal/>
    </border>
    <border>
      <left style="thick">
        <color rgb="FFCCFFFF"/>
      </left>
      <right/>
      <top style="thick">
        <color rgb="FFCCFFFF"/>
      </top>
      <bottom style="thick">
        <color rgb="FFCCFFFF"/>
      </bottom>
      <diagonal/>
    </border>
    <border>
      <left style="thick">
        <color rgb="FFCCFFFF"/>
      </left>
      <right style="thick">
        <color rgb="FFCCFFFF"/>
      </right>
      <top style="thick">
        <color rgb="FFCCFFFF"/>
      </top>
      <bottom/>
      <diagonal/>
    </border>
    <border>
      <left/>
      <right style="thick">
        <color rgb="FFCCFFFF"/>
      </right>
      <top style="thick">
        <color rgb="FFCCFFFF"/>
      </top>
      <bottom/>
      <diagonal/>
    </border>
    <border>
      <left style="thick">
        <color rgb="FFFFCCFF"/>
      </left>
      <right style="thick">
        <color rgb="FFFFCCFF"/>
      </right>
      <top style="thick">
        <color rgb="FFFFCCFF"/>
      </top>
      <bottom style="thick">
        <color rgb="FFFFCCFF"/>
      </bottom>
      <diagonal/>
    </border>
    <border>
      <left style="thick">
        <color rgb="FFFF0066"/>
      </left>
      <right style="thick">
        <color rgb="FFFF0066"/>
      </right>
      <top style="thick">
        <color rgb="FFFF0066"/>
      </top>
      <bottom/>
      <diagonal/>
    </border>
    <border>
      <left/>
      <right style="thick">
        <color rgb="FFFF0066"/>
      </right>
      <top style="thick">
        <color rgb="FFFF0066"/>
      </top>
      <bottom/>
      <diagonal/>
    </border>
    <border>
      <left/>
      <right/>
      <top style="thick">
        <color rgb="FFCCFFFF"/>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rgb="FFFFCC99"/>
      </right>
      <top style="thick">
        <color rgb="FFFFCC99"/>
      </top>
      <bottom/>
      <diagonal/>
    </border>
    <border>
      <left style="medium">
        <color indexed="64"/>
      </left>
      <right style="thick">
        <color rgb="FFCCFFCC"/>
      </right>
      <top style="thick">
        <color rgb="FFCCFFCC"/>
      </top>
      <bottom/>
      <diagonal/>
    </border>
    <border>
      <left style="medium">
        <color indexed="64"/>
      </left>
      <right style="thick">
        <color rgb="FFFFFF99"/>
      </right>
      <top style="thick">
        <color rgb="FFFFFF99"/>
      </top>
      <bottom/>
      <diagonal/>
    </border>
    <border>
      <left style="medium">
        <color indexed="64"/>
      </left>
      <right style="thick">
        <color rgb="FFCCFFFF"/>
      </right>
      <top style="thick">
        <color rgb="FFCCFFFF"/>
      </top>
      <bottom/>
      <diagonal/>
    </border>
    <border>
      <left style="medium">
        <color indexed="64"/>
      </left>
      <right style="thick">
        <color rgb="FFFF0066"/>
      </right>
      <top style="thick">
        <color rgb="FFFF0066"/>
      </top>
      <bottom/>
      <diagonal/>
    </border>
    <border>
      <left style="medium">
        <color indexed="64"/>
      </left>
      <right style="thick">
        <color rgb="FFFFCCFF"/>
      </right>
      <top style="thick">
        <color rgb="FFFFCCFF"/>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thick">
        <color rgb="FFFFFF99"/>
      </left>
      <right/>
      <top style="thick">
        <color rgb="FFFFFF99"/>
      </top>
      <bottom style="thick">
        <color rgb="FFFFFF99"/>
      </bottom>
      <diagonal/>
    </border>
    <border>
      <left/>
      <right style="thick">
        <color rgb="FFCCFFCC"/>
      </right>
      <top style="thick">
        <color rgb="FFCCFFCC"/>
      </top>
      <bottom style="thick">
        <color rgb="FFCCFFCC"/>
      </bottom>
      <diagonal/>
    </border>
    <border>
      <left style="thick">
        <color rgb="FFFFFF99"/>
      </left>
      <right/>
      <top style="thick">
        <color rgb="FFFFFF99"/>
      </top>
      <bottom/>
      <diagonal/>
    </border>
    <border>
      <left/>
      <right style="thick">
        <color rgb="FFFFFF99"/>
      </right>
      <top style="thick">
        <color rgb="FFFFFF99"/>
      </top>
      <bottom style="thick">
        <color rgb="FFFFFF99"/>
      </bottom>
      <diagonal/>
    </border>
    <border>
      <left style="thick">
        <color rgb="FFFF0066"/>
      </left>
      <right/>
      <top style="thick">
        <color rgb="FFFF0066"/>
      </top>
      <bottom style="thick">
        <color rgb="FFFF0066"/>
      </bottom>
      <diagonal/>
    </border>
    <border>
      <left/>
      <right style="thick">
        <color rgb="FFFFFF99"/>
      </right>
      <top style="thick">
        <color rgb="FFFFFF99"/>
      </top>
      <bottom/>
      <diagonal/>
    </border>
    <border>
      <left style="thick">
        <color rgb="FFFF0066"/>
      </left>
      <right style="thick">
        <color rgb="FFFF0066"/>
      </right>
      <top/>
      <bottom style="thick">
        <color rgb="FFFF0066"/>
      </bottom>
      <diagonal/>
    </border>
    <border>
      <left style="thick">
        <color rgb="FFFFCC99"/>
      </left>
      <right/>
      <top/>
      <bottom/>
      <diagonal/>
    </border>
    <border>
      <left/>
      <right/>
      <top/>
      <bottom style="thick">
        <color auto="1"/>
      </bottom>
      <diagonal/>
    </border>
    <border>
      <left/>
      <right/>
      <top/>
      <bottom style="medium">
        <color rgb="FFCCCCCC"/>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medium">
        <color rgb="FFCCCCCC"/>
      </left>
      <right style="medium">
        <color rgb="FFCCCCCC"/>
      </right>
      <top/>
      <bottom/>
      <diagonal/>
    </border>
    <border>
      <left/>
      <right/>
      <top style="thick">
        <color auto="1"/>
      </top>
      <bottom/>
      <diagonal/>
    </border>
    <border>
      <left/>
      <right/>
      <top style="medium">
        <color rgb="FFCCCCCC"/>
      </top>
      <bottom/>
      <diagonal/>
    </border>
    <border>
      <left style="medium">
        <color indexed="64"/>
      </left>
      <right/>
      <top/>
      <bottom/>
      <diagonal/>
    </border>
    <border>
      <left style="medium">
        <color indexed="64"/>
      </left>
      <right/>
      <top/>
      <bottom style="medium">
        <color indexed="64"/>
      </bottom>
      <diagonal/>
    </border>
    <border>
      <left/>
      <right/>
      <top style="thick">
        <color rgb="FFCCFFCC"/>
      </top>
      <bottom/>
      <diagonal/>
    </border>
    <border>
      <left style="thick">
        <color rgb="FFCCFFFF"/>
      </left>
      <right/>
      <top/>
      <bottom style="thick">
        <color rgb="FFCCFFFF"/>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rgb="FFFFFF00"/>
      </left>
      <right style="thick">
        <color rgb="FFFFFF00"/>
      </right>
      <top style="thick">
        <color rgb="FFFFFF00"/>
      </top>
      <bottom style="thick">
        <color rgb="FFFFFF00"/>
      </bottom>
      <diagonal/>
    </border>
    <border>
      <left style="thick">
        <color theme="9" tint="0.59996337778862885"/>
      </left>
      <right style="thick">
        <color theme="9" tint="0.59996337778862885"/>
      </right>
      <top style="thick">
        <color theme="9" tint="0.59996337778862885"/>
      </top>
      <bottom style="thick">
        <color theme="9" tint="0.59996337778862885"/>
      </bottom>
      <diagonal/>
    </border>
    <border>
      <left style="thick">
        <color rgb="FFFFFF00"/>
      </left>
      <right style="thick">
        <color rgb="FFFFFF00"/>
      </right>
      <top style="thick">
        <color rgb="FFFFFF00"/>
      </top>
      <bottom/>
      <diagonal/>
    </border>
    <border>
      <left style="thick">
        <color theme="9" tint="0.59996337778862885"/>
      </left>
      <right style="thick">
        <color theme="9" tint="0.59996337778862885"/>
      </right>
      <top style="thick">
        <color theme="9" tint="0.59996337778862885"/>
      </top>
      <bottom/>
      <diagonal/>
    </border>
    <border>
      <left style="thick">
        <color rgb="FFFFFF00"/>
      </left>
      <right/>
      <top style="thick">
        <color rgb="FFFFFF00"/>
      </top>
      <bottom style="thick">
        <color rgb="FFFFFF00"/>
      </bottom>
      <diagonal/>
    </border>
    <border>
      <left style="thick">
        <color rgb="FFFFCC99"/>
      </left>
      <right style="thick">
        <color rgb="FFFFCC99"/>
      </right>
      <top style="thick">
        <color rgb="FFFFCC99"/>
      </top>
      <bottom style="thick">
        <color rgb="FFFFCC99"/>
      </bottom>
      <diagonal/>
    </border>
    <border>
      <left style="thick">
        <color rgb="FFCCFFFF"/>
      </left>
      <right style="thick">
        <color rgb="FFCCFFFF"/>
      </right>
      <top/>
      <bottom style="thick">
        <color rgb="FFCCFFFF"/>
      </bottom>
      <diagonal/>
    </border>
    <border>
      <left/>
      <right style="thick">
        <color theme="9" tint="0.59996337778862885"/>
      </right>
      <top style="thick">
        <color theme="9" tint="0.59996337778862885"/>
      </top>
      <bottom style="thick">
        <color theme="9" tint="0.59996337778862885"/>
      </bottom>
      <diagonal/>
    </border>
    <border>
      <left/>
      <right style="thick">
        <color theme="9" tint="0.59996337778862885"/>
      </right>
      <top style="thick">
        <color theme="9" tint="0.59996337778862885"/>
      </top>
      <bottom/>
      <diagonal/>
    </border>
    <border>
      <left/>
      <right style="thick">
        <color rgb="FFFFFF00"/>
      </right>
      <top style="thick">
        <color rgb="FFFFFF00"/>
      </top>
      <bottom style="thick">
        <color rgb="FFFFFF00"/>
      </bottom>
      <diagonal/>
    </border>
    <border>
      <left style="thick">
        <color rgb="FFFFCCFF"/>
      </left>
      <right style="thick">
        <color rgb="FFFFCCFF"/>
      </right>
      <top style="thick">
        <color rgb="FFFFCCFF"/>
      </top>
      <bottom/>
      <diagonal/>
    </border>
    <border>
      <left style="thick">
        <color theme="9" tint="0.59996337778862885"/>
      </left>
      <right style="thick">
        <color rgb="FFFFCC99"/>
      </right>
      <top style="thick">
        <color rgb="FFFF0066"/>
      </top>
      <bottom style="thick">
        <color rgb="FFFFCCFF"/>
      </bottom>
      <diagonal/>
    </border>
    <border>
      <left/>
      <right/>
      <top/>
      <bottom style="thin">
        <color indexed="64"/>
      </bottom>
      <diagonal/>
    </border>
    <border>
      <left style="thin">
        <color theme="8"/>
      </left>
      <right/>
      <top/>
      <bottom/>
      <diagonal/>
    </border>
    <border>
      <left style="thin">
        <color indexed="64"/>
      </left>
      <right/>
      <top/>
      <bottom style="thin">
        <color indexed="64"/>
      </bottom>
      <diagonal/>
    </border>
    <border>
      <left style="thin">
        <color indexed="64"/>
      </left>
      <right style="thin">
        <color indexed="64"/>
      </right>
      <top/>
      <bottom/>
      <diagonal/>
    </border>
    <border>
      <left style="thick">
        <color rgb="FFFF0066"/>
      </left>
      <right/>
      <top style="thick">
        <color rgb="FFFF0066"/>
      </top>
      <bottom/>
      <diagonal/>
    </border>
    <border>
      <left/>
      <right/>
      <top style="thick">
        <color rgb="FFFF0066"/>
      </top>
      <bottom/>
      <diagonal/>
    </border>
    <border>
      <left style="thick">
        <color rgb="FFFF0066"/>
      </left>
      <right/>
      <top/>
      <bottom/>
      <diagonal/>
    </border>
    <border>
      <left/>
      <right style="thick">
        <color rgb="FFFF0066"/>
      </right>
      <top/>
      <bottom/>
      <diagonal/>
    </border>
    <border>
      <left style="thick">
        <color rgb="FFFFCCFF"/>
      </left>
      <right/>
      <top style="thick">
        <color rgb="FFFFCCFF"/>
      </top>
      <bottom/>
      <diagonal/>
    </border>
    <border>
      <left/>
      <right/>
      <top style="thick">
        <color rgb="FFFFCCFF"/>
      </top>
      <bottom/>
      <diagonal/>
    </border>
    <border>
      <left/>
      <right style="thick">
        <color rgb="FFFFCCFF"/>
      </right>
      <top style="thick">
        <color rgb="FFFFCCFF"/>
      </top>
      <bottom/>
      <diagonal/>
    </border>
    <border>
      <left style="thick">
        <color rgb="FFFFCCFF"/>
      </left>
      <right/>
      <top/>
      <bottom/>
      <diagonal/>
    </border>
    <border>
      <left/>
      <right style="thick">
        <color rgb="FFFFCCFF"/>
      </right>
      <top/>
      <bottom/>
      <diagonal/>
    </border>
    <border>
      <left style="thick">
        <color rgb="FFFFFF00"/>
      </left>
      <right/>
      <top/>
      <bottom/>
      <diagonal/>
    </border>
    <border>
      <left/>
      <right style="thick">
        <color rgb="FFFFFF00"/>
      </right>
      <top/>
      <bottom/>
      <diagonal/>
    </border>
    <border>
      <left style="thick">
        <color rgb="FFCCECFF"/>
      </left>
      <right/>
      <top/>
      <bottom/>
      <diagonal/>
    </border>
    <border>
      <left/>
      <right style="thick">
        <color rgb="FFCCECFF"/>
      </right>
      <top/>
      <bottom/>
      <diagonal/>
    </border>
    <border>
      <left style="thick">
        <color rgb="FFFFCCCC"/>
      </left>
      <right/>
      <top/>
      <bottom/>
      <diagonal/>
    </border>
    <border>
      <left/>
      <right style="thick">
        <color rgb="FFFFCCCC"/>
      </right>
      <top/>
      <bottom/>
      <diagonal/>
    </border>
    <border>
      <left/>
      <right style="thin">
        <color theme="8"/>
      </right>
      <top style="thin">
        <color theme="8"/>
      </top>
      <bottom style="thin">
        <color theme="8"/>
      </bottom>
      <diagonal/>
    </border>
    <border>
      <left style="thick">
        <color rgb="FFFFFF00"/>
      </left>
      <right/>
      <top/>
      <bottom style="thick">
        <color rgb="FFFFFF00"/>
      </bottom>
      <diagonal/>
    </border>
    <border>
      <left/>
      <right/>
      <top/>
      <bottom style="thick">
        <color rgb="FFFFFF00"/>
      </bottom>
      <diagonal/>
    </border>
    <border>
      <left/>
      <right style="thick">
        <color rgb="FFFFFF00"/>
      </right>
      <top/>
      <bottom style="thick">
        <color rgb="FFFFFF00"/>
      </bottom>
      <diagonal/>
    </border>
    <border>
      <left style="thick">
        <color rgb="FFFF0066"/>
      </left>
      <right/>
      <top/>
      <bottom style="thick">
        <color rgb="FFFF0066"/>
      </bottom>
      <diagonal/>
    </border>
    <border>
      <left/>
      <right/>
      <top/>
      <bottom style="thick">
        <color rgb="FFFF0066"/>
      </bottom>
      <diagonal/>
    </border>
    <border>
      <left/>
      <right style="thick">
        <color rgb="FFFF0066"/>
      </right>
      <top/>
      <bottom style="thick">
        <color rgb="FFFF0066"/>
      </bottom>
      <diagonal/>
    </border>
    <border>
      <left style="thick">
        <color rgb="FFFFCCFF"/>
      </left>
      <right/>
      <top/>
      <bottom style="thick">
        <color rgb="FFFFCCFF"/>
      </bottom>
      <diagonal/>
    </border>
    <border>
      <left/>
      <right/>
      <top/>
      <bottom style="thick">
        <color rgb="FFFFCCFF"/>
      </bottom>
      <diagonal/>
    </border>
    <border>
      <left/>
      <right style="thick">
        <color rgb="FFFFCCFF"/>
      </right>
      <top/>
      <bottom style="thick">
        <color rgb="FFFFCCFF"/>
      </bottom>
      <diagonal/>
    </border>
    <border>
      <left/>
      <right/>
      <top style="thick">
        <color rgb="FFFF0066"/>
      </top>
      <bottom style="thick">
        <color rgb="FFFF0066"/>
      </bottom>
      <diagonal/>
    </border>
    <border>
      <left/>
      <right style="thick">
        <color rgb="FFFF0066"/>
      </right>
      <top style="thick">
        <color rgb="FFFF0066"/>
      </top>
      <bottom style="thick">
        <color rgb="FFFF0066"/>
      </bottom>
      <diagonal/>
    </border>
    <border>
      <left style="thick">
        <color rgb="FFFFCCFF"/>
      </left>
      <right/>
      <top style="thick">
        <color rgb="FFFFCCFF"/>
      </top>
      <bottom style="thick">
        <color rgb="FFFFCCFF"/>
      </bottom>
      <diagonal/>
    </border>
    <border>
      <left/>
      <right/>
      <top style="thick">
        <color rgb="FFFFCCFF"/>
      </top>
      <bottom style="thick">
        <color rgb="FFFFCCFF"/>
      </bottom>
      <diagonal/>
    </border>
    <border>
      <left/>
      <right style="thick">
        <color rgb="FFFFCCFF"/>
      </right>
      <top style="thick">
        <color rgb="FFFFCCFF"/>
      </top>
      <bottom style="thick">
        <color rgb="FFFFCCFF"/>
      </bottom>
      <diagonal/>
    </border>
    <border>
      <left style="thick">
        <color rgb="FFFFFFCC"/>
      </left>
      <right/>
      <top/>
      <bottom/>
      <diagonal/>
    </border>
    <border>
      <left/>
      <right style="thick">
        <color rgb="FFFFFFCC"/>
      </right>
      <top/>
      <bottom/>
      <diagonal/>
    </border>
    <border>
      <left style="thick">
        <color rgb="FFFFFFCC"/>
      </left>
      <right/>
      <top/>
      <bottom style="thick">
        <color rgb="FFFFFFCC"/>
      </bottom>
      <diagonal/>
    </border>
    <border>
      <left/>
      <right/>
      <top/>
      <bottom style="thick">
        <color rgb="FFFFFFCC"/>
      </bottom>
      <diagonal/>
    </border>
    <border>
      <left/>
      <right style="thick">
        <color rgb="FFFFFFCC"/>
      </right>
      <top/>
      <bottom style="thick">
        <color rgb="FFFFFFCC"/>
      </bottom>
      <diagonal/>
    </border>
    <border>
      <left style="thick">
        <color rgb="FFFFFFCC"/>
      </left>
      <right/>
      <top style="thick">
        <color rgb="FFFFFFCC"/>
      </top>
      <bottom style="thick">
        <color rgb="FFFFFFCC"/>
      </bottom>
      <diagonal/>
    </border>
    <border>
      <left/>
      <right/>
      <top style="thick">
        <color rgb="FFFFFFCC"/>
      </top>
      <bottom style="thick">
        <color rgb="FFFFFFCC"/>
      </bottom>
      <diagonal/>
    </border>
    <border>
      <left/>
      <right style="thick">
        <color rgb="FFFFFFCC"/>
      </right>
      <top style="thick">
        <color rgb="FFFFFFCC"/>
      </top>
      <bottom style="thick">
        <color rgb="FFFFFFCC"/>
      </bottom>
      <diagonal/>
    </border>
    <border>
      <left style="thick">
        <color rgb="FFCCECFF"/>
      </left>
      <right/>
      <top/>
      <bottom style="thick">
        <color rgb="FFCCECFF"/>
      </bottom>
      <diagonal/>
    </border>
    <border>
      <left/>
      <right/>
      <top/>
      <bottom style="thick">
        <color rgb="FFCCECFF"/>
      </bottom>
      <diagonal/>
    </border>
    <border>
      <left/>
      <right style="thick">
        <color rgb="FFCCECFF"/>
      </right>
      <top/>
      <bottom style="thick">
        <color rgb="FFCCECFF"/>
      </bottom>
      <diagonal/>
    </border>
    <border>
      <left style="thick">
        <color rgb="FFCCECFF"/>
      </left>
      <right/>
      <top style="thick">
        <color rgb="FFCCECFF"/>
      </top>
      <bottom style="thick">
        <color rgb="FFCCECFF"/>
      </bottom>
      <diagonal/>
    </border>
    <border>
      <left/>
      <right/>
      <top style="thick">
        <color rgb="FFCCECFF"/>
      </top>
      <bottom style="thick">
        <color rgb="FFCCECFF"/>
      </bottom>
      <diagonal/>
    </border>
    <border>
      <left/>
      <right style="thick">
        <color rgb="FFCCECFF"/>
      </right>
      <top style="thick">
        <color rgb="FFCCECFF"/>
      </top>
      <bottom style="thick">
        <color rgb="FFCCECFF"/>
      </bottom>
      <diagonal/>
    </border>
    <border>
      <left/>
      <right/>
      <top/>
      <bottom style="thick">
        <color rgb="FFFFCCCC"/>
      </bottom>
      <diagonal/>
    </border>
    <border>
      <left/>
      <right style="thick">
        <color rgb="FFFFCCCC"/>
      </right>
      <top/>
      <bottom style="thick">
        <color rgb="FFFFCCCC"/>
      </bottom>
      <diagonal/>
    </border>
    <border>
      <left style="thick">
        <color rgb="FFFFCCCC"/>
      </left>
      <right/>
      <top style="thick">
        <color rgb="FFFFCCCC"/>
      </top>
      <bottom style="thick">
        <color rgb="FFFFCCCC"/>
      </bottom>
      <diagonal/>
    </border>
    <border>
      <left/>
      <right/>
      <top style="thick">
        <color rgb="FFFFCCCC"/>
      </top>
      <bottom style="thick">
        <color rgb="FFFFCCCC"/>
      </bottom>
      <diagonal/>
    </border>
    <border>
      <left/>
      <right style="thick">
        <color rgb="FFFFCCCC"/>
      </right>
      <top style="thick">
        <color rgb="FFFFCCCC"/>
      </top>
      <bottom style="thick">
        <color rgb="FFFFCCCC"/>
      </bottom>
      <diagonal/>
    </border>
    <border>
      <left style="thick">
        <color rgb="FFFF5050"/>
      </left>
      <right/>
      <top/>
      <bottom/>
      <diagonal/>
    </border>
    <border>
      <left/>
      <right style="thick">
        <color rgb="FFFF5050"/>
      </right>
      <top/>
      <bottom/>
      <diagonal/>
    </border>
    <border>
      <left style="thick">
        <color rgb="FFFF5050"/>
      </left>
      <right/>
      <top/>
      <bottom style="thick">
        <color rgb="FFFF5050"/>
      </bottom>
      <diagonal/>
    </border>
    <border>
      <left/>
      <right/>
      <top/>
      <bottom style="thick">
        <color rgb="FFFF5050"/>
      </bottom>
      <diagonal/>
    </border>
    <border>
      <left/>
      <right style="thick">
        <color rgb="FFFF5050"/>
      </right>
      <top/>
      <bottom style="thick">
        <color rgb="FFFF5050"/>
      </bottom>
      <diagonal/>
    </border>
    <border>
      <left style="medium">
        <color rgb="FFFF5050"/>
      </left>
      <right/>
      <top style="medium">
        <color rgb="FFFF5050"/>
      </top>
      <bottom style="medium">
        <color rgb="FFFF5050"/>
      </bottom>
      <diagonal/>
    </border>
    <border>
      <left/>
      <right/>
      <top style="medium">
        <color rgb="FFFF5050"/>
      </top>
      <bottom style="medium">
        <color rgb="FFFF5050"/>
      </bottom>
      <diagonal/>
    </border>
    <border>
      <left/>
      <right style="medium">
        <color rgb="FFFF5050"/>
      </right>
      <top style="medium">
        <color rgb="FFFF5050"/>
      </top>
      <bottom style="medium">
        <color rgb="FFFF5050"/>
      </bottom>
      <diagonal/>
    </border>
    <border>
      <left/>
      <right/>
      <top style="thick">
        <color rgb="FFFFFF00"/>
      </top>
      <bottom style="thick">
        <color rgb="FFFFFF00"/>
      </bottom>
      <diagonal/>
    </border>
    <border>
      <left style="thick">
        <color rgb="FFFF3399"/>
      </left>
      <right/>
      <top style="thick">
        <color rgb="FFFF3399"/>
      </top>
      <bottom/>
      <diagonal/>
    </border>
    <border>
      <left/>
      <right/>
      <top style="thick">
        <color rgb="FFFF3399"/>
      </top>
      <bottom/>
      <diagonal/>
    </border>
    <border>
      <left/>
      <right style="thick">
        <color rgb="FFFF3399"/>
      </right>
      <top style="thick">
        <color rgb="FFFF3399"/>
      </top>
      <bottom/>
      <diagonal/>
    </border>
    <border>
      <left style="thick">
        <color rgb="FFFF3399"/>
      </left>
      <right/>
      <top/>
      <bottom/>
      <diagonal/>
    </border>
    <border>
      <left/>
      <right style="thick">
        <color rgb="FFFF3399"/>
      </right>
      <top/>
      <bottom/>
      <diagonal/>
    </border>
    <border>
      <left style="thick">
        <color rgb="FFFF3399"/>
      </left>
      <right/>
      <top/>
      <bottom style="thick">
        <color rgb="FFFF3399"/>
      </bottom>
      <diagonal/>
    </border>
    <border>
      <left/>
      <right/>
      <top/>
      <bottom style="thick">
        <color rgb="FFFF3399"/>
      </bottom>
      <diagonal/>
    </border>
    <border>
      <left/>
      <right style="thick">
        <color rgb="FFFF3399"/>
      </right>
      <top/>
      <bottom style="thick">
        <color rgb="FFFF3399"/>
      </bottom>
      <diagonal/>
    </border>
    <border>
      <left style="thick">
        <color rgb="FFFFFF00"/>
      </left>
      <right/>
      <top style="thick">
        <color rgb="FFFFFF00"/>
      </top>
      <bottom/>
      <diagonal/>
    </border>
    <border>
      <left/>
      <right/>
      <top style="thick">
        <color rgb="FFFFFF00"/>
      </top>
      <bottom/>
      <diagonal/>
    </border>
    <border>
      <left/>
      <right style="thick">
        <color rgb="FFFFFF00"/>
      </right>
      <top style="thick">
        <color rgb="FFFFFF00"/>
      </top>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theme="7" tint="0.79998168889431442"/>
      </left>
      <right/>
      <top style="thick">
        <color theme="7" tint="0.79998168889431442"/>
      </top>
      <bottom/>
      <diagonal/>
    </border>
    <border>
      <left/>
      <right/>
      <top style="thick">
        <color theme="7" tint="0.79998168889431442"/>
      </top>
      <bottom/>
      <diagonal/>
    </border>
    <border>
      <left/>
      <right style="thick">
        <color theme="7" tint="0.79998168889431442"/>
      </right>
      <top style="thick">
        <color theme="7" tint="0.79998168889431442"/>
      </top>
      <bottom/>
      <diagonal/>
    </border>
    <border>
      <left style="thick">
        <color theme="7" tint="0.79998168889431442"/>
      </left>
      <right/>
      <top/>
      <bottom/>
      <diagonal/>
    </border>
    <border>
      <left/>
      <right style="thick">
        <color theme="7" tint="0.79998168889431442"/>
      </right>
      <top/>
      <bottom/>
      <diagonal/>
    </border>
    <border>
      <left style="thick">
        <color theme="7" tint="0.79998168889431442"/>
      </left>
      <right/>
      <top/>
      <bottom style="thick">
        <color theme="7" tint="0.79998168889431442"/>
      </bottom>
      <diagonal/>
    </border>
    <border>
      <left/>
      <right/>
      <top/>
      <bottom style="thick">
        <color theme="7" tint="0.79998168889431442"/>
      </bottom>
      <diagonal/>
    </border>
    <border>
      <left/>
      <right style="thick">
        <color theme="7" tint="0.79998168889431442"/>
      </right>
      <top/>
      <bottom style="thick">
        <color theme="7" tint="0.79998168889431442"/>
      </bottom>
      <diagonal/>
    </border>
    <border>
      <left style="thick">
        <color theme="8"/>
      </left>
      <right/>
      <top style="thick">
        <color theme="8"/>
      </top>
      <bottom/>
      <diagonal/>
    </border>
    <border>
      <left/>
      <right/>
      <top style="thick">
        <color theme="8"/>
      </top>
      <bottom/>
      <diagonal/>
    </border>
    <border>
      <left/>
      <right style="thick">
        <color theme="8"/>
      </right>
      <top style="thick">
        <color theme="8"/>
      </top>
      <bottom/>
      <diagonal/>
    </border>
    <border>
      <left style="thick">
        <color theme="8"/>
      </left>
      <right/>
      <top/>
      <bottom/>
      <diagonal/>
    </border>
    <border>
      <left/>
      <right style="thick">
        <color theme="8"/>
      </right>
      <top/>
      <bottom/>
      <diagonal/>
    </border>
    <border>
      <left style="thick">
        <color theme="8"/>
      </left>
      <right/>
      <top/>
      <bottom style="thick">
        <color theme="8"/>
      </bottom>
      <diagonal/>
    </border>
    <border>
      <left/>
      <right/>
      <top/>
      <bottom style="thick">
        <color theme="8"/>
      </bottom>
      <diagonal/>
    </border>
    <border>
      <left/>
      <right style="thick">
        <color theme="8"/>
      </right>
      <top/>
      <bottom style="thick">
        <color theme="8"/>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ck">
        <color rgb="FF093C6C"/>
      </left>
      <right style="thick">
        <color rgb="FF093C6C"/>
      </right>
      <top style="thick">
        <color rgb="FF093C6C"/>
      </top>
      <bottom style="thick">
        <color rgb="FF093C6C"/>
      </bottom>
      <diagonal/>
    </border>
    <border>
      <left/>
      <right/>
      <top style="thin">
        <color indexed="64"/>
      </top>
      <bottom/>
      <diagonal/>
    </border>
    <border>
      <left style="thick">
        <color rgb="FFFF5050"/>
      </left>
      <right/>
      <top style="thick">
        <color rgb="FFFF5050"/>
      </top>
      <bottom/>
      <diagonal/>
    </border>
    <border>
      <left/>
      <right/>
      <top style="thick">
        <color rgb="FFFF5050"/>
      </top>
      <bottom/>
      <diagonal/>
    </border>
    <border>
      <left/>
      <right style="thick">
        <color rgb="FFFF5050"/>
      </right>
      <top style="thick">
        <color rgb="FFFF5050"/>
      </top>
      <bottom/>
      <diagonal/>
    </border>
    <border>
      <left style="thick">
        <color rgb="FFFFCCCC"/>
      </left>
      <right/>
      <top style="thick">
        <color rgb="FFFFCCCC"/>
      </top>
      <bottom/>
      <diagonal/>
    </border>
    <border>
      <left/>
      <right/>
      <top style="thick">
        <color rgb="FFFFCCCC"/>
      </top>
      <bottom/>
      <diagonal/>
    </border>
    <border>
      <left/>
      <right style="thick">
        <color rgb="FFFFCCCC"/>
      </right>
      <top style="thick">
        <color rgb="FFFFCCCC"/>
      </top>
      <bottom/>
      <diagonal/>
    </border>
    <border>
      <left style="thick">
        <color rgb="FFFFCCCC"/>
      </left>
      <right/>
      <top/>
      <bottom style="thick">
        <color rgb="FFFFCCCC"/>
      </bottom>
      <diagonal/>
    </border>
    <border>
      <left style="thick">
        <color rgb="FFCCECFF"/>
      </left>
      <right/>
      <top style="thick">
        <color rgb="FFCCECFF"/>
      </top>
      <bottom/>
      <diagonal/>
    </border>
    <border>
      <left/>
      <right/>
      <top style="thick">
        <color rgb="FFCCECFF"/>
      </top>
      <bottom/>
      <diagonal/>
    </border>
    <border>
      <left style="thick">
        <color rgb="FFFFFFCC"/>
      </left>
      <right/>
      <top style="thick">
        <color rgb="FFFFFFCC"/>
      </top>
      <bottom/>
      <diagonal/>
    </border>
    <border>
      <left/>
      <right/>
      <top style="thick">
        <color rgb="FFFFFFCC"/>
      </top>
      <bottom/>
      <diagonal/>
    </border>
    <border>
      <left/>
      <right style="thick">
        <color rgb="FFFFFFCC"/>
      </right>
      <top style="thick">
        <color rgb="FFFFFFCC"/>
      </top>
      <bottom/>
      <diagonal/>
    </border>
    <border>
      <left style="thin">
        <color indexed="64"/>
      </left>
      <right style="thick">
        <color rgb="FFFFCCFF"/>
      </right>
      <top style="thin">
        <color indexed="64"/>
      </top>
      <bottom/>
      <diagonal/>
    </border>
    <border>
      <left style="thin">
        <color indexed="64"/>
      </left>
      <right style="thick">
        <color rgb="FFCCFFFF"/>
      </right>
      <top style="thin">
        <color indexed="64"/>
      </top>
      <bottom/>
      <diagonal/>
    </border>
    <border>
      <left/>
      <right style="thick">
        <color rgb="FFCCFFFF"/>
      </right>
      <top style="thick">
        <color rgb="FFCCECFF"/>
      </top>
      <bottom/>
      <diagonal/>
    </border>
    <border>
      <left/>
      <right style="thick">
        <color rgb="FFCCFFFF"/>
      </right>
      <top/>
      <bottom/>
      <diagonal/>
    </border>
    <border>
      <left/>
      <right style="thick">
        <color rgb="FFCCFFFF"/>
      </right>
      <top/>
      <bottom style="thick">
        <color rgb="FFCCECFF"/>
      </bottom>
      <diagonal/>
    </border>
    <border>
      <left/>
      <right/>
      <top style="thin">
        <color indexed="64"/>
      </top>
      <bottom style="thin">
        <color indexed="64"/>
      </bottom>
      <diagonal/>
    </border>
    <border>
      <left/>
      <right style="thin">
        <color indexed="64"/>
      </right>
      <top style="thick">
        <color rgb="FFFFCCFF"/>
      </top>
      <bottom/>
      <diagonal/>
    </border>
    <border>
      <left style="thin">
        <color indexed="64"/>
      </left>
      <right style="thin">
        <color indexed="64"/>
      </right>
      <top style="thick">
        <color rgb="FFFFCCFF"/>
      </top>
      <bottom/>
      <diagonal/>
    </border>
    <border>
      <left style="thin">
        <color indexed="64"/>
      </left>
      <right style="thick">
        <color rgb="FFFFCCFF"/>
      </right>
      <top style="thick">
        <color rgb="FFFFCCFF"/>
      </top>
      <bottom/>
      <diagonal/>
    </border>
    <border>
      <left style="thin">
        <color indexed="64"/>
      </left>
      <right style="thin">
        <color indexed="64"/>
      </right>
      <top style="thick">
        <color rgb="FFFFFFCC"/>
      </top>
      <bottom/>
      <diagonal/>
    </border>
    <border>
      <left style="thin">
        <color indexed="64"/>
      </left>
      <right style="thick">
        <color rgb="FFFFFFCC"/>
      </right>
      <top style="thick">
        <color rgb="FFFFFFCC"/>
      </top>
      <bottom/>
      <diagonal/>
    </border>
    <border>
      <left style="thick">
        <color rgb="FFFF0066"/>
      </left>
      <right style="thin">
        <color indexed="64"/>
      </right>
      <top style="thin">
        <color indexed="64"/>
      </top>
      <bottom/>
      <diagonal/>
    </border>
    <border>
      <left style="thin">
        <color indexed="64"/>
      </left>
      <right style="thick">
        <color rgb="FFFF0066"/>
      </right>
      <top style="thin">
        <color indexed="64"/>
      </top>
      <bottom/>
      <diagonal/>
    </border>
    <border>
      <left/>
      <right style="thick">
        <color rgb="FFCCECFF"/>
      </right>
      <top style="thick">
        <color rgb="FFCCECFF"/>
      </top>
      <bottom/>
      <diagonal/>
    </border>
    <border>
      <left style="thin">
        <color indexed="64"/>
      </left>
      <right style="thick">
        <color rgb="FFCCECFF"/>
      </right>
      <top style="thin">
        <color indexed="64"/>
      </top>
      <bottom/>
      <diagonal/>
    </border>
    <border>
      <left style="thick">
        <color rgb="FFFFCCFF"/>
      </left>
      <right style="thin">
        <color indexed="64"/>
      </right>
      <top style="thick">
        <color rgb="FFFFCCFF"/>
      </top>
      <bottom/>
      <diagonal/>
    </border>
    <border>
      <left style="thick">
        <color rgb="FFFFFFCC"/>
      </left>
      <right style="thin">
        <color indexed="64"/>
      </right>
      <top style="thick">
        <color rgb="FFFFFFCC"/>
      </top>
      <bottom/>
      <diagonal/>
    </border>
    <border>
      <left style="thick">
        <color rgb="FFCCECFF"/>
      </left>
      <right style="thin">
        <color indexed="64"/>
      </right>
      <top style="thick">
        <color rgb="FFCCECFF"/>
      </top>
      <bottom/>
      <diagonal/>
    </border>
    <border>
      <left/>
      <right style="thick">
        <color rgb="FFCCECFF"/>
      </right>
      <top style="thin">
        <color indexed="64"/>
      </top>
      <bottom/>
      <diagonal/>
    </border>
    <border>
      <left style="thick">
        <color rgb="FFFFCCCC"/>
      </left>
      <right style="thin">
        <color indexed="64"/>
      </right>
      <top style="thin">
        <color indexed="64"/>
      </top>
      <bottom/>
      <diagonal/>
    </border>
    <border>
      <left style="thin">
        <color indexed="64"/>
      </left>
      <right style="thin">
        <color indexed="64"/>
      </right>
      <top style="thick">
        <color rgb="FFFFCCCC"/>
      </top>
      <bottom/>
      <diagonal/>
    </border>
    <border>
      <left style="thick">
        <color rgb="FFFF0000"/>
      </left>
      <right style="thin">
        <color indexed="64"/>
      </right>
      <top style="thick">
        <color rgb="FFFF0000"/>
      </top>
      <bottom/>
      <diagonal/>
    </border>
    <border>
      <left style="thin">
        <color indexed="64"/>
      </left>
      <right style="thin">
        <color indexed="64"/>
      </right>
      <top style="thick">
        <color rgb="FFFF0000"/>
      </top>
      <bottom/>
      <diagonal/>
    </border>
    <border>
      <left style="thin">
        <color indexed="64"/>
      </left>
      <right style="thick">
        <color rgb="FFFF0000"/>
      </right>
      <top style="thick">
        <color rgb="FFFF0000"/>
      </top>
      <bottom/>
      <diagonal/>
    </border>
    <border>
      <left style="thick">
        <color rgb="FFFF0000"/>
      </left>
      <right/>
      <top style="thick">
        <color rgb="FFFF5050"/>
      </top>
      <bottom/>
      <diagonal/>
    </border>
    <border>
      <left/>
      <right style="thick">
        <color rgb="FFFF0000"/>
      </right>
      <top style="thick">
        <color rgb="FFFF505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FF0000"/>
      </left>
      <right/>
      <top style="thick">
        <color rgb="FFFF0000"/>
      </top>
      <bottom style="medium">
        <color rgb="FFFF5050"/>
      </bottom>
      <diagonal/>
    </border>
    <border>
      <left/>
      <right/>
      <top style="thick">
        <color rgb="FFFF0000"/>
      </top>
      <bottom style="medium">
        <color rgb="FFFF5050"/>
      </bottom>
      <diagonal/>
    </border>
    <border>
      <left/>
      <right style="medium">
        <color rgb="FFFF5050"/>
      </right>
      <top style="thick">
        <color rgb="FFFF0000"/>
      </top>
      <bottom style="medium">
        <color rgb="FFFF5050"/>
      </bottom>
      <diagonal/>
    </border>
    <border>
      <left/>
      <right style="thick">
        <color rgb="FFFF5050"/>
      </right>
      <top/>
      <bottom style="thick">
        <color rgb="FFFF0000"/>
      </bottom>
      <diagonal/>
    </border>
    <border>
      <left style="thick">
        <color rgb="FFFF5050"/>
      </left>
      <right/>
      <top/>
      <bottom style="thick">
        <color rgb="FFFF0000"/>
      </bottom>
      <diagonal/>
    </border>
    <border>
      <left style="thin">
        <color indexed="64"/>
      </left>
      <right/>
      <top style="thick">
        <color rgb="FFFFCCCC"/>
      </top>
      <bottom/>
      <diagonal/>
    </border>
    <border>
      <left style="thin">
        <color indexed="64"/>
      </left>
      <right/>
      <top style="thick">
        <color rgb="FFFF0000"/>
      </top>
      <bottom/>
      <diagonal/>
    </border>
    <border>
      <left/>
      <right style="thick">
        <color rgb="FFFF0000"/>
      </right>
      <top style="thick">
        <color rgb="FFFF0000"/>
      </top>
      <bottom/>
      <diagonal/>
    </border>
    <border>
      <left style="thin">
        <color indexed="64"/>
      </left>
      <right style="thick">
        <color rgb="FFFFFF00"/>
      </right>
      <top style="thin">
        <color indexed="64"/>
      </top>
      <bottom/>
      <diagonal/>
    </border>
    <border>
      <left style="thick">
        <color rgb="FFFFFF00"/>
      </left>
      <right style="thin">
        <color indexed="64"/>
      </right>
      <top style="thin">
        <color indexed="64"/>
      </top>
      <bottom/>
      <diagonal/>
    </border>
    <border>
      <left style="thick">
        <color rgb="FFFFFF00"/>
      </left>
      <right style="thin">
        <color indexed="64"/>
      </right>
      <top style="thick">
        <color rgb="FFFFFF00"/>
      </top>
      <bottom/>
      <diagonal/>
    </border>
    <border>
      <left style="thin">
        <color indexed="64"/>
      </left>
      <right style="thin">
        <color indexed="64"/>
      </right>
      <top style="thick">
        <color rgb="FFFFFF00"/>
      </top>
      <bottom/>
      <diagonal/>
    </border>
    <border>
      <left style="thin">
        <color indexed="64"/>
      </left>
      <right style="thick">
        <color rgb="FFFFFF00"/>
      </right>
      <top style="thick">
        <color rgb="FFFFFF00"/>
      </top>
      <bottom/>
      <diagonal/>
    </border>
    <border>
      <left/>
      <right style="thick">
        <color rgb="FFFFFF00"/>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theme="8"/>
      </left>
      <right/>
      <top/>
      <bottom style="medium">
        <color indexed="64"/>
      </bottom>
      <diagonal/>
    </border>
    <border>
      <left style="thick">
        <color theme="1" tint="0.499984740745262"/>
      </left>
      <right/>
      <top/>
      <bottom/>
      <diagonal/>
    </border>
    <border>
      <left/>
      <right style="thick">
        <color theme="1" tint="0.499984740745262"/>
      </right>
      <top/>
      <bottom/>
      <diagonal/>
    </border>
    <border>
      <left style="thick">
        <color theme="1" tint="0.499984740745262"/>
      </left>
      <right/>
      <top/>
      <bottom style="thick">
        <color theme="1" tint="0.499984740745262"/>
      </bottom>
      <diagonal/>
    </border>
    <border>
      <left/>
      <right/>
      <top/>
      <bottom style="thick">
        <color theme="1" tint="0.499984740745262"/>
      </bottom>
      <diagonal/>
    </border>
    <border>
      <left/>
      <right style="thick">
        <color theme="1" tint="0.499984740745262"/>
      </right>
      <top/>
      <bottom style="thick">
        <color theme="1"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thick">
        <color rgb="FFCCFFFF"/>
      </left>
      <right/>
      <top/>
      <bottom/>
      <diagonal/>
    </border>
    <border>
      <left/>
      <right/>
      <top/>
      <bottom style="thick">
        <color rgb="FFCCFFFF"/>
      </bottom>
      <diagonal/>
    </border>
    <border>
      <left/>
      <right style="thick">
        <color rgb="FFCCFFFF"/>
      </right>
      <top/>
      <bottom style="thick">
        <color rgb="FFCCFFFF"/>
      </bottom>
      <diagonal/>
    </border>
    <border>
      <left/>
      <right/>
      <top style="thick">
        <color rgb="FFCCFFFF"/>
      </top>
      <bottom style="thick">
        <color rgb="FFCCFFFF"/>
      </bottom>
      <diagonal/>
    </border>
  </borders>
  <cellStyleXfs count="5">
    <xf numFmtId="0" fontId="0" fillId="0" borderId="0"/>
    <xf numFmtId="0" fontId="1" fillId="0" borderId="0" applyNumberFormat="0" applyFill="0" applyBorder="0" applyAlignment="0" applyProtection="0"/>
    <xf numFmtId="9" fontId="16" fillId="0" borderId="0" applyFont="0" applyFill="0" applyBorder="0" applyAlignment="0" applyProtection="0"/>
    <xf numFmtId="0" fontId="54" fillId="0" borderId="0" applyNumberFormat="0" applyFill="0" applyBorder="0" applyAlignment="0" applyProtection="0"/>
    <xf numFmtId="0" fontId="55" fillId="46" borderId="0" applyNumberFormat="0" applyBorder="0" applyAlignment="0" applyProtection="0"/>
  </cellStyleXfs>
  <cellXfs count="1405">
    <xf numFmtId="0" fontId="0" fillId="0" borderId="0" xfId="0"/>
    <xf numFmtId="0" fontId="2"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2" fillId="3" borderId="0" xfId="0" applyFont="1" applyFill="1" applyAlignment="1">
      <alignment horizontal="center" vertical="center" wrapText="1"/>
    </xf>
    <xf numFmtId="14" fontId="0" fillId="4" borderId="0" xfId="0" applyNumberFormat="1" applyFill="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center" vertical="center"/>
    </xf>
    <xf numFmtId="0" fontId="2" fillId="0" borderId="2" xfId="0" applyFont="1" applyBorder="1" applyAlignment="1">
      <alignment horizontal="center"/>
    </xf>
    <xf numFmtId="0" fontId="0" fillId="0" borderId="6" xfId="0" applyBorder="1"/>
    <xf numFmtId="0" fontId="0" fillId="5" borderId="7" xfId="0" applyFill="1" applyBorder="1" applyAlignment="1">
      <alignment horizontal="center"/>
    </xf>
    <xf numFmtId="0" fontId="0" fillId="5" borderId="9" xfId="0" applyFill="1" applyBorder="1" applyAlignment="1">
      <alignment horizontal="center"/>
    </xf>
    <xf numFmtId="0" fontId="0" fillId="5" borderId="14" xfId="0" applyFill="1" applyBorder="1" applyAlignment="1">
      <alignment horizontal="center"/>
    </xf>
    <xf numFmtId="0" fontId="0" fillId="6" borderId="7" xfId="0" applyFill="1" applyBorder="1" applyAlignment="1">
      <alignment horizontal="center"/>
    </xf>
    <xf numFmtId="0" fontId="0" fillId="6" borderId="9" xfId="0" applyFill="1" applyBorder="1" applyAlignment="1">
      <alignment horizontal="center"/>
    </xf>
    <xf numFmtId="0" fontId="0" fillId="6" borderId="14" xfId="0" applyFill="1" applyBorder="1" applyAlignment="1">
      <alignment horizontal="center"/>
    </xf>
    <xf numFmtId="0" fontId="0" fillId="6" borderId="19" xfId="0" applyFill="1" applyBorder="1" applyAlignment="1">
      <alignment horizontal="center"/>
    </xf>
    <xf numFmtId="0" fontId="0" fillId="4" borderId="7" xfId="0" applyFill="1" applyBorder="1" applyAlignment="1">
      <alignment horizontal="center"/>
    </xf>
    <xf numFmtId="0" fontId="0" fillId="4" borderId="9" xfId="0" applyFill="1" applyBorder="1" applyAlignment="1">
      <alignment horizontal="center"/>
    </xf>
    <xf numFmtId="0" fontId="0" fillId="4" borderId="14" xfId="0" applyFill="1" applyBorder="1" applyAlignment="1">
      <alignment horizontal="center"/>
    </xf>
    <xf numFmtId="0" fontId="0" fillId="7" borderId="7" xfId="0" applyFill="1" applyBorder="1" applyAlignment="1">
      <alignment horizontal="center"/>
    </xf>
    <xf numFmtId="0" fontId="0" fillId="7" borderId="9" xfId="0" applyFill="1" applyBorder="1" applyAlignment="1">
      <alignment horizontal="center"/>
    </xf>
    <xf numFmtId="0" fontId="0" fillId="7" borderId="14" xfId="0" applyFill="1" applyBorder="1" applyAlignment="1">
      <alignment horizontal="center"/>
    </xf>
    <xf numFmtId="0" fontId="0" fillId="0" borderId="3" xfId="0" applyBorder="1"/>
    <xf numFmtId="0" fontId="0" fillId="0" borderId="4" xfId="0" applyBorder="1"/>
    <xf numFmtId="0" fontId="2" fillId="0" borderId="3" xfId="0" applyFont="1" applyBorder="1" applyAlignment="1">
      <alignment horizontal="center"/>
    </xf>
    <xf numFmtId="0" fontId="0" fillId="0" borderId="4" xfId="0" applyBorder="1" applyAlignment="1">
      <alignment horizontal="center" vertical="center"/>
    </xf>
    <xf numFmtId="0" fontId="1" fillId="5" borderId="7" xfId="1" applyFill="1" applyBorder="1" applyAlignment="1">
      <alignment horizontal="center"/>
    </xf>
    <xf numFmtId="0" fontId="1" fillId="5" borderId="14" xfId="1" applyFill="1" applyBorder="1" applyAlignment="1">
      <alignment horizontal="center"/>
    </xf>
    <xf numFmtId="0" fontId="1" fillId="5" borderId="16" xfId="1" applyFill="1" applyBorder="1" applyAlignment="1">
      <alignment horizontal="center"/>
    </xf>
    <xf numFmtId="0" fontId="1" fillId="5" borderId="17" xfId="1" applyFill="1" applyBorder="1" applyAlignment="1">
      <alignment horizontal="center"/>
    </xf>
    <xf numFmtId="0" fontId="1" fillId="5" borderId="18" xfId="1" applyFill="1" applyBorder="1" applyAlignment="1">
      <alignment horizontal="center"/>
    </xf>
    <xf numFmtId="0" fontId="1" fillId="6" borderId="9" xfId="1" applyFill="1" applyBorder="1" applyAlignment="1">
      <alignment horizontal="center"/>
    </xf>
    <xf numFmtId="0" fontId="1" fillId="6" borderId="7" xfId="1" applyFill="1" applyBorder="1" applyAlignment="1">
      <alignment horizontal="center"/>
    </xf>
    <xf numFmtId="0" fontId="1" fillId="6" borderId="19" xfId="1" applyFill="1" applyBorder="1" applyAlignment="1">
      <alignment horizontal="center"/>
    </xf>
    <xf numFmtId="0" fontId="1" fillId="6" borderId="14" xfId="1" applyFill="1" applyBorder="1" applyAlignment="1">
      <alignment horizontal="center"/>
    </xf>
    <xf numFmtId="0" fontId="1" fillId="4" borderId="7" xfId="1" applyFill="1" applyBorder="1" applyAlignment="1">
      <alignment horizontal="center"/>
    </xf>
    <xf numFmtId="0" fontId="1" fillId="4" borderId="14" xfId="1" applyFill="1" applyBorder="1" applyAlignment="1">
      <alignment horizontal="center"/>
    </xf>
    <xf numFmtId="0" fontId="1" fillId="7" borderId="9" xfId="1" applyFill="1" applyBorder="1" applyAlignment="1">
      <alignment horizontal="center"/>
    </xf>
    <xf numFmtId="0" fontId="1" fillId="7" borderId="7" xfId="1" applyFill="1" applyBorder="1" applyAlignment="1">
      <alignment horizontal="center"/>
    </xf>
    <xf numFmtId="0" fontId="1" fillId="7" borderId="14" xfId="1" applyFill="1" applyBorder="1" applyAlignment="1">
      <alignment horizontal="center"/>
    </xf>
    <xf numFmtId="0" fontId="0" fillId="0" borderId="7" xfId="0"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4" fontId="0" fillId="4" borderId="0" xfId="0" applyNumberFormat="1" applyFill="1" applyAlignment="1">
      <alignment horizontal="center" vertical="center" wrapText="1"/>
    </xf>
    <xf numFmtId="0" fontId="0" fillId="0" borderId="7" xfId="0" applyBorder="1" applyAlignment="1">
      <alignment horizontal="center" vertical="center"/>
    </xf>
    <xf numFmtId="0" fontId="0" fillId="0" borderId="14" xfId="0" applyBorder="1" applyAlignment="1">
      <alignment horizontal="center" vertical="center"/>
    </xf>
    <xf numFmtId="0" fontId="2" fillId="2" borderId="0" xfId="0" applyFont="1" applyFill="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wrapText="1"/>
    </xf>
    <xf numFmtId="0" fontId="0" fillId="5" borderId="26" xfId="0" applyFill="1" applyBorder="1" applyAlignment="1">
      <alignment horizontal="center"/>
    </xf>
    <xf numFmtId="0" fontId="0" fillId="5" borderId="27" xfId="0" applyFill="1" applyBorder="1" applyAlignment="1">
      <alignment horizontal="center"/>
    </xf>
    <xf numFmtId="0" fontId="0" fillId="6" borderId="26" xfId="0" applyFill="1" applyBorder="1" applyAlignment="1">
      <alignment horizontal="center"/>
    </xf>
    <xf numFmtId="0" fontId="0" fillId="6" borderId="29" xfId="0" applyFill="1" applyBorder="1" applyAlignment="1">
      <alignment horizontal="center"/>
    </xf>
    <xf numFmtId="0" fontId="0" fillId="6" borderId="27" xfId="0" applyFill="1" applyBorder="1" applyAlignment="1">
      <alignment horizontal="center"/>
    </xf>
    <xf numFmtId="0" fontId="2" fillId="0" borderId="1" xfId="0" applyFont="1" applyBorder="1" applyAlignment="1">
      <alignment horizontal="center"/>
    </xf>
    <xf numFmtId="0" fontId="0" fillId="6" borderId="30" xfId="0" applyFill="1" applyBorder="1" applyAlignment="1">
      <alignment horizontal="center"/>
    </xf>
    <xf numFmtId="0" fontId="0" fillId="6" borderId="31" xfId="0" applyFill="1" applyBorder="1" applyAlignment="1">
      <alignment horizontal="center"/>
    </xf>
    <xf numFmtId="0" fontId="0" fillId="6" borderId="32" xfId="0" applyFill="1" applyBorder="1" applyAlignment="1">
      <alignment horizontal="center"/>
    </xf>
    <xf numFmtId="0" fontId="0" fillId="5" borderId="30" xfId="0" applyFill="1" applyBorder="1" applyAlignment="1">
      <alignment horizontal="center"/>
    </xf>
    <xf numFmtId="0" fontId="0" fillId="5" borderId="31" xfId="0" applyFill="1" applyBorder="1" applyAlignment="1">
      <alignment horizontal="center"/>
    </xf>
    <xf numFmtId="0" fontId="0" fillId="5" borderId="32" xfId="0" applyFill="1" applyBorder="1" applyAlignment="1">
      <alignment horizontal="center"/>
    </xf>
    <xf numFmtId="0" fontId="0" fillId="4" borderId="26" xfId="0" applyFill="1" applyBorder="1" applyAlignment="1">
      <alignment horizontal="center"/>
    </xf>
    <xf numFmtId="0" fontId="0" fillId="4" borderId="27" xfId="0" applyFill="1" applyBorder="1" applyAlignment="1">
      <alignment horizontal="center"/>
    </xf>
    <xf numFmtId="0" fontId="0" fillId="4" borderId="30" xfId="0" applyFill="1" applyBorder="1" applyAlignment="1">
      <alignment horizontal="center"/>
    </xf>
    <xf numFmtId="0" fontId="0" fillId="4" borderId="28" xfId="0" applyFill="1" applyBorder="1" applyAlignment="1">
      <alignment horizontal="center"/>
    </xf>
    <xf numFmtId="0" fontId="1" fillId="4" borderId="9" xfId="1"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7" borderId="26" xfId="0" applyFill="1" applyBorder="1" applyAlignment="1">
      <alignment horizontal="center"/>
    </xf>
    <xf numFmtId="0" fontId="0" fillId="7" borderId="27" xfId="0" applyFill="1" applyBorder="1" applyAlignment="1">
      <alignment horizontal="center"/>
    </xf>
    <xf numFmtId="0" fontId="0" fillId="7" borderId="30" xfId="0" applyFill="1" applyBorder="1" applyAlignment="1">
      <alignment horizontal="center"/>
    </xf>
    <xf numFmtId="0" fontId="0" fillId="7" borderId="28" xfId="0" applyFill="1" applyBorder="1" applyAlignment="1">
      <alignment horizontal="center"/>
    </xf>
    <xf numFmtId="0" fontId="0" fillId="7" borderId="31" xfId="0" applyFill="1" applyBorder="1" applyAlignment="1">
      <alignment horizontal="center"/>
    </xf>
    <xf numFmtId="0" fontId="0" fillId="7" borderId="32" xfId="0" applyFill="1" applyBorder="1" applyAlignment="1">
      <alignment horizontal="center"/>
    </xf>
    <xf numFmtId="0" fontId="2" fillId="4" borderId="0" xfId="0" applyFont="1" applyFill="1" applyAlignment="1">
      <alignment horizontal="center"/>
    </xf>
    <xf numFmtId="0" fontId="0" fillId="0" borderId="0" xfId="0" applyAlignment="1">
      <alignment wrapText="1"/>
    </xf>
    <xf numFmtId="0" fontId="0" fillId="0" borderId="0" xfId="0" applyAlignment="1">
      <alignment horizontal="center" wrapText="1"/>
    </xf>
    <xf numFmtId="0" fontId="0" fillId="0" borderId="12" xfId="0" applyBorder="1" applyAlignment="1">
      <alignment horizontal="center" wrapText="1"/>
    </xf>
    <xf numFmtId="14" fontId="0" fillId="7" borderId="0" xfId="0" applyNumberFormat="1" applyFill="1" applyAlignment="1">
      <alignment horizontal="center" vertical="center"/>
    </xf>
    <xf numFmtId="0" fontId="0" fillId="7" borderId="0" xfId="0" applyFill="1" applyAlignment="1">
      <alignment horizontal="center" vertical="center" wrapText="1"/>
    </xf>
    <xf numFmtId="0" fontId="5" fillId="0" borderId="0" xfId="0" applyFont="1" applyAlignment="1">
      <alignment horizontal="center" vertical="center" wrapText="1"/>
    </xf>
    <xf numFmtId="0" fontId="0" fillId="5" borderId="0" xfId="0" applyFill="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8" borderId="0" xfId="0" applyFill="1" applyAlignment="1">
      <alignment horizontal="center" wrapText="1"/>
    </xf>
    <xf numFmtId="0" fontId="0" fillId="8" borderId="0" xfId="0" applyFill="1" applyAlignment="1">
      <alignment horizontal="center" vertical="center" wrapText="1"/>
    </xf>
    <xf numFmtId="0" fontId="0" fillId="8" borderId="0" xfId="0" applyFill="1" applyAlignment="1">
      <alignment wrapText="1"/>
    </xf>
    <xf numFmtId="0" fontId="2" fillId="7" borderId="30" xfId="0" applyFont="1" applyFill="1" applyBorder="1" applyAlignment="1">
      <alignment horizontal="center"/>
    </xf>
    <xf numFmtId="0" fontId="0" fillId="0" borderId="33" xfId="0"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4" borderId="8"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3" xfId="0" applyFill="1" applyBorder="1" applyAlignment="1">
      <alignment horizontal="center" vertical="center" wrapText="1"/>
    </xf>
    <xf numFmtId="0" fontId="0" fillId="9" borderId="8"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13" xfId="0" applyFill="1" applyBorder="1" applyAlignment="1">
      <alignment horizontal="center" vertical="center" wrapText="1"/>
    </xf>
    <xf numFmtId="0" fontId="0" fillId="8" borderId="8" xfId="0" applyFill="1" applyBorder="1" applyAlignment="1">
      <alignment horizontal="center" vertical="center" wrapText="1"/>
    </xf>
    <xf numFmtId="0" fontId="0" fillId="8" borderId="34" xfId="0" applyFill="1" applyBorder="1" applyAlignment="1">
      <alignment horizontal="center" vertical="center" wrapText="1"/>
    </xf>
    <xf numFmtId="0" fontId="0" fillId="0" borderId="12" xfId="0" applyBorder="1" applyAlignment="1">
      <alignment horizontal="center" vertical="center" wrapText="1"/>
    </xf>
    <xf numFmtId="0" fontId="0" fillId="8" borderId="32" xfId="0" applyFill="1" applyBorder="1" applyAlignment="1">
      <alignment horizontal="center" vertical="center" wrapText="1"/>
    </xf>
    <xf numFmtId="0" fontId="0" fillId="0" borderId="15" xfId="0" applyBorder="1" applyAlignment="1">
      <alignment horizontal="center" vertical="center" wrapText="1"/>
    </xf>
    <xf numFmtId="0" fontId="0" fillId="10" borderId="8"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13" xfId="0" applyFill="1" applyBorder="1" applyAlignment="1">
      <alignment horizontal="center" vertical="center" wrapText="1"/>
    </xf>
    <xf numFmtId="0" fontId="0" fillId="5" borderId="8" xfId="0" applyFill="1" applyBorder="1" applyAlignment="1">
      <alignment horizontal="center" vertical="center" wrapText="1"/>
    </xf>
    <xf numFmtId="0" fontId="0" fillId="0" borderId="10" xfId="0" applyBorder="1" applyAlignment="1">
      <alignment horizontal="center" vertical="center" wrapText="1"/>
    </xf>
    <xf numFmtId="0" fontId="0" fillId="5" borderId="34" xfId="0" applyFill="1" applyBorder="1" applyAlignment="1">
      <alignment horizontal="center" vertical="center" wrapText="1"/>
    </xf>
    <xf numFmtId="0" fontId="0" fillId="5" borderId="32" xfId="0" applyFill="1" applyBorder="1" applyAlignment="1">
      <alignment horizontal="center" vertical="center" wrapText="1"/>
    </xf>
    <xf numFmtId="0" fontId="0" fillId="6" borderId="33" xfId="0" applyFill="1" applyBorder="1" applyAlignment="1">
      <alignment horizontal="center" vertical="center" wrapText="1"/>
    </xf>
    <xf numFmtId="0" fontId="7" fillId="12" borderId="7" xfId="0" applyFont="1" applyFill="1" applyBorder="1" applyAlignment="1">
      <alignment horizontal="center" vertical="center" wrapText="1"/>
    </xf>
    <xf numFmtId="0" fontId="2" fillId="12" borderId="14" xfId="0" applyFont="1" applyFill="1" applyBorder="1" applyAlignment="1">
      <alignment horizontal="center" vertical="center"/>
    </xf>
    <xf numFmtId="0" fontId="2" fillId="12" borderId="9" xfId="0" applyFont="1" applyFill="1" applyBorder="1" applyAlignment="1">
      <alignment horizontal="center" vertical="center"/>
    </xf>
    <xf numFmtId="0" fontId="1" fillId="0" borderId="0" xfId="1"/>
    <xf numFmtId="0" fontId="7" fillId="13" borderId="7" xfId="0" applyFont="1" applyFill="1" applyBorder="1" applyAlignment="1">
      <alignment horizontal="center" vertical="center" wrapText="1"/>
    </xf>
    <xf numFmtId="0" fontId="2" fillId="10" borderId="14" xfId="0" applyFont="1" applyFill="1" applyBorder="1" applyAlignment="1">
      <alignment horizontal="center" vertical="center"/>
    </xf>
    <xf numFmtId="0" fontId="2" fillId="10" borderId="7" xfId="0" applyFont="1" applyFill="1" applyBorder="1" applyAlignment="1">
      <alignment horizontal="center" vertical="center"/>
    </xf>
    <xf numFmtId="0" fontId="1" fillId="0" borderId="7" xfId="1" applyBorder="1" applyAlignment="1">
      <alignment horizontal="center"/>
    </xf>
    <xf numFmtId="0" fontId="0" fillId="6" borderId="36" xfId="0" applyFill="1" applyBorder="1" applyAlignment="1">
      <alignment horizontal="center" vertical="center" wrapText="1"/>
    </xf>
    <xf numFmtId="0" fontId="0" fillId="8" borderId="48" xfId="0" applyFill="1" applyBorder="1" applyAlignment="1">
      <alignment horizontal="center" vertical="center" wrapText="1"/>
    </xf>
    <xf numFmtId="0" fontId="0" fillId="9" borderId="39" xfId="0" applyFill="1" applyBorder="1" applyAlignment="1">
      <alignment horizontal="center" vertical="center" wrapText="1"/>
    </xf>
    <xf numFmtId="0" fontId="0" fillId="15" borderId="40" xfId="0" applyFill="1" applyBorder="1" applyAlignment="1">
      <alignment horizontal="center" vertical="center" wrapText="1"/>
    </xf>
    <xf numFmtId="0" fontId="0" fillId="15" borderId="47" xfId="0" applyFill="1" applyBorder="1" applyAlignment="1">
      <alignment horizontal="center" vertical="center" wrapText="1"/>
    </xf>
    <xf numFmtId="0" fontId="0" fillId="15" borderId="46" xfId="0" applyFill="1" applyBorder="1" applyAlignment="1">
      <alignment horizontal="center" vertical="center" wrapText="1"/>
    </xf>
    <xf numFmtId="0" fontId="0" fillId="0" borderId="0" xfId="0" applyAlignment="1">
      <alignment horizontal="center"/>
    </xf>
    <xf numFmtId="9" fontId="0" fillId="18" borderId="7" xfId="2" applyFont="1" applyFill="1" applyBorder="1" applyAlignment="1">
      <alignment horizontal="center" vertical="center"/>
    </xf>
    <xf numFmtId="0" fontId="0" fillId="0" borderId="0" xfId="0" applyAlignment="1">
      <alignment vertical="center"/>
    </xf>
    <xf numFmtId="0" fontId="0" fillId="14" borderId="7" xfId="0" applyFill="1" applyBorder="1" applyAlignment="1">
      <alignment horizontal="center" vertical="center"/>
    </xf>
    <xf numFmtId="49" fontId="0" fillId="14" borderId="7" xfId="0" applyNumberFormat="1" applyFill="1" applyBorder="1" applyAlignment="1">
      <alignment horizontal="center" vertical="center"/>
    </xf>
    <xf numFmtId="0" fontId="2" fillId="3" borderId="49" xfId="0" applyFont="1" applyFill="1" applyBorder="1" applyAlignment="1">
      <alignment horizontal="center" vertical="center" wrapText="1"/>
    </xf>
    <xf numFmtId="14" fontId="0" fillId="7" borderId="50" xfId="0" applyNumberFormat="1" applyFill="1" applyBorder="1" applyAlignment="1">
      <alignment horizontal="center" vertical="center"/>
    </xf>
    <xf numFmtId="0" fontId="0" fillId="4" borderId="50" xfId="0" applyFill="1" applyBorder="1" applyAlignment="1">
      <alignment horizontal="center" vertical="center"/>
    </xf>
    <xf numFmtId="0" fontId="2" fillId="5" borderId="0" xfId="0" applyFont="1" applyFill="1" applyAlignment="1">
      <alignment horizontal="center" vertical="center"/>
    </xf>
    <xf numFmtId="0" fontId="2" fillId="5" borderId="1" xfId="0" applyFont="1" applyFill="1" applyBorder="1" applyAlignment="1">
      <alignment horizontal="center" vertical="center"/>
    </xf>
    <xf numFmtId="0" fontId="2" fillId="5" borderId="3" xfId="0" applyFont="1" applyFill="1" applyBorder="1" applyAlignment="1">
      <alignment horizontal="center" vertical="center" wrapText="1"/>
    </xf>
    <xf numFmtId="0" fontId="11" fillId="0" borderId="53" xfId="0" applyFont="1" applyBorder="1" applyAlignment="1">
      <alignment horizontal="center" vertical="center" wrapText="1"/>
    </xf>
    <xf numFmtId="0" fontId="12" fillId="0" borderId="54" xfId="0" applyFont="1" applyBorder="1" applyAlignment="1">
      <alignment horizontal="center" vertical="center" wrapText="1"/>
    </xf>
    <xf numFmtId="0" fontId="13" fillId="0" borderId="55" xfId="0" applyFont="1" applyBorder="1" applyAlignment="1">
      <alignment horizontal="center" vertical="center" wrapText="1"/>
    </xf>
    <xf numFmtId="0" fontId="14" fillId="0" borderId="56" xfId="0" applyFont="1" applyBorder="1" applyAlignment="1">
      <alignment horizontal="center" wrapText="1"/>
    </xf>
    <xf numFmtId="0" fontId="15" fillId="0" borderId="57" xfId="0" applyFont="1" applyBorder="1" applyAlignment="1">
      <alignment horizontal="center" wrapText="1"/>
    </xf>
    <xf numFmtId="0" fontId="9" fillId="0" borderId="58" xfId="0" applyFont="1" applyBorder="1" applyAlignment="1">
      <alignment horizontal="center"/>
    </xf>
    <xf numFmtId="0" fontId="2" fillId="12" borderId="59" xfId="0" applyFont="1" applyFill="1" applyBorder="1" applyAlignment="1">
      <alignment horizontal="center"/>
    </xf>
    <xf numFmtId="0" fontId="2" fillId="13" borderId="59" xfId="0" applyFont="1" applyFill="1" applyBorder="1" applyAlignment="1">
      <alignment horizontal="center"/>
    </xf>
    <xf numFmtId="0" fontId="2" fillId="10" borderId="59" xfId="0" applyFont="1" applyFill="1" applyBorder="1" applyAlignment="1">
      <alignment horizontal="center"/>
    </xf>
    <xf numFmtId="0" fontId="2" fillId="11" borderId="60" xfId="0" applyFont="1" applyFill="1" applyBorder="1" applyAlignment="1">
      <alignment horizontal="center"/>
    </xf>
    <xf numFmtId="0" fontId="0" fillId="18" borderId="0" xfId="0" applyFill="1" applyAlignment="1">
      <alignment horizontal="center" vertical="center" wrapText="1"/>
    </xf>
    <xf numFmtId="0" fontId="2" fillId="13" borderId="7" xfId="0" applyFont="1" applyFill="1" applyBorder="1" applyAlignment="1">
      <alignment horizontal="center" vertical="center" wrapText="1"/>
    </xf>
    <xf numFmtId="0" fontId="0" fillId="4" borderId="7" xfId="0" applyFill="1" applyBorder="1" applyAlignment="1">
      <alignment horizontal="center" vertical="center" wrapText="1"/>
    </xf>
    <xf numFmtId="0" fontId="2" fillId="13" borderId="7" xfId="0" applyFont="1" applyFill="1" applyBorder="1" applyAlignment="1">
      <alignment horizontal="center" vertical="center"/>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27" xfId="0" applyFill="1" applyBorder="1" applyAlignment="1">
      <alignment horizontal="center" vertical="center" wrapText="1"/>
    </xf>
    <xf numFmtId="0" fontId="2" fillId="18" borderId="0" xfId="0" applyFont="1" applyFill="1" applyAlignment="1">
      <alignment horizontal="center" vertical="center" wrapText="1"/>
    </xf>
    <xf numFmtId="0" fontId="0" fillId="7" borderId="8" xfId="0" applyFill="1" applyBorder="1" applyAlignment="1">
      <alignment horizontal="center" vertical="center" wrapText="1"/>
    </xf>
    <xf numFmtId="0" fontId="17" fillId="20" borderId="62" xfId="0" applyFont="1" applyFill="1" applyBorder="1" applyAlignment="1">
      <alignment horizontal="center" vertical="center" wrapText="1"/>
    </xf>
    <xf numFmtId="0" fontId="0" fillId="20" borderId="0" xfId="0" applyFill="1" applyAlignment="1">
      <alignment horizontal="center" vertical="center"/>
    </xf>
    <xf numFmtId="9" fontId="0" fillId="0" borderId="0" xfId="2" applyFont="1" applyFill="1" applyBorder="1" applyAlignment="1">
      <alignment horizontal="center" vertical="center"/>
    </xf>
    <xf numFmtId="0" fontId="0" fillId="0" borderId="0" xfId="2" applyNumberFormat="1" applyFont="1" applyFill="1" applyBorder="1" applyAlignment="1">
      <alignment horizontal="center" vertical="center"/>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0" borderId="7" xfId="2" applyNumberFormat="1" applyFont="1" applyFill="1" applyBorder="1" applyAlignment="1">
      <alignment horizontal="center" vertical="center"/>
    </xf>
    <xf numFmtId="0" fontId="0" fillId="0" borderId="12" xfId="2" applyNumberFormat="1" applyFont="1" applyFill="1" applyBorder="1" applyAlignment="1">
      <alignment horizontal="center" vertical="center"/>
    </xf>
    <xf numFmtId="9" fontId="2" fillId="18" borderId="8" xfId="2" applyFont="1" applyFill="1" applyBorder="1" applyAlignment="1">
      <alignment horizontal="center" vertical="center"/>
    </xf>
    <xf numFmtId="0" fontId="2" fillId="8"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0" fillId="17" borderId="7" xfId="0" applyFill="1" applyBorder="1" applyAlignment="1">
      <alignment horizontal="center" vertical="center" wrapText="1"/>
    </xf>
    <xf numFmtId="9" fontId="0" fillId="0" borderId="61" xfId="2" applyFont="1" applyFill="1" applyBorder="1" applyAlignment="1">
      <alignment horizontal="center" vertical="center"/>
    </xf>
    <xf numFmtId="9" fontId="0" fillId="0" borderId="26" xfId="2" applyFont="1" applyFill="1" applyBorder="1" applyAlignment="1">
      <alignment horizontal="center" vertical="center"/>
    </xf>
    <xf numFmtId="0" fontId="2" fillId="17" borderId="7" xfId="0" applyFont="1" applyFill="1" applyBorder="1" applyAlignment="1">
      <alignment horizontal="center" vertical="center"/>
    </xf>
    <xf numFmtId="0" fontId="2" fillId="14" borderId="7" xfId="0" applyFont="1" applyFill="1" applyBorder="1" applyAlignment="1">
      <alignment horizontal="center" vertical="center"/>
    </xf>
    <xf numFmtId="0" fontId="2" fillId="18" borderId="7" xfId="0" applyFont="1" applyFill="1" applyBorder="1" applyAlignment="1">
      <alignment horizontal="center" vertical="center"/>
    </xf>
    <xf numFmtId="9" fontId="2" fillId="0" borderId="11" xfId="2" applyFont="1" applyFill="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0" fontId="0" fillId="0" borderId="14" xfId="2" applyNumberFormat="1" applyFont="1" applyFill="1" applyBorder="1" applyAlignment="1">
      <alignment horizontal="center" vertical="center"/>
    </xf>
    <xf numFmtId="0" fontId="0" fillId="0" borderId="15" xfId="2" applyNumberFormat="1" applyFont="1" applyFill="1" applyBorder="1" applyAlignment="1">
      <alignment horizontal="center" vertical="center"/>
    </xf>
    <xf numFmtId="0" fontId="0" fillId="8" borderId="42" xfId="0" applyFill="1" applyBorder="1" applyAlignment="1">
      <alignment horizontal="center" vertical="center" wrapText="1"/>
    </xf>
    <xf numFmtId="0" fontId="0" fillId="8" borderId="41" xfId="0" applyFill="1" applyBorder="1" applyAlignment="1">
      <alignment horizontal="center" vertical="center" wrapText="1"/>
    </xf>
    <xf numFmtId="0" fontId="0" fillId="6" borderId="37" xfId="0" applyFill="1" applyBorder="1" applyAlignment="1">
      <alignment horizontal="center" vertical="center" wrapText="1"/>
    </xf>
    <xf numFmtId="0" fontId="0" fillId="6" borderId="63" xfId="0" applyFill="1" applyBorder="1" applyAlignment="1">
      <alignment horizontal="center" vertical="center" wrapText="1"/>
    </xf>
    <xf numFmtId="0" fontId="0" fillId="14" borderId="64" xfId="0" applyFill="1" applyBorder="1" applyAlignment="1">
      <alignment horizontal="center" vertical="center" wrapText="1"/>
    </xf>
    <xf numFmtId="0" fontId="0" fillId="14" borderId="67" xfId="0" applyFill="1" applyBorder="1" applyAlignment="1">
      <alignment horizontal="center" vertical="center" wrapText="1"/>
    </xf>
    <xf numFmtId="0" fontId="0" fillId="15" borderId="68" xfId="0" applyFill="1" applyBorder="1" applyAlignment="1">
      <alignment horizontal="center" vertical="center" wrapText="1"/>
    </xf>
    <xf numFmtId="0" fontId="0" fillId="15" borderId="70" xfId="0" applyFill="1" applyBorder="1" applyAlignment="1">
      <alignment horizontal="center" vertical="center" wrapText="1"/>
    </xf>
    <xf numFmtId="0" fontId="0" fillId="6" borderId="71" xfId="0" applyFill="1" applyBorder="1" applyAlignment="1">
      <alignment horizontal="center" vertical="center" wrapText="1"/>
    </xf>
    <xf numFmtId="0" fontId="0" fillId="15" borderId="0" xfId="0" applyFill="1"/>
    <xf numFmtId="0" fontId="0" fillId="21" borderId="0" xfId="2" applyNumberFormat="1" applyFont="1" applyFill="1" applyBorder="1" applyAlignment="1">
      <alignment horizontal="center" vertical="center"/>
    </xf>
    <xf numFmtId="0" fontId="0" fillId="22" borderId="0" xfId="2" applyNumberFormat="1" applyFont="1" applyFill="1" applyBorder="1" applyAlignment="1">
      <alignment horizontal="center" vertical="center"/>
    </xf>
    <xf numFmtId="0" fontId="0" fillId="8" borderId="63" xfId="0" applyFill="1" applyBorder="1" applyAlignment="1">
      <alignment horizontal="center" wrapText="1"/>
    </xf>
    <xf numFmtId="0" fontId="0" fillId="6" borderId="0" xfId="2" applyNumberFormat="1" applyFont="1" applyFill="1" applyBorder="1" applyAlignment="1">
      <alignment horizontal="center" vertical="center"/>
    </xf>
    <xf numFmtId="0" fontId="20" fillId="0" borderId="77" xfId="0" applyFont="1" applyBorder="1" applyAlignment="1">
      <alignment horizontal="center" vertical="center" wrapText="1"/>
    </xf>
    <xf numFmtId="0" fontId="19" fillId="0" borderId="0" xfId="0" applyFont="1" applyAlignment="1">
      <alignment horizontal="center" wrapText="1"/>
    </xf>
    <xf numFmtId="0" fontId="20" fillId="0" borderId="77" xfId="0" applyFont="1" applyBorder="1" applyAlignment="1">
      <alignment horizontal="center" wrapText="1"/>
    </xf>
    <xf numFmtId="0" fontId="20" fillId="0" borderId="78" xfId="0" applyFont="1" applyBorder="1" applyAlignment="1">
      <alignment horizontal="center" wrapText="1"/>
    </xf>
    <xf numFmtId="0" fontId="21" fillId="0" borderId="79" xfId="0" applyFont="1" applyBorder="1" applyAlignment="1">
      <alignment horizontal="center" wrapText="1"/>
    </xf>
    <xf numFmtId="0" fontId="20" fillId="0" borderId="79" xfId="0" applyFont="1" applyBorder="1" applyAlignment="1">
      <alignment horizontal="center" wrapText="1"/>
    </xf>
    <xf numFmtId="0" fontId="0" fillId="0" borderId="80" xfId="0" applyBorder="1" applyAlignment="1">
      <alignment vertical="center"/>
    </xf>
    <xf numFmtId="0" fontId="21" fillId="0" borderId="77" xfId="0" applyFont="1" applyBorder="1" applyAlignment="1">
      <alignment horizontal="center" vertical="center" wrapText="1"/>
    </xf>
    <xf numFmtId="0" fontId="22" fillId="0" borderId="0" xfId="0" applyFont="1" applyAlignment="1">
      <alignment horizontal="center"/>
    </xf>
    <xf numFmtId="0" fontId="21" fillId="0" borderId="77" xfId="0" applyFont="1" applyBorder="1" applyAlignment="1">
      <alignment horizontal="center" wrapText="1"/>
    </xf>
    <xf numFmtId="14" fontId="21" fillId="0" borderId="77" xfId="0" applyNumberFormat="1" applyFont="1" applyBorder="1" applyAlignment="1">
      <alignment horizontal="center" wrapText="1"/>
    </xf>
    <xf numFmtId="2" fontId="0" fillId="0" borderId="0" xfId="0" applyNumberFormat="1" applyAlignment="1">
      <alignment horizontal="center"/>
    </xf>
    <xf numFmtId="0" fontId="23" fillId="0" borderId="0" xfId="0" applyFont="1" applyAlignment="1">
      <alignment horizontal="center"/>
    </xf>
    <xf numFmtId="0" fontId="24" fillId="0" borderId="77" xfId="0" applyFont="1" applyBorder="1" applyAlignment="1">
      <alignment horizontal="center" wrapText="1"/>
    </xf>
    <xf numFmtId="14" fontId="24" fillId="0" borderId="77" xfId="0" applyNumberFormat="1" applyFont="1" applyBorder="1" applyAlignment="1">
      <alignment horizontal="center" wrapText="1"/>
    </xf>
    <xf numFmtId="0" fontId="24" fillId="0" borderId="78" xfId="0" applyFont="1" applyBorder="1" applyAlignment="1">
      <alignment horizontal="center" wrapText="1"/>
    </xf>
    <xf numFmtId="0" fontId="24" fillId="0" borderId="77" xfId="0" quotePrefix="1" applyFont="1" applyBorder="1" applyAlignment="1">
      <alignment horizontal="center" wrapText="1"/>
    </xf>
    <xf numFmtId="0" fontId="21" fillId="0" borderId="78" xfId="0" applyFont="1" applyBorder="1" applyAlignment="1">
      <alignment horizontal="center" wrapText="1"/>
    </xf>
    <xf numFmtId="0" fontId="25" fillId="0" borderId="0" xfId="0" applyFont="1" applyAlignment="1">
      <alignment horizontal="center"/>
    </xf>
    <xf numFmtId="16" fontId="21" fillId="0" borderId="77" xfId="0" applyNumberFormat="1" applyFont="1" applyBorder="1" applyAlignment="1">
      <alignment horizontal="center" wrapText="1"/>
    </xf>
    <xf numFmtId="16" fontId="24" fillId="0" borderId="77" xfId="0" applyNumberFormat="1" applyFont="1" applyBorder="1" applyAlignment="1">
      <alignment horizontal="center" wrapText="1"/>
    </xf>
    <xf numFmtId="16" fontId="21" fillId="0" borderId="81" xfId="0" applyNumberFormat="1" applyFont="1" applyBorder="1" applyAlignment="1">
      <alignment horizontal="center" wrapText="1"/>
    </xf>
    <xf numFmtId="0" fontId="21" fillId="0" borderId="81" xfId="0" applyFont="1" applyBorder="1" applyAlignment="1">
      <alignment horizontal="center" wrapText="1"/>
    </xf>
    <xf numFmtId="0" fontId="20" fillId="0" borderId="0" xfId="0" applyFont="1" applyAlignment="1">
      <alignment horizontal="center" wrapText="1"/>
    </xf>
    <xf numFmtId="0" fontId="21" fillId="0" borderId="0" xfId="0" applyFont="1" applyAlignment="1">
      <alignment horizontal="center" wrapText="1"/>
    </xf>
    <xf numFmtId="16" fontId="21" fillId="0" borderId="0" xfId="0" applyNumberFormat="1" applyFont="1" applyAlignment="1">
      <alignment horizontal="center" wrapText="1"/>
    </xf>
    <xf numFmtId="0" fontId="26" fillId="0" borderId="0" xfId="0" applyFont="1" applyAlignment="1">
      <alignment horizontal="center"/>
    </xf>
    <xf numFmtId="0" fontId="24" fillId="0" borderId="0" xfId="0" applyFont="1" applyAlignment="1">
      <alignment horizontal="center" wrapText="1"/>
    </xf>
    <xf numFmtId="0" fontId="27" fillId="0" borderId="77" xfId="0" applyFont="1" applyBorder="1" applyAlignment="1">
      <alignment horizontal="center" wrapText="1"/>
    </xf>
    <xf numFmtId="0" fontId="29" fillId="0" borderId="0" xfId="0" applyFont="1" applyAlignment="1">
      <alignment horizontal="center" vertical="center" wrapText="1"/>
    </xf>
    <xf numFmtId="16" fontId="30" fillId="0" borderId="0" xfId="0" applyNumberFormat="1" applyFont="1" applyAlignment="1">
      <alignment horizontal="center" wrapText="1"/>
    </xf>
    <xf numFmtId="0" fontId="30" fillId="0" borderId="0" xfId="0" applyFont="1" applyAlignment="1">
      <alignment horizontal="center" wrapText="1"/>
    </xf>
    <xf numFmtId="1" fontId="0" fillId="0" borderId="0" xfId="0" applyNumberFormat="1"/>
    <xf numFmtId="0" fontId="31" fillId="0" borderId="0" xfId="0" applyFont="1" applyAlignment="1">
      <alignment horizontal="center" vertical="center" wrapText="1"/>
    </xf>
    <xf numFmtId="1" fontId="31" fillId="0" borderId="0" xfId="0" applyNumberFormat="1" applyFont="1" applyAlignment="1">
      <alignment horizontal="center" vertical="center" wrapText="1"/>
    </xf>
    <xf numFmtId="2" fontId="29" fillId="0" borderId="0" xfId="0" applyNumberFormat="1" applyFont="1" applyAlignment="1">
      <alignment horizontal="center" vertical="center"/>
    </xf>
    <xf numFmtId="0" fontId="23" fillId="0" borderId="0" xfId="0" applyFont="1" applyAlignment="1">
      <alignment horizontal="center" vertical="center" wrapText="1"/>
    </xf>
    <xf numFmtId="2" fontId="23" fillId="0" borderId="0" xfId="0" applyNumberFormat="1" applyFont="1" applyAlignment="1">
      <alignment horizontal="center" vertical="center"/>
    </xf>
    <xf numFmtId="0" fontId="32" fillId="0" borderId="0" xfId="0" applyFont="1" applyAlignment="1">
      <alignment horizontal="center" vertical="center" wrapText="1"/>
    </xf>
    <xf numFmtId="2" fontId="32" fillId="0" borderId="0" xfId="0" applyNumberFormat="1" applyFont="1" applyAlignment="1">
      <alignment horizontal="center" vertical="center"/>
    </xf>
    <xf numFmtId="0" fontId="33" fillId="0" borderId="0" xfId="0" applyFont="1" applyAlignment="1">
      <alignment horizontal="center" vertical="center" wrapText="1"/>
    </xf>
    <xf numFmtId="2" fontId="33" fillId="0" borderId="0" xfId="0" applyNumberFormat="1" applyFont="1" applyAlignment="1">
      <alignment horizontal="center" vertical="center"/>
    </xf>
    <xf numFmtId="1" fontId="31" fillId="0" borderId="0" xfId="0" applyNumberFormat="1" applyFont="1" applyAlignment="1">
      <alignment horizontal="center" vertical="center"/>
    </xf>
    <xf numFmtId="0" fontId="19" fillId="0" borderId="0" xfId="0" applyFont="1" applyAlignment="1">
      <alignment horizontal="center" vertical="center" wrapText="1"/>
    </xf>
    <xf numFmtId="0" fontId="24" fillId="0" borderId="79" xfId="0" applyFont="1" applyBorder="1" applyAlignment="1">
      <alignment horizontal="center" wrapText="1"/>
    </xf>
    <xf numFmtId="14" fontId="21" fillId="0" borderId="0" xfId="0" applyNumberFormat="1" applyFont="1" applyAlignment="1">
      <alignment horizontal="center" wrapText="1"/>
    </xf>
    <xf numFmtId="0" fontId="19" fillId="0" borderId="63" xfId="0" applyFont="1" applyBorder="1" applyAlignment="1">
      <alignment horizontal="center" vertical="center" wrapText="1"/>
    </xf>
    <xf numFmtId="0" fontId="19" fillId="0" borderId="58" xfId="0" applyFont="1" applyBorder="1" applyAlignment="1">
      <alignment horizontal="center" wrapText="1"/>
    </xf>
    <xf numFmtId="0" fontId="18" fillId="23" borderId="63" xfId="0" applyFont="1" applyFill="1" applyBorder="1" applyAlignment="1">
      <alignment horizontal="center"/>
    </xf>
    <xf numFmtId="0" fontId="18" fillId="24" borderId="63" xfId="0" applyFont="1" applyFill="1" applyBorder="1" applyAlignment="1">
      <alignment horizontal="center"/>
    </xf>
    <xf numFmtId="0" fontId="18" fillId="20" borderId="63" xfId="0" applyFont="1" applyFill="1" applyBorder="1" applyAlignment="1">
      <alignment horizontal="center"/>
    </xf>
    <xf numFmtId="0" fontId="2" fillId="19" borderId="7" xfId="0" applyFont="1" applyFill="1" applyBorder="1" applyAlignment="1">
      <alignment horizontal="center" vertical="center"/>
    </xf>
    <xf numFmtId="0" fontId="17" fillId="15" borderId="7" xfId="0" applyFont="1" applyFill="1" applyBorder="1" applyAlignment="1">
      <alignment horizontal="center" vertical="center"/>
    </xf>
    <xf numFmtId="1" fontId="0" fillId="0" borderId="63" xfId="0" applyNumberFormat="1" applyBorder="1" applyAlignment="1">
      <alignment horizontal="center" vertical="center"/>
    </xf>
    <xf numFmtId="0" fontId="0" fillId="0" borderId="59" xfId="0" applyBorder="1" applyAlignment="1">
      <alignment horizontal="center"/>
    </xf>
    <xf numFmtId="0" fontId="18" fillId="26" borderId="63" xfId="0" applyFont="1" applyFill="1" applyBorder="1" applyAlignment="1">
      <alignment horizontal="center"/>
    </xf>
    <xf numFmtId="0" fontId="0" fillId="14" borderId="69" xfId="0" applyFill="1" applyBorder="1" applyAlignment="1">
      <alignment horizontal="center" vertical="center" wrapText="1"/>
    </xf>
    <xf numFmtId="0" fontId="0" fillId="9" borderId="65" xfId="0" applyFill="1" applyBorder="1" applyAlignment="1">
      <alignment horizontal="center" vertical="center" wrapText="1"/>
    </xf>
    <xf numFmtId="0" fontId="0" fillId="14" borderId="66" xfId="0" applyFill="1" applyBorder="1" applyAlignment="1">
      <alignment horizontal="center" vertical="center" wrapText="1"/>
    </xf>
    <xf numFmtId="0" fontId="0" fillId="14" borderId="35" xfId="0" applyFill="1" applyBorder="1" applyAlignment="1">
      <alignment horizontal="center" vertical="center" wrapText="1"/>
    </xf>
    <xf numFmtId="0" fontId="17" fillId="27" borderId="0" xfId="0" applyFont="1" applyFill="1" applyAlignment="1">
      <alignment horizontal="center"/>
    </xf>
    <xf numFmtId="0" fontId="17" fillId="28" borderId="0" xfId="0" applyFont="1" applyFill="1" applyAlignment="1">
      <alignment horizontal="center" vertical="center"/>
    </xf>
    <xf numFmtId="0" fontId="0" fillId="9" borderId="84" xfId="0" applyFill="1" applyBorder="1" applyAlignment="1">
      <alignment horizontal="center" vertical="center" wrapText="1"/>
    </xf>
    <xf numFmtId="0" fontId="0" fillId="8" borderId="85" xfId="0" applyFill="1" applyBorder="1" applyAlignment="1">
      <alignment horizontal="center" vertical="center" wrapText="1"/>
    </xf>
    <xf numFmtId="0" fontId="0" fillId="9" borderId="7" xfId="0" applyFill="1"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2" fillId="18" borderId="7" xfId="0" applyFont="1" applyFill="1" applyBorder="1" applyAlignment="1">
      <alignment horizontal="center"/>
    </xf>
    <xf numFmtId="0" fontId="0" fillId="17" borderId="7" xfId="0" applyFill="1" applyBorder="1" applyAlignment="1">
      <alignment horizontal="center"/>
    </xf>
    <xf numFmtId="0" fontId="0" fillId="0" borderId="0" xfId="0" applyAlignment="1">
      <alignment horizontal="left" vertical="center"/>
    </xf>
    <xf numFmtId="164" fontId="0" fillId="30" borderId="7" xfId="0" applyNumberFormat="1" applyFill="1" applyBorder="1" applyAlignment="1">
      <alignment horizontal="left" vertical="center"/>
    </xf>
    <xf numFmtId="0" fontId="0" fillId="30" borderId="7" xfId="0" applyFill="1" applyBorder="1" applyAlignment="1">
      <alignment horizontal="left" vertical="center"/>
    </xf>
    <xf numFmtId="164" fontId="0" fillId="31" borderId="7" xfId="0" applyNumberFormat="1" applyFill="1" applyBorder="1" applyAlignment="1">
      <alignment horizontal="left" vertical="center"/>
    </xf>
    <xf numFmtId="0" fontId="0" fillId="31" borderId="7" xfId="0" applyFill="1" applyBorder="1" applyAlignment="1">
      <alignment horizontal="left" vertical="center"/>
    </xf>
    <xf numFmtId="0" fontId="36" fillId="0" borderId="0" xfId="0" applyFont="1" applyAlignment="1">
      <alignment horizontal="center" vertical="center" wrapText="1"/>
    </xf>
    <xf numFmtId="0" fontId="2" fillId="12" borderId="7" xfId="0" applyFont="1" applyFill="1" applyBorder="1" applyAlignment="1">
      <alignment horizontal="center" vertical="center" wrapText="1"/>
    </xf>
    <xf numFmtId="0" fontId="0" fillId="17" borderId="9" xfId="0" applyFill="1" applyBorder="1" applyAlignment="1">
      <alignment horizontal="center"/>
    </xf>
    <xf numFmtId="0" fontId="0" fillId="17" borderId="11" xfId="0" applyFill="1" applyBorder="1" applyAlignment="1">
      <alignment horizontal="center"/>
    </xf>
    <xf numFmtId="0" fontId="0" fillId="17" borderId="13" xfId="0" applyFill="1" applyBorder="1" applyAlignment="1">
      <alignment horizontal="center"/>
    </xf>
    <xf numFmtId="0" fontId="0" fillId="17" borderId="14" xfId="0" applyFill="1" applyBorder="1" applyAlignment="1">
      <alignment horizontal="center"/>
    </xf>
    <xf numFmtId="0" fontId="2" fillId="14" borderId="4" xfId="0" applyFont="1" applyFill="1" applyBorder="1" applyAlignment="1">
      <alignment horizontal="center" vertical="center"/>
    </xf>
    <xf numFmtId="0" fontId="2" fillId="6" borderId="4" xfId="0" applyFont="1" applyFill="1" applyBorder="1" applyAlignment="1">
      <alignment horizontal="center" vertical="center"/>
    </xf>
    <xf numFmtId="0" fontId="0" fillId="24" borderId="7" xfId="0" applyFill="1" applyBorder="1" applyAlignment="1">
      <alignment horizontal="center"/>
    </xf>
    <xf numFmtId="0" fontId="0" fillId="18" borderId="45" xfId="0" applyFill="1" applyBorder="1" applyAlignment="1">
      <alignment horizontal="center" vertical="center" wrapText="1"/>
    </xf>
    <xf numFmtId="0" fontId="0" fillId="18" borderId="47" xfId="0" applyFill="1" applyBorder="1" applyAlignment="1">
      <alignment horizontal="center" vertical="center" wrapText="1"/>
    </xf>
    <xf numFmtId="0" fontId="2" fillId="15" borderId="4" xfId="0" applyFont="1" applyFill="1" applyBorder="1" applyAlignment="1">
      <alignment horizontal="center" vertical="center"/>
    </xf>
    <xf numFmtId="0" fontId="2" fillId="18" borderId="6" xfId="0" applyFont="1" applyFill="1" applyBorder="1" applyAlignment="1">
      <alignment horizontal="center" vertical="center"/>
    </xf>
    <xf numFmtId="0" fontId="2" fillId="9" borderId="4" xfId="0" applyFont="1" applyFill="1" applyBorder="1" applyAlignment="1">
      <alignment horizontal="center" vertical="center"/>
    </xf>
    <xf numFmtId="0" fontId="0" fillId="27" borderId="9" xfId="0" applyFill="1" applyBorder="1" applyAlignment="1">
      <alignment horizontal="center"/>
    </xf>
    <xf numFmtId="0" fontId="1" fillId="4" borderId="0" xfId="1" applyFill="1" applyAlignment="1">
      <alignment horizontal="center" vertical="center" wrapText="1"/>
    </xf>
    <xf numFmtId="0" fontId="0" fillId="8" borderId="38" xfId="0" applyFill="1" applyBorder="1" applyAlignment="1">
      <alignment horizontal="center" vertical="center" wrapText="1"/>
    </xf>
    <xf numFmtId="0" fontId="0" fillId="8" borderId="43" xfId="0" applyFill="1" applyBorder="1" applyAlignment="1">
      <alignment horizontal="center" vertical="center" wrapText="1"/>
    </xf>
    <xf numFmtId="0" fontId="0" fillId="8" borderId="44" xfId="0" applyFill="1" applyBorder="1" applyAlignment="1">
      <alignment horizontal="center" vertical="center" wrapText="1"/>
    </xf>
    <xf numFmtId="0" fontId="2" fillId="8" borderId="4" xfId="0" applyFont="1" applyFill="1" applyBorder="1" applyAlignment="1">
      <alignment horizontal="center" vertical="center"/>
    </xf>
    <xf numFmtId="0" fontId="0" fillId="11" borderId="10" xfId="0" applyFill="1" applyBorder="1" applyAlignment="1">
      <alignment horizontal="center"/>
    </xf>
    <xf numFmtId="0" fontId="0" fillId="24" borderId="26" xfId="0" applyFill="1" applyBorder="1" applyAlignment="1">
      <alignment horizontal="center"/>
    </xf>
    <xf numFmtId="0" fontId="0" fillId="24" borderId="28" xfId="0" applyFill="1" applyBorder="1" applyAlignment="1">
      <alignment horizontal="center"/>
    </xf>
    <xf numFmtId="0" fontId="2" fillId="7" borderId="4" xfId="0" applyFont="1" applyFill="1" applyBorder="1" applyAlignment="1">
      <alignment horizontal="center"/>
    </xf>
    <xf numFmtId="0" fontId="2" fillId="7" borderId="6" xfId="0" applyFont="1" applyFill="1" applyBorder="1" applyAlignment="1">
      <alignment horizontal="center"/>
    </xf>
    <xf numFmtId="0" fontId="2" fillId="7" borderId="4" xfId="0" applyFont="1" applyFill="1" applyBorder="1" applyAlignment="1">
      <alignment horizontal="center" vertical="center"/>
    </xf>
    <xf numFmtId="0" fontId="1" fillId="0" borderId="0" xfId="1" applyAlignment="1"/>
    <xf numFmtId="0" fontId="39" fillId="0" borderId="0" xfId="0" applyFont="1"/>
    <xf numFmtId="0" fontId="0" fillId="4" borderId="0" xfId="0" applyFill="1" applyAlignment="1">
      <alignment horizontal="center" wrapText="1"/>
    </xf>
    <xf numFmtId="0" fontId="19" fillId="0" borderId="63" xfId="2" applyNumberFormat="1" applyFont="1" applyBorder="1" applyAlignment="1">
      <alignment horizontal="center" vertical="center" wrapText="1"/>
    </xf>
    <xf numFmtId="0" fontId="0" fillId="0" borderId="63" xfId="2" applyNumberFormat="1" applyFont="1" applyFill="1" applyBorder="1" applyAlignment="1">
      <alignment horizontal="center" vertical="center"/>
    </xf>
    <xf numFmtId="0" fontId="0" fillId="0" borderId="0" xfId="2" applyNumberFormat="1" applyFont="1" applyAlignment="1">
      <alignment horizontal="center" vertical="center"/>
    </xf>
    <xf numFmtId="0" fontId="2" fillId="7" borderId="3" xfId="0" applyFont="1" applyFill="1" applyBorder="1" applyAlignment="1">
      <alignment horizontal="center"/>
    </xf>
    <xf numFmtId="0" fontId="6" fillId="5" borderId="14" xfId="0" applyFont="1" applyFill="1" applyBorder="1" applyAlignment="1">
      <alignment horizontal="center"/>
    </xf>
    <xf numFmtId="0" fontId="6" fillId="5" borderId="86" xfId="0" applyFont="1" applyFill="1" applyBorder="1" applyAlignment="1">
      <alignment horizontal="center"/>
    </xf>
    <xf numFmtId="0" fontId="6" fillId="5" borderId="15" xfId="0" applyFont="1" applyFill="1" applyBorder="1" applyAlignment="1">
      <alignment horizontal="center"/>
    </xf>
    <xf numFmtId="0" fontId="0" fillId="5" borderId="86" xfId="0" applyFill="1" applyBorder="1" applyAlignment="1">
      <alignment horizontal="center"/>
    </xf>
    <xf numFmtId="0" fontId="0" fillId="5" borderId="15" xfId="0" applyFill="1" applyBorder="1" applyAlignment="1">
      <alignment horizontal="center"/>
    </xf>
    <xf numFmtId="0" fontId="0" fillId="6" borderId="15" xfId="0" applyFill="1" applyBorder="1" applyAlignment="1">
      <alignment horizontal="center"/>
    </xf>
    <xf numFmtId="0" fontId="0" fillId="4" borderId="86" xfId="0" applyFill="1" applyBorder="1" applyAlignment="1">
      <alignment horizontal="center"/>
    </xf>
    <xf numFmtId="0" fontId="0" fillId="4" borderId="15" xfId="0" applyFill="1" applyBorder="1" applyAlignment="1">
      <alignment horizontal="center"/>
    </xf>
    <xf numFmtId="0" fontId="0" fillId="7" borderId="86" xfId="0" applyFill="1" applyBorder="1" applyAlignment="1">
      <alignment horizontal="center"/>
    </xf>
    <xf numFmtId="0" fontId="0" fillId="7" borderId="15" xfId="0" applyFill="1" applyBorder="1" applyAlignment="1">
      <alignment horizontal="center"/>
    </xf>
    <xf numFmtId="0" fontId="0" fillId="0" borderId="1" xfId="0" applyBorder="1" applyAlignment="1">
      <alignment horizontal="center" vertical="center" wrapText="1"/>
    </xf>
    <xf numFmtId="0" fontId="2" fillId="0" borderId="3" xfId="0" applyFont="1" applyBorder="1" applyAlignment="1">
      <alignment horizontal="center" vertical="center"/>
    </xf>
    <xf numFmtId="0" fontId="0" fillId="0" borderId="82" xfId="0" applyBorder="1" applyAlignment="1">
      <alignment horizontal="center" vertical="center" wrapText="1"/>
    </xf>
    <xf numFmtId="0" fontId="2" fillId="0" borderId="82" xfId="0" applyFont="1" applyBorder="1" applyAlignment="1">
      <alignment horizontal="center" vertical="center" wrapText="1"/>
    </xf>
    <xf numFmtId="0" fontId="0" fillId="22" borderId="0" xfId="0" applyFill="1"/>
    <xf numFmtId="0" fontId="9" fillId="0" borderId="4" xfId="0" applyFont="1" applyBorder="1" applyAlignment="1">
      <alignment horizontal="center" vertical="center"/>
    </xf>
    <xf numFmtId="0" fontId="0" fillId="0" borderId="83" xfId="0" applyBorder="1" applyAlignment="1">
      <alignment horizontal="center" vertical="center" wrapText="1"/>
    </xf>
    <xf numFmtId="0" fontId="0" fillId="0" borderId="5" xfId="0" applyBorder="1"/>
    <xf numFmtId="0" fontId="0" fillId="22" borderId="5" xfId="0" applyFill="1" applyBorder="1"/>
    <xf numFmtId="0" fontId="9" fillId="0" borderId="6" xfId="0" applyFont="1" applyBorder="1" applyAlignment="1">
      <alignment horizontal="center" vertical="center"/>
    </xf>
    <xf numFmtId="0" fontId="2" fillId="0" borderId="2"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0" fillId="0" borderId="2" xfId="0" applyBorder="1" applyAlignment="1">
      <alignment horizontal="center" vertical="center" wrapText="1"/>
    </xf>
    <xf numFmtId="0" fontId="2" fillId="0" borderId="0" xfId="0" applyFont="1" applyAlignment="1">
      <alignment horizontal="center" vertical="center" wrapText="1"/>
    </xf>
    <xf numFmtId="0" fontId="0" fillId="0" borderId="5" xfId="0" applyBorder="1" applyAlignment="1">
      <alignment horizontal="center" vertical="center" wrapText="1"/>
    </xf>
    <xf numFmtId="0" fontId="2" fillId="0" borderId="4" xfId="0" applyFont="1" applyBorder="1" applyAlignment="1">
      <alignment horizontal="center" vertical="center"/>
    </xf>
    <xf numFmtId="0" fontId="15" fillId="0" borderId="0" xfId="0" applyFont="1" applyAlignment="1">
      <alignment horizontal="center" wrapText="1"/>
    </xf>
    <xf numFmtId="0" fontId="0" fillId="6" borderId="95" xfId="0" applyFill="1" applyBorder="1" applyAlignment="1">
      <alignment horizontal="center" vertical="center" wrapText="1"/>
    </xf>
    <xf numFmtId="0" fontId="0" fillId="9" borderId="97" xfId="0" applyFill="1" applyBorder="1" applyAlignment="1">
      <alignment horizontal="center" vertical="center" wrapText="1"/>
    </xf>
    <xf numFmtId="0" fontId="0" fillId="14" borderId="90" xfId="0" applyFill="1" applyBorder="1" applyAlignment="1">
      <alignment horizontal="center" vertical="center" wrapText="1"/>
    </xf>
    <xf numFmtId="0" fontId="0" fillId="14" borderId="94" xfId="0" applyFill="1" applyBorder="1" applyAlignment="1">
      <alignment horizontal="center" vertical="center" wrapText="1"/>
    </xf>
    <xf numFmtId="0" fontId="0" fillId="9" borderId="93" xfId="0" applyFill="1" applyBorder="1" applyAlignment="1">
      <alignment horizontal="center" vertical="center" wrapText="1"/>
    </xf>
    <xf numFmtId="0" fontId="0" fillId="9" borderId="91" xfId="0" applyFill="1" applyBorder="1" applyAlignment="1">
      <alignment horizontal="center" vertical="center" wrapText="1"/>
    </xf>
    <xf numFmtId="0" fontId="0" fillId="9" borderId="98" xfId="0" applyFill="1" applyBorder="1" applyAlignment="1">
      <alignment horizontal="center" vertical="center" wrapText="1"/>
    </xf>
    <xf numFmtId="0" fontId="2" fillId="18" borderId="7" xfId="0" applyFont="1" applyFill="1" applyBorder="1" applyAlignment="1">
      <alignment horizontal="center" wrapText="1"/>
    </xf>
    <xf numFmtId="0" fontId="0" fillId="4" borderId="7" xfId="0" applyFill="1" applyBorder="1" applyAlignment="1">
      <alignment horizontal="center" wrapText="1"/>
    </xf>
    <xf numFmtId="0" fontId="0" fillId="17" borderId="7" xfId="0" applyFill="1" applyBorder="1" applyAlignment="1">
      <alignment horizontal="center" wrapText="1"/>
    </xf>
    <xf numFmtId="0" fontId="0" fillId="14" borderId="99" xfId="0" applyFill="1" applyBorder="1" applyAlignment="1">
      <alignment horizontal="center" vertical="center" wrapText="1"/>
    </xf>
    <xf numFmtId="0" fontId="0" fillId="14" borderId="92" xfId="0" applyFill="1" applyBorder="1" applyAlignment="1">
      <alignment horizontal="center" vertical="center" wrapText="1"/>
    </xf>
    <xf numFmtId="0" fontId="0" fillId="8" borderId="96" xfId="0" applyFill="1" applyBorder="1" applyAlignment="1">
      <alignment horizontal="center" vertical="center" wrapText="1"/>
    </xf>
    <xf numFmtId="0" fontId="0" fillId="18" borderId="101" xfId="0" applyFill="1" applyBorder="1" applyAlignment="1">
      <alignment horizontal="center" vertical="center" wrapText="1"/>
    </xf>
    <xf numFmtId="0" fontId="0" fillId="18" borderId="100" xfId="0" applyFill="1" applyBorder="1" applyAlignment="1">
      <alignment horizontal="center" vertical="center" wrapText="1"/>
    </xf>
    <xf numFmtId="0" fontId="0" fillId="6" borderId="95" xfId="0" applyFill="1" applyBorder="1" applyAlignment="1">
      <alignment horizontal="center" vertical="center"/>
    </xf>
    <xf numFmtId="0" fontId="0" fillId="0" borderId="40" xfId="0" applyBorder="1" applyAlignment="1">
      <alignment horizontal="center" vertical="center" wrapText="1"/>
    </xf>
    <xf numFmtId="0" fontId="9" fillId="13" borderId="0" xfId="0" applyFont="1" applyFill="1" applyAlignment="1">
      <alignment horizontal="center" vertical="center"/>
    </xf>
    <xf numFmtId="0" fontId="0" fillId="22" borderId="7" xfId="0" applyFill="1" applyBorder="1" applyAlignment="1">
      <alignment horizontal="center" wrapText="1"/>
    </xf>
    <xf numFmtId="0" fontId="0" fillId="22" borderId="7" xfId="0" applyFill="1" applyBorder="1" applyAlignment="1">
      <alignment horizontal="center"/>
    </xf>
    <xf numFmtId="0" fontId="17" fillId="16" borderId="0" xfId="0" applyFont="1" applyFill="1" applyAlignment="1">
      <alignment horizontal="center" vertical="center"/>
    </xf>
    <xf numFmtId="0" fontId="0" fillId="18" borderId="51" xfId="0" applyFill="1" applyBorder="1" applyAlignment="1">
      <alignment horizontal="center" vertical="center" wrapText="1"/>
    </xf>
    <xf numFmtId="14" fontId="0" fillId="18" borderId="0" xfId="0" applyNumberFormat="1" applyFill="1" applyAlignment="1">
      <alignment horizontal="center" vertical="center"/>
    </xf>
    <xf numFmtId="0" fontId="0" fillId="4" borderId="0" xfId="0" applyFill="1" applyAlignment="1">
      <alignment horizontal="center"/>
    </xf>
    <xf numFmtId="0" fontId="0" fillId="9" borderId="0" xfId="0" applyFill="1" applyAlignment="1">
      <alignment horizontal="center" vertical="center"/>
    </xf>
    <xf numFmtId="0" fontId="2" fillId="2" borderId="0" xfId="0" applyFont="1" applyFill="1" applyAlignment="1">
      <alignment horizontal="center" vertical="center"/>
    </xf>
    <xf numFmtId="1" fontId="0" fillId="13" borderId="0" xfId="0" applyNumberFormat="1" applyFill="1" applyAlignment="1">
      <alignment horizontal="center"/>
    </xf>
    <xf numFmtId="165" fontId="0" fillId="0" borderId="0" xfId="0" applyNumberFormat="1"/>
    <xf numFmtId="0" fontId="0" fillId="24" borderId="0" xfId="0" applyFill="1" applyAlignment="1">
      <alignment horizontal="center" vertical="center"/>
    </xf>
    <xf numFmtId="0" fontId="2" fillId="11" borderId="0" xfId="0" applyFont="1" applyFill="1" applyAlignment="1">
      <alignment horizontal="center"/>
    </xf>
    <xf numFmtId="0" fontId="0" fillId="7" borderId="0" xfId="0" applyFill="1" applyAlignment="1">
      <alignment horizontal="center" vertical="center"/>
    </xf>
    <xf numFmtId="0" fontId="0" fillId="3" borderId="0" xfId="0" applyFill="1" applyAlignment="1">
      <alignment horizontal="center" vertical="center"/>
    </xf>
    <xf numFmtId="0" fontId="2" fillId="4" borderId="58" xfId="0" applyFont="1" applyFill="1" applyBorder="1" applyAlignment="1">
      <alignment horizontal="center" vertical="center"/>
    </xf>
    <xf numFmtId="0" fontId="2" fillId="4" borderId="60" xfId="0" applyFont="1" applyFill="1" applyBorder="1" applyAlignment="1">
      <alignment horizontal="center" vertical="center"/>
    </xf>
    <xf numFmtId="20" fontId="0" fillId="0" borderId="4" xfId="0" applyNumberFormat="1" applyBorder="1" applyAlignment="1">
      <alignment horizontal="center"/>
    </xf>
    <xf numFmtId="1" fontId="0" fillId="6" borderId="0" xfId="0" applyNumberFormat="1" applyFill="1" applyAlignment="1">
      <alignment horizontal="center"/>
    </xf>
    <xf numFmtId="14" fontId="36" fillId="4" borderId="0" xfId="0" applyNumberFormat="1" applyFont="1" applyFill="1" applyAlignment="1">
      <alignment horizontal="center" vertical="center"/>
    </xf>
    <xf numFmtId="0" fontId="36" fillId="4" borderId="0" xfId="0" applyFont="1" applyFill="1" applyAlignment="1">
      <alignment horizontal="center" vertical="center" wrapText="1"/>
    </xf>
    <xf numFmtId="0" fontId="6" fillId="4" borderId="0" xfId="0" applyFont="1" applyFill="1" applyAlignment="1">
      <alignment horizontal="center" vertical="center" wrapText="1"/>
    </xf>
    <xf numFmtId="0" fontId="17" fillId="33" borderId="7" xfId="0" applyFont="1" applyFill="1" applyBorder="1" applyAlignment="1">
      <alignment horizontal="center" vertical="center"/>
    </xf>
    <xf numFmtId="0" fontId="17" fillId="32" borderId="7" xfId="0" applyFont="1" applyFill="1" applyBorder="1" applyAlignment="1">
      <alignment horizontal="center" vertical="center"/>
    </xf>
    <xf numFmtId="14" fontId="17" fillId="15" borderId="0" xfId="0" applyNumberFormat="1" applyFont="1" applyFill="1" applyAlignment="1">
      <alignment horizontal="center" vertical="center"/>
    </xf>
    <xf numFmtId="0" fontId="17" fillId="15" borderId="0" xfId="0" applyFont="1" applyFill="1" applyAlignment="1">
      <alignment horizontal="center" vertical="center" wrapText="1"/>
    </xf>
    <xf numFmtId="0" fontId="17" fillId="15" borderId="51" xfId="0" applyFont="1" applyFill="1" applyBorder="1" applyAlignment="1">
      <alignment horizontal="center" vertical="center" wrapText="1"/>
    </xf>
    <xf numFmtId="164" fontId="0" fillId="17" borderId="7" xfId="0" applyNumberFormat="1" applyFill="1" applyBorder="1" applyAlignment="1">
      <alignment horizontal="left" vertical="center"/>
    </xf>
    <xf numFmtId="0" fontId="0" fillId="17" borderId="7" xfId="0" applyFill="1" applyBorder="1" applyAlignment="1">
      <alignment horizontal="left" vertical="center"/>
    </xf>
    <xf numFmtId="0" fontId="2" fillId="4" borderId="0" xfId="0" applyFont="1" applyFill="1" applyAlignment="1">
      <alignment horizontal="center" vertical="center" wrapText="1"/>
    </xf>
    <xf numFmtId="0" fontId="0" fillId="18" borderId="7" xfId="0" applyFill="1" applyBorder="1" applyAlignment="1">
      <alignment horizontal="center" vertical="center" wrapText="1"/>
    </xf>
    <xf numFmtId="0" fontId="0" fillId="7" borderId="7" xfId="0" applyFill="1" applyBorder="1" applyAlignment="1">
      <alignment horizontal="center" vertical="center" wrapText="1"/>
    </xf>
    <xf numFmtId="0" fontId="0" fillId="34" borderId="7" xfId="0" applyFill="1" applyBorder="1" applyAlignment="1">
      <alignment horizontal="center" vertical="center" wrapText="1"/>
    </xf>
    <xf numFmtId="0" fontId="0" fillId="17" borderId="0" xfId="0" applyFill="1" applyAlignment="1">
      <alignment horizontal="center" vertical="center" wrapText="1"/>
    </xf>
    <xf numFmtId="0" fontId="0" fillId="35" borderId="0" xfId="0" applyFill="1" applyAlignment="1">
      <alignment horizontal="center" vertical="center" wrapText="1"/>
    </xf>
    <xf numFmtId="0" fontId="0" fillId="14" borderId="0" xfId="0" applyFill="1" applyAlignment="1">
      <alignment horizontal="center" vertical="center" wrapText="1"/>
    </xf>
    <xf numFmtId="0" fontId="0" fillId="36" borderId="0" xfId="0" applyFill="1" applyAlignment="1">
      <alignment horizontal="center" vertical="center" wrapText="1"/>
    </xf>
    <xf numFmtId="0" fontId="0" fillId="37" borderId="0" xfId="0" applyFill="1" applyAlignment="1">
      <alignment horizontal="center" vertical="center" wrapText="1"/>
    </xf>
    <xf numFmtId="0" fontId="0" fillId="38" borderId="0" xfId="0" applyFill="1" applyAlignment="1">
      <alignment horizontal="center" vertical="center" wrapText="1"/>
    </xf>
    <xf numFmtId="0" fontId="43" fillId="0" borderId="0" xfId="0" applyFont="1" applyAlignment="1">
      <alignment vertical="center"/>
    </xf>
    <xf numFmtId="0" fontId="42" fillId="0" borderId="0" xfId="0" applyFont="1" applyAlignment="1">
      <alignment vertical="center"/>
    </xf>
    <xf numFmtId="0" fontId="43" fillId="0" borderId="0" xfId="0" applyFont="1" applyAlignment="1">
      <alignment horizontal="center" vertical="center" wrapText="1"/>
    </xf>
    <xf numFmtId="0" fontId="0" fillId="7" borderId="0" xfId="0" applyFill="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0" fillId="7" borderId="12" xfId="0" applyFill="1" applyBorder="1" applyAlignment="1">
      <alignment horizontal="center" wrapText="1"/>
    </xf>
    <xf numFmtId="0" fontId="0" fillId="21" borderId="0" xfId="0" applyFill="1" applyAlignment="1">
      <alignment horizontal="center"/>
    </xf>
    <xf numFmtId="0" fontId="0" fillId="9" borderId="0" xfId="0" applyFill="1" applyAlignment="1">
      <alignment horizontal="center"/>
    </xf>
    <xf numFmtId="0" fontId="0" fillId="24" borderId="0" xfId="0" applyFill="1"/>
    <xf numFmtId="14" fontId="0" fillId="0" borderId="0" xfId="0" applyNumberFormat="1" applyAlignment="1">
      <alignment horizontal="center"/>
    </xf>
    <xf numFmtId="0" fontId="0" fillId="23" borderId="0" xfId="0" applyFill="1" applyAlignment="1">
      <alignment horizontal="center"/>
    </xf>
    <xf numFmtId="0" fontId="0" fillId="7" borderId="0" xfId="0" applyFill="1" applyAlignment="1">
      <alignment wrapText="1"/>
    </xf>
    <xf numFmtId="0" fontId="44" fillId="4" borderId="0" xfId="0" applyFont="1" applyFill="1" applyAlignment="1">
      <alignment horizontal="center" vertical="center" wrapText="1"/>
    </xf>
    <xf numFmtId="0" fontId="2" fillId="4" borderId="0" xfId="0" applyFont="1" applyFill="1" applyAlignment="1">
      <alignment horizontal="center" vertical="center"/>
    </xf>
    <xf numFmtId="0" fontId="2" fillId="37" borderId="0" xfId="0" applyFont="1" applyFill="1" applyAlignment="1">
      <alignment horizontal="center" vertical="center" wrapText="1"/>
    </xf>
    <xf numFmtId="0" fontId="2" fillId="39" borderId="0" xfId="0" applyFont="1" applyFill="1" applyAlignment="1">
      <alignment horizontal="center" vertical="center" wrapText="1"/>
    </xf>
    <xf numFmtId="18" fontId="0" fillId="0" borderId="0" xfId="0" applyNumberFormat="1" applyAlignment="1">
      <alignment horizontal="center" vertical="center"/>
    </xf>
    <xf numFmtId="0" fontId="1" fillId="0" borderId="0" xfId="1" applyAlignment="1">
      <alignment horizontal="center" vertical="center"/>
    </xf>
    <xf numFmtId="18" fontId="0" fillId="9" borderId="0" xfId="0" applyNumberFormat="1" applyFill="1" applyAlignment="1">
      <alignment horizontal="center" vertical="center"/>
    </xf>
    <xf numFmtId="14" fontId="0" fillId="0" borderId="0" xfId="0" applyNumberFormat="1" applyAlignment="1">
      <alignment horizontal="center" vertical="center"/>
    </xf>
    <xf numFmtId="9" fontId="0" fillId="0" borderId="0" xfId="2" applyFont="1" applyAlignment="1">
      <alignment horizontal="center" vertical="center"/>
    </xf>
    <xf numFmtId="0" fontId="0" fillId="21" borderId="11" xfId="0" applyFill="1" applyBorder="1" applyAlignment="1">
      <alignment horizontal="center"/>
    </xf>
    <xf numFmtId="0" fontId="0" fillId="21" borderId="7" xfId="0" applyFill="1" applyBorder="1" applyAlignment="1">
      <alignment horizontal="center"/>
    </xf>
    <xf numFmtId="0" fontId="1" fillId="21" borderId="7" xfId="1" applyFill="1" applyBorder="1" applyAlignment="1">
      <alignment horizontal="center"/>
    </xf>
    <xf numFmtId="0" fontId="0" fillId="21" borderId="12" xfId="0" applyFill="1" applyBorder="1" applyAlignment="1">
      <alignment horizontal="center"/>
    </xf>
    <xf numFmtId="0" fontId="0" fillId="21" borderId="12" xfId="0" applyFill="1" applyBorder="1" applyAlignment="1">
      <alignment horizontal="center" wrapText="1"/>
    </xf>
    <xf numFmtId="0" fontId="0" fillId="24" borderId="11" xfId="0" applyFill="1" applyBorder="1" applyAlignment="1">
      <alignment horizontal="center"/>
    </xf>
    <xf numFmtId="0" fontId="1" fillId="24" borderId="7" xfId="1" applyFill="1" applyBorder="1" applyAlignment="1">
      <alignment horizontal="center"/>
    </xf>
    <xf numFmtId="0" fontId="0" fillId="24" borderId="12" xfId="0" applyFill="1" applyBorder="1" applyAlignment="1">
      <alignment horizontal="center"/>
    </xf>
    <xf numFmtId="0" fontId="0" fillId="24" borderId="12" xfId="0" applyFill="1" applyBorder="1" applyAlignment="1">
      <alignment horizontal="center" wrapText="1"/>
    </xf>
    <xf numFmtId="0" fontId="1" fillId="11" borderId="7" xfId="1" applyFill="1" applyBorder="1" applyAlignment="1">
      <alignment horizontal="center"/>
    </xf>
    <xf numFmtId="0" fontId="0" fillId="11" borderId="11" xfId="0" applyFill="1" applyBorder="1" applyAlignment="1">
      <alignment horizontal="center"/>
    </xf>
    <xf numFmtId="0" fontId="0" fillId="11" borderId="7" xfId="0" applyFill="1" applyBorder="1" applyAlignment="1">
      <alignment horizontal="center"/>
    </xf>
    <xf numFmtId="0" fontId="0" fillId="11" borderId="12" xfId="0" applyFill="1" applyBorder="1" applyAlignment="1">
      <alignment horizontal="center"/>
    </xf>
    <xf numFmtId="0" fontId="0" fillId="11" borderId="12" xfId="0" applyFill="1" applyBorder="1" applyAlignment="1">
      <alignment horizontal="center" wrapText="1"/>
    </xf>
    <xf numFmtId="0" fontId="45" fillId="0" borderId="0" xfId="0" applyFont="1" applyAlignment="1">
      <alignment vertical="center" wrapText="1"/>
    </xf>
    <xf numFmtId="0" fontId="17" fillId="41" borderId="7" xfId="0" applyFont="1" applyFill="1" applyBorder="1" applyAlignment="1">
      <alignment horizontal="center" vertical="center"/>
    </xf>
    <xf numFmtId="166" fontId="0" fillId="0" borderId="0" xfId="0" applyNumberFormat="1" applyAlignment="1">
      <alignment horizontal="center" vertical="center"/>
    </xf>
    <xf numFmtId="49" fontId="0" fillId="0" borderId="0" xfId="0" applyNumberFormat="1" applyAlignment="1">
      <alignment horizontal="center" vertical="center"/>
    </xf>
    <xf numFmtId="0" fontId="2" fillId="7" borderId="0" xfId="0" applyFont="1" applyFill="1" applyAlignment="1">
      <alignment horizontal="center" vertical="center" wrapText="1"/>
    </xf>
    <xf numFmtId="166" fontId="0" fillId="9" borderId="0" xfId="0" applyNumberFormat="1" applyFill="1" applyAlignment="1">
      <alignment horizontal="center" vertical="center"/>
    </xf>
    <xf numFmtId="0" fontId="46" fillId="0" borderId="0" xfId="0" applyFont="1" applyAlignment="1">
      <alignment vertical="center"/>
    </xf>
    <xf numFmtId="0" fontId="19" fillId="0" borderId="0" xfId="0" applyFont="1"/>
    <xf numFmtId="0" fontId="47" fillId="0" borderId="0" xfId="0" applyFont="1" applyAlignment="1">
      <alignment vertical="center"/>
    </xf>
    <xf numFmtId="0" fontId="0" fillId="0" borderId="0" xfId="0" applyAlignment="1">
      <alignment horizontal="left" vertical="center" indent="1"/>
    </xf>
    <xf numFmtId="0" fontId="48" fillId="0" borderId="0" xfId="0" applyFont="1" applyAlignment="1">
      <alignment horizontal="left" vertical="center" readingOrder="1"/>
    </xf>
    <xf numFmtId="0" fontId="2" fillId="24" borderId="0" xfId="0" applyFont="1" applyFill="1" applyAlignment="1">
      <alignment horizontal="center" vertical="center" wrapText="1"/>
    </xf>
    <xf numFmtId="0" fontId="2" fillId="11" borderId="0" xfId="0" applyFont="1" applyFill="1" applyAlignment="1">
      <alignment horizontal="center" vertical="center" wrapText="1"/>
    </xf>
    <xf numFmtId="0" fontId="1" fillId="0" borderId="0" xfId="1" applyAlignment="1">
      <alignment horizontal="center" vertical="center" wrapText="1"/>
    </xf>
    <xf numFmtId="0" fontId="1" fillId="0" borderId="0" xfId="1" applyFill="1" applyAlignment="1">
      <alignment horizontal="center" vertical="center" wrapText="1"/>
    </xf>
    <xf numFmtId="0" fontId="17" fillId="15" borderId="0" xfId="0" applyFont="1" applyFill="1" applyAlignment="1">
      <alignment horizontal="center" vertical="center"/>
    </xf>
    <xf numFmtId="0" fontId="0" fillId="21" borderId="13" xfId="0" applyFill="1" applyBorder="1" applyAlignment="1">
      <alignment horizontal="center"/>
    </xf>
    <xf numFmtId="0" fontId="0" fillId="21" borderId="14" xfId="0" applyFill="1" applyBorder="1" applyAlignment="1">
      <alignment horizontal="center"/>
    </xf>
    <xf numFmtId="0" fontId="0" fillId="21" borderId="15" xfId="0" applyFill="1" applyBorder="1" applyAlignment="1">
      <alignment horizontal="center"/>
    </xf>
    <xf numFmtId="0" fontId="0" fillId="21" borderId="15" xfId="0" applyFill="1" applyBorder="1" applyAlignment="1">
      <alignment horizontal="center" wrapText="1"/>
    </xf>
    <xf numFmtId="0" fontId="6" fillId="0" borderId="0" xfId="0" applyFont="1" applyAlignment="1">
      <alignment horizontal="left" vertical="top" wrapText="1"/>
    </xf>
    <xf numFmtId="0" fontId="18" fillId="40" borderId="103" xfId="0" applyFont="1" applyFill="1" applyBorder="1" applyAlignment="1">
      <alignment horizontal="center" vertical="center" wrapText="1"/>
    </xf>
    <xf numFmtId="0" fontId="18" fillId="40" borderId="0" xfId="0" applyFont="1" applyFill="1" applyAlignment="1">
      <alignment horizontal="center" vertical="center" wrapText="1"/>
    </xf>
    <xf numFmtId="0" fontId="2" fillId="0" borderId="7" xfId="0" applyFont="1" applyBorder="1" applyAlignment="1">
      <alignment horizontal="center"/>
    </xf>
    <xf numFmtId="0" fontId="2" fillId="43" borderId="17" xfId="0" applyFont="1" applyFill="1" applyBorder="1" applyAlignment="1">
      <alignment horizontal="center" vertical="center"/>
    </xf>
    <xf numFmtId="0" fontId="2" fillId="37" borderId="49" xfId="0" applyFont="1" applyFill="1" applyBorder="1" applyAlignment="1">
      <alignment horizontal="center" vertical="center"/>
    </xf>
    <xf numFmtId="0" fontId="2" fillId="37" borderId="51" xfId="0" applyFont="1" applyFill="1" applyBorder="1" applyAlignment="1">
      <alignment horizontal="center" vertical="center"/>
    </xf>
    <xf numFmtId="9" fontId="0" fillId="0" borderId="0" xfId="2" applyFont="1" applyAlignment="1">
      <alignment horizontal="center" vertical="center" wrapText="1"/>
    </xf>
    <xf numFmtId="9" fontId="0" fillId="0" borderId="0" xfId="2" applyFont="1"/>
    <xf numFmtId="0" fontId="4" fillId="0" borderId="0" xfId="0" applyFont="1" applyAlignment="1">
      <alignment horizontal="center" vertical="center"/>
    </xf>
    <xf numFmtId="0" fontId="1" fillId="0" borderId="7" xfId="1" applyFill="1" applyBorder="1" applyAlignment="1">
      <alignment horizontal="center" vertical="center"/>
    </xf>
    <xf numFmtId="0" fontId="0" fillId="0" borderId="17" xfId="0" applyBorder="1" applyAlignment="1">
      <alignment horizontal="center" vertical="center" wrapText="1"/>
    </xf>
    <xf numFmtId="0" fontId="0" fillId="0" borderId="29" xfId="0" applyBorder="1" applyAlignment="1">
      <alignment horizontal="center" vertical="center"/>
    </xf>
    <xf numFmtId="0" fontId="0" fillId="0" borderId="19" xfId="0" applyBorder="1" applyAlignment="1">
      <alignment horizontal="center" vertical="center"/>
    </xf>
    <xf numFmtId="0" fontId="1" fillId="0" borderId="19" xfId="1" applyFill="1" applyBorder="1" applyAlignment="1">
      <alignment horizontal="center" vertical="center"/>
    </xf>
    <xf numFmtId="0" fontId="2" fillId="0" borderId="61" xfId="0" applyFont="1" applyBorder="1" applyAlignment="1">
      <alignment horizontal="center" vertical="center"/>
    </xf>
    <xf numFmtId="0" fontId="2" fillId="0" borderId="33" xfId="0" applyFont="1" applyBorder="1" applyAlignment="1">
      <alignment horizontal="center" vertical="center"/>
    </xf>
    <xf numFmtId="0" fontId="2" fillId="0" borderId="104" xfId="0" applyFont="1" applyBorder="1" applyAlignment="1">
      <alignment horizontal="center" vertical="center"/>
    </xf>
    <xf numFmtId="0" fontId="2" fillId="18" borderId="11" xfId="0" applyFont="1" applyFill="1" applyBorder="1" applyAlignment="1">
      <alignment horizontal="center"/>
    </xf>
    <xf numFmtId="0" fontId="2" fillId="18" borderId="13" xfId="0" applyFont="1" applyFill="1" applyBorder="1" applyAlignment="1">
      <alignment horizontal="center"/>
    </xf>
    <xf numFmtId="0" fontId="2" fillId="0" borderId="14" xfId="0" applyFont="1" applyBorder="1" applyAlignment="1">
      <alignment horizontal="center"/>
    </xf>
    <xf numFmtId="0" fontId="2" fillId="43" borderId="18" xfId="0" applyFont="1" applyFill="1" applyBorder="1" applyAlignment="1">
      <alignment horizontal="center" vertical="center"/>
    </xf>
    <xf numFmtId="0" fontId="49" fillId="34" borderId="7"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0" fillId="35" borderId="7" xfId="0" applyFill="1" applyBorder="1" applyAlignment="1">
      <alignment horizontal="center" vertical="center" wrapText="1"/>
    </xf>
    <xf numFmtId="0" fontId="2" fillId="14" borderId="7" xfId="0" applyFont="1" applyFill="1" applyBorder="1" applyAlignment="1">
      <alignment horizontal="center" vertical="center" wrapText="1"/>
    </xf>
    <xf numFmtId="0" fontId="0" fillId="14" borderId="7" xfId="0" applyFill="1" applyBorder="1" applyAlignment="1">
      <alignment horizontal="center" vertical="center" wrapText="1"/>
    </xf>
    <xf numFmtId="0" fontId="2" fillId="36" borderId="7" xfId="0" applyFont="1" applyFill="1" applyBorder="1" applyAlignment="1">
      <alignment horizontal="center" vertical="center" wrapText="1"/>
    </xf>
    <xf numFmtId="0" fontId="0" fillId="36" borderId="7" xfId="0" applyFill="1" applyBorder="1" applyAlignment="1">
      <alignment horizontal="center" vertical="center" wrapText="1"/>
    </xf>
    <xf numFmtId="0" fontId="0" fillId="37" borderId="7" xfId="0" applyFill="1" applyBorder="1" applyAlignment="1">
      <alignment horizontal="center" vertical="center" wrapText="1"/>
    </xf>
    <xf numFmtId="0" fontId="2" fillId="38" borderId="7" xfId="0" applyFont="1" applyFill="1" applyBorder="1" applyAlignment="1">
      <alignment horizontal="center" vertical="center" wrapText="1"/>
    </xf>
    <xf numFmtId="0" fontId="0" fillId="38" borderId="7" xfId="0" applyFill="1" applyBorder="1" applyAlignment="1">
      <alignment horizontal="center" vertical="center" wrapText="1"/>
    </xf>
    <xf numFmtId="0" fontId="0" fillId="7" borderId="33" xfId="0" applyFill="1" applyBorder="1" applyAlignment="1">
      <alignment horizontal="center" vertical="center" wrapText="1"/>
    </xf>
    <xf numFmtId="0" fontId="6" fillId="0" borderId="0" xfId="0" applyFont="1" applyAlignment="1">
      <alignment horizontal="center" vertical="center" wrapText="1"/>
    </xf>
    <xf numFmtId="0" fontId="0" fillId="13" borderId="0" xfId="0" applyFill="1" applyAlignment="1">
      <alignment horizontal="center" vertical="center"/>
    </xf>
    <xf numFmtId="9" fontId="0" fillId="13" borderId="0" xfId="2" applyFont="1" applyFill="1" applyAlignment="1">
      <alignment horizontal="center" vertical="center"/>
    </xf>
    <xf numFmtId="0" fontId="9" fillId="13" borderId="0" xfId="0" applyFont="1" applyFill="1" applyAlignment="1">
      <alignment horizontal="center"/>
    </xf>
    <xf numFmtId="0" fontId="43" fillId="4" borderId="0" xfId="0" applyFont="1" applyFill="1" applyAlignment="1">
      <alignment horizontal="center" vertical="center" wrapText="1"/>
    </xf>
    <xf numFmtId="0" fontId="6" fillId="0" borderId="0" xfId="0" applyFont="1" applyAlignment="1">
      <alignment horizontal="center" vertical="center"/>
    </xf>
    <xf numFmtId="4" fontId="6" fillId="0" borderId="0" xfId="0" applyNumberFormat="1" applyFont="1" applyAlignment="1">
      <alignment horizontal="center" vertical="center" wrapText="1"/>
    </xf>
    <xf numFmtId="9" fontId="6" fillId="0" borderId="0" xfId="0" applyNumberFormat="1" applyFont="1" applyAlignment="1">
      <alignment horizontal="center" vertical="center" wrapText="1"/>
    </xf>
    <xf numFmtId="14" fontId="0" fillId="0" borderId="0" xfId="2" applyNumberFormat="1" applyFont="1" applyAlignment="1">
      <alignment horizontal="center" vertical="center"/>
    </xf>
    <xf numFmtId="0" fontId="0" fillId="13" borderId="0" xfId="0" applyFill="1"/>
    <xf numFmtId="0" fontId="0" fillId="25" borderId="7" xfId="0" applyFill="1" applyBorder="1" applyAlignment="1">
      <alignment horizontal="center" vertical="center" wrapText="1"/>
    </xf>
    <xf numFmtId="0" fontId="2" fillId="2" borderId="7" xfId="0" applyFont="1" applyFill="1" applyBorder="1" applyAlignment="1">
      <alignment horizontal="center" vertical="center"/>
    </xf>
    <xf numFmtId="0" fontId="0" fillId="4" borderId="7" xfId="0" applyFill="1" applyBorder="1" applyAlignment="1">
      <alignment horizontal="center" vertical="center"/>
    </xf>
    <xf numFmtId="0" fontId="2" fillId="10" borderId="8"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0" fillId="0" borderId="11" xfId="0"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7" xfId="1" applyBorder="1" applyAlignment="1">
      <alignment horizontal="center" vertical="center"/>
    </xf>
    <xf numFmtId="0" fontId="0" fillId="0" borderId="7" xfId="0" applyBorder="1" applyAlignment="1">
      <alignment horizontal="center" wrapText="1"/>
    </xf>
    <xf numFmtId="0" fontId="2" fillId="2" borderId="7" xfId="0" applyFont="1" applyFill="1" applyBorder="1" applyAlignment="1">
      <alignment horizontal="center" vertical="center" wrapText="1"/>
    </xf>
    <xf numFmtId="0" fontId="39" fillId="0" borderId="7" xfId="0" applyFont="1" applyBorder="1" applyAlignment="1">
      <alignment horizontal="center" vertical="center" wrapText="1"/>
    </xf>
    <xf numFmtId="0" fontId="7" fillId="24" borderId="7" xfId="1" applyFont="1" applyFill="1" applyBorder="1" applyAlignment="1">
      <alignment horizontal="center" vertical="center" wrapText="1"/>
    </xf>
    <xf numFmtId="0" fontId="7" fillId="13" borderId="7" xfId="1" applyFont="1" applyFill="1" applyBorder="1" applyAlignment="1">
      <alignment horizontal="center" vertical="center" wrapText="1"/>
    </xf>
    <xf numFmtId="0" fontId="2" fillId="44" borderId="0" xfId="0" applyFont="1" applyFill="1" applyAlignment="1">
      <alignment horizontal="center" vertical="center" wrapText="1"/>
    </xf>
    <xf numFmtId="0" fontId="0" fillId="21" borderId="0" xfId="0" applyFill="1" applyAlignment="1">
      <alignment horizontal="center" vertical="center" wrapText="1"/>
    </xf>
    <xf numFmtId="0" fontId="0" fillId="21" borderId="31" xfId="0" applyFill="1" applyBorder="1" applyAlignment="1">
      <alignment horizontal="center"/>
    </xf>
    <xf numFmtId="0" fontId="0" fillId="21" borderId="105" xfId="0" applyFill="1" applyBorder="1" applyAlignment="1">
      <alignment horizontal="center"/>
    </xf>
    <xf numFmtId="0" fontId="1" fillId="0" borderId="7" xfId="1" applyFill="1" applyBorder="1" applyAlignment="1">
      <alignment horizontal="center"/>
    </xf>
    <xf numFmtId="0" fontId="2" fillId="17" borderId="61" xfId="0" applyFont="1" applyFill="1" applyBorder="1" applyAlignment="1">
      <alignment horizontal="center" vertical="center"/>
    </xf>
    <xf numFmtId="0" fontId="2" fillId="17" borderId="33" xfId="0" applyFont="1" applyFill="1" applyBorder="1" applyAlignment="1">
      <alignment horizontal="center" vertical="center"/>
    </xf>
    <xf numFmtId="0" fontId="2" fillId="17" borderId="104" xfId="0" applyFont="1" applyFill="1" applyBorder="1" applyAlignment="1">
      <alignment horizontal="center" vertical="center"/>
    </xf>
    <xf numFmtId="0" fontId="0" fillId="0" borderId="26" xfId="0" applyBorder="1" applyAlignment="1">
      <alignment horizontal="center"/>
    </xf>
    <xf numFmtId="0" fontId="0" fillId="0" borderId="19" xfId="0" applyBorder="1" applyAlignment="1">
      <alignment horizontal="center"/>
    </xf>
    <xf numFmtId="0" fontId="1" fillId="0" borderId="19" xfId="1" applyFill="1" applyBorder="1" applyAlignment="1">
      <alignment horizontal="center"/>
    </xf>
    <xf numFmtId="0" fontId="0" fillId="0" borderId="62" xfId="0" applyBorder="1" applyAlignment="1">
      <alignment horizontal="center" vertical="center"/>
    </xf>
    <xf numFmtId="14" fontId="4" fillId="0" borderId="0" xfId="0" applyNumberFormat="1" applyFont="1" applyAlignment="1">
      <alignment horizontal="center" vertical="center"/>
    </xf>
    <xf numFmtId="0" fontId="1" fillId="0" borderId="0" xfId="1" applyFill="1" applyBorder="1" applyAlignment="1">
      <alignment horizontal="center" vertical="center"/>
    </xf>
    <xf numFmtId="0" fontId="0" fillId="0" borderId="33" xfId="0" applyBorder="1" applyAlignment="1">
      <alignment horizontal="center"/>
    </xf>
    <xf numFmtId="0" fontId="2" fillId="17" borderId="33" xfId="0" applyFont="1" applyFill="1" applyBorder="1" applyAlignment="1">
      <alignment horizontal="center" vertical="center" wrapText="1"/>
    </xf>
    <xf numFmtId="0" fontId="1" fillId="0" borderId="0" xfId="1" applyBorder="1" applyAlignment="1">
      <alignment horizontal="center" vertical="center"/>
    </xf>
    <xf numFmtId="0" fontId="0" fillId="0" borderId="0" xfId="2" applyNumberFormat="1" applyFont="1" applyBorder="1" applyAlignment="1">
      <alignment horizontal="center" vertical="center"/>
    </xf>
    <xf numFmtId="0" fontId="1" fillId="7" borderId="0" xfId="1" applyFill="1" applyAlignment="1">
      <alignment horizontal="center" vertical="center"/>
    </xf>
    <xf numFmtId="0" fontId="0" fillId="7" borderId="17" xfId="0" applyFill="1" applyBorder="1" applyAlignment="1">
      <alignment horizontal="center" vertical="center"/>
    </xf>
    <xf numFmtId="0" fontId="0" fillId="7" borderId="33" xfId="0" applyFill="1" applyBorder="1" applyAlignment="1">
      <alignment horizontal="center"/>
    </xf>
    <xf numFmtId="0" fontId="2" fillId="4"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3" fillId="0" borderId="7" xfId="0" applyFont="1" applyBorder="1" applyAlignment="1">
      <alignment horizontal="center" vertical="center" wrapText="1"/>
    </xf>
    <xf numFmtId="9" fontId="1" fillId="0" borderId="0" xfId="1" applyNumberFormat="1" applyAlignment="1">
      <alignment horizontal="center" vertical="center"/>
    </xf>
    <xf numFmtId="0" fontId="4" fillId="7" borderId="0" xfId="0" applyFont="1" applyFill="1" applyAlignment="1">
      <alignment horizontal="center" vertical="center"/>
    </xf>
    <xf numFmtId="0" fontId="0" fillId="0" borderId="107" xfId="0" applyBorder="1" applyAlignment="1">
      <alignment horizontal="center" vertical="center"/>
    </xf>
    <xf numFmtId="0" fontId="0" fillId="0" borderId="47" xfId="0" applyBorder="1" applyAlignment="1">
      <alignment horizontal="center" vertical="center"/>
    </xf>
    <xf numFmtId="0" fontId="0" fillId="0" borderId="108" xfId="0" applyBorder="1" applyAlignment="1">
      <alignment horizontal="center" vertical="center"/>
    </xf>
    <xf numFmtId="0" fontId="0" fillId="0" borderId="109" xfId="0" applyBorder="1" applyAlignment="1">
      <alignment horizontal="center" vertical="center"/>
    </xf>
    <xf numFmtId="9" fontId="0" fillId="0" borderId="0" xfId="2" applyFont="1" applyBorder="1" applyAlignment="1">
      <alignment horizontal="center" vertical="center"/>
    </xf>
    <xf numFmtId="0" fontId="0" fillId="0" borderId="113" xfId="0" applyBorder="1" applyAlignment="1">
      <alignment horizontal="center" vertical="center"/>
    </xf>
    <xf numFmtId="0" fontId="0" fillId="0" borderId="114" xfId="0" applyBorder="1" applyAlignment="1">
      <alignment horizontal="center" vertical="center"/>
    </xf>
    <xf numFmtId="0" fontId="0" fillId="0" borderId="113" xfId="2" applyNumberFormat="1" applyFont="1" applyBorder="1" applyAlignment="1">
      <alignment horizontal="center" vertical="center"/>
    </xf>
    <xf numFmtId="0" fontId="0" fillId="0" borderId="115"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xf numFmtId="0" fontId="0" fillId="0" borderId="119" xfId="0" applyBorder="1" applyAlignment="1">
      <alignment horizontal="center" vertical="center"/>
    </xf>
    <xf numFmtId="0" fontId="0" fillId="0" borderId="120" xfId="0" applyBorder="1" applyAlignment="1">
      <alignment horizontal="center" vertical="center"/>
    </xf>
    <xf numFmtId="0" fontId="0" fillId="0" borderId="121" xfId="0" applyBorder="1" applyAlignment="1">
      <alignment horizontal="center" vertical="center"/>
    </xf>
    <xf numFmtId="0" fontId="0" fillId="0" borderId="122" xfId="0" applyBorder="1" applyAlignment="1">
      <alignment horizontal="center" vertical="center"/>
    </xf>
    <xf numFmtId="0" fontId="0" fillId="0" borderId="123" xfId="0" applyBorder="1" applyAlignment="1">
      <alignment horizontal="center" vertical="center"/>
    </xf>
    <xf numFmtId="0" fontId="1" fillId="0" borderId="123" xfId="1" applyBorder="1" applyAlignment="1">
      <alignment horizontal="center" vertical="center"/>
    </xf>
    <xf numFmtId="0" fontId="0" fillId="0" borderId="124" xfId="0" applyBorder="1" applyAlignment="1">
      <alignment horizontal="center" vertical="center"/>
    </xf>
    <xf numFmtId="0" fontId="0" fillId="0" borderId="106" xfId="0"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0" fontId="0" fillId="0" borderId="127" xfId="0" applyBorder="1" applyAlignment="1">
      <alignment horizontal="center" vertical="center"/>
    </xf>
    <xf numFmtId="0" fontId="0" fillId="0" borderId="128" xfId="0"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0" fontId="0" fillId="0" borderId="108" xfId="0" applyBorder="1" applyAlignment="1">
      <alignment horizontal="center" vertical="center" wrapText="1"/>
    </xf>
    <xf numFmtId="0" fontId="2" fillId="0" borderId="68" xfId="0" applyFont="1" applyBorder="1" applyAlignment="1">
      <alignment horizontal="center" vertical="center"/>
    </xf>
    <xf numFmtId="0" fontId="2" fillId="0" borderId="131" xfId="0" applyFont="1" applyBorder="1" applyAlignment="1">
      <alignment horizontal="center" vertical="center"/>
    </xf>
    <xf numFmtId="0" fontId="2" fillId="0" borderId="132" xfId="0" applyFont="1" applyBorder="1" applyAlignment="1">
      <alignment horizontal="center" vertical="center"/>
    </xf>
    <xf numFmtId="0" fontId="2" fillId="0" borderId="133" xfId="0" applyFont="1" applyBorder="1" applyAlignment="1">
      <alignment horizontal="center" vertical="center"/>
    </xf>
    <xf numFmtId="0" fontId="2" fillId="0" borderId="134" xfId="0" applyFont="1" applyBorder="1" applyAlignment="1">
      <alignment horizontal="center" vertical="center"/>
    </xf>
    <xf numFmtId="0" fontId="2" fillId="0" borderId="135" xfId="0" applyFont="1" applyBorder="1" applyAlignment="1">
      <alignment horizontal="center" vertical="center"/>
    </xf>
    <xf numFmtId="0" fontId="0" fillId="0" borderId="136" xfId="0" applyBorder="1" applyAlignment="1">
      <alignment horizontal="center" vertical="center"/>
    </xf>
    <xf numFmtId="0" fontId="0" fillId="0" borderId="137" xfId="0" applyBorder="1" applyAlignment="1">
      <alignment horizontal="center" vertical="center"/>
    </xf>
    <xf numFmtId="0" fontId="2" fillId="0" borderId="141" xfId="0" applyFont="1" applyBorder="1" applyAlignment="1">
      <alignment horizontal="center" vertical="center"/>
    </xf>
    <xf numFmtId="0" fontId="2" fillId="0" borderId="142" xfId="0" applyFont="1" applyBorder="1" applyAlignment="1">
      <alignment horizontal="center" vertical="center"/>
    </xf>
    <xf numFmtId="0" fontId="2" fillId="0" borderId="143" xfId="0" applyFont="1" applyBorder="1" applyAlignment="1">
      <alignment horizontal="center" vertical="center"/>
    </xf>
    <xf numFmtId="0" fontId="0" fillId="0" borderId="144" xfId="0" applyBorder="1" applyAlignment="1">
      <alignment horizontal="center" vertical="center"/>
    </xf>
    <xf numFmtId="0" fontId="0" fillId="0" borderId="145" xfId="0" applyBorder="1" applyAlignment="1">
      <alignment horizontal="center" vertical="center"/>
    </xf>
    <xf numFmtId="0" fontId="0" fillId="0" borderId="146" xfId="0" applyBorder="1" applyAlignment="1">
      <alignment horizontal="center" vertical="center"/>
    </xf>
    <xf numFmtId="0" fontId="2" fillId="0" borderId="147" xfId="0" applyFont="1" applyBorder="1" applyAlignment="1">
      <alignment horizontal="center" vertical="center"/>
    </xf>
    <xf numFmtId="0" fontId="2" fillId="0" borderId="148" xfId="0" applyFont="1" applyBorder="1" applyAlignment="1">
      <alignment horizontal="center" vertical="center"/>
    </xf>
    <xf numFmtId="0" fontId="2" fillId="0" borderId="149" xfId="0" applyFont="1" applyBorder="1" applyAlignment="1">
      <alignment horizontal="center" vertical="center"/>
    </xf>
    <xf numFmtId="0" fontId="0" fillId="0" borderId="150" xfId="0" applyBorder="1" applyAlignment="1">
      <alignment horizontal="center" vertical="center"/>
    </xf>
    <xf numFmtId="0" fontId="0" fillId="0" borderId="151" xfId="0" applyBorder="1" applyAlignment="1">
      <alignment horizontal="center" vertical="center"/>
    </xf>
    <xf numFmtId="0" fontId="2" fillId="0" borderId="152" xfId="0" applyFont="1" applyBorder="1" applyAlignment="1">
      <alignment horizontal="center" vertical="center"/>
    </xf>
    <xf numFmtId="0" fontId="2" fillId="0" borderId="153" xfId="0" applyFont="1" applyBorder="1" applyAlignment="1">
      <alignment horizontal="center" vertical="center"/>
    </xf>
    <xf numFmtId="0" fontId="2" fillId="0" borderId="154" xfId="0" applyFont="1" applyBorder="1" applyAlignment="1">
      <alignment horizontal="center" vertical="center"/>
    </xf>
    <xf numFmtId="0" fontId="0" fillId="0" borderId="155" xfId="0" applyBorder="1" applyAlignment="1">
      <alignment horizontal="center" vertical="center"/>
    </xf>
    <xf numFmtId="0" fontId="0" fillId="0" borderId="156" xfId="0" applyBorder="1" applyAlignment="1">
      <alignment horizontal="center" vertical="center"/>
    </xf>
    <xf numFmtId="0" fontId="0" fillId="0" borderId="157" xfId="0"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2" fillId="0" borderId="160" xfId="0" applyFont="1" applyBorder="1" applyAlignment="1">
      <alignment horizontal="center" vertical="center"/>
    </xf>
    <xf numFmtId="0" fontId="2" fillId="0" borderId="161" xfId="0" applyFont="1" applyBorder="1" applyAlignment="1">
      <alignment horizontal="center" vertical="center"/>
    </xf>
    <xf numFmtId="0" fontId="2" fillId="0" borderId="162" xfId="0" applyFont="1" applyBorder="1" applyAlignment="1">
      <alignment horizontal="center" vertical="center"/>
    </xf>
    <xf numFmtId="0" fontId="2" fillId="0" borderId="94" xfId="0" applyFont="1" applyBorder="1" applyAlignment="1">
      <alignment horizontal="center" vertical="center"/>
    </xf>
    <xf numFmtId="0" fontId="2" fillId="0" borderId="163" xfId="0" applyFont="1" applyBorder="1" applyAlignment="1">
      <alignment horizontal="center" vertical="center"/>
    </xf>
    <xf numFmtId="0" fontId="2" fillId="0" borderId="99" xfId="0" applyFont="1" applyBorder="1" applyAlignment="1">
      <alignment horizontal="center" vertical="center"/>
    </xf>
    <xf numFmtId="49" fontId="0" fillId="0" borderId="0" xfId="0" applyNumberFormat="1"/>
    <xf numFmtId="49" fontId="0" fillId="0" borderId="0" xfId="2" applyNumberFormat="1" applyFont="1"/>
    <xf numFmtId="49" fontId="0" fillId="0" borderId="0" xfId="2"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wrapText="1"/>
    </xf>
    <xf numFmtId="0" fontId="0" fillId="0" borderId="83" xfId="0" applyBorder="1" applyAlignment="1">
      <alignment horizontal="center"/>
    </xf>
    <xf numFmtId="0" fontId="2" fillId="0" borderId="113" xfId="0" applyFont="1" applyBorder="1" applyAlignment="1">
      <alignment horizontal="center" vertical="center"/>
    </xf>
    <xf numFmtId="0" fontId="2" fillId="0" borderId="114" xfId="0" applyFont="1" applyBorder="1" applyAlignment="1">
      <alignment horizontal="center" vertical="center"/>
    </xf>
    <xf numFmtId="0" fontId="1" fillId="0" borderId="129" xfId="1" applyBorder="1" applyAlignment="1">
      <alignment horizontal="center" vertical="center"/>
    </xf>
    <xf numFmtId="0" fontId="0" fillId="0" borderId="129" xfId="0" applyBorder="1" applyAlignment="1">
      <alignment horizontal="center"/>
    </xf>
    <xf numFmtId="0" fontId="2" fillId="0" borderId="167" xfId="0" applyFont="1" applyBorder="1" applyAlignment="1">
      <alignment horizontal="center" vertical="center"/>
    </xf>
    <xf numFmtId="0" fontId="2" fillId="0" borderId="168" xfId="0" applyFont="1" applyBorder="1" applyAlignment="1">
      <alignment horizontal="center" vertical="center"/>
    </xf>
    <xf numFmtId="0" fontId="0" fillId="0" borderId="167" xfId="0" applyBorder="1" applyAlignment="1">
      <alignment horizontal="center" vertical="center"/>
    </xf>
    <xf numFmtId="0" fontId="0" fillId="0" borderId="168" xfId="0" applyBorder="1" applyAlignment="1">
      <alignment horizontal="center" vertical="center"/>
    </xf>
    <xf numFmtId="0" fontId="0" fillId="0" borderId="169" xfId="0" applyBorder="1" applyAlignment="1">
      <alignment horizontal="center" vertical="center"/>
    </xf>
    <xf numFmtId="0" fontId="0" fillId="0" borderId="170" xfId="0" applyBorder="1" applyAlignment="1">
      <alignment horizontal="center" vertical="center"/>
    </xf>
    <xf numFmtId="0" fontId="1" fillId="0" borderId="170" xfId="1" applyBorder="1" applyAlignment="1">
      <alignment horizontal="center" vertical="center"/>
    </xf>
    <xf numFmtId="0" fontId="0" fillId="0" borderId="170" xfId="0" applyBorder="1" applyAlignment="1">
      <alignment horizontal="center"/>
    </xf>
    <xf numFmtId="0" fontId="0" fillId="0" borderId="171" xfId="0" applyBorder="1" applyAlignment="1">
      <alignment horizontal="center" vertical="center"/>
    </xf>
    <xf numFmtId="0" fontId="2" fillId="0" borderId="115" xfId="0" applyFont="1" applyBorder="1" applyAlignment="1">
      <alignment horizontal="center" vertical="center"/>
    </xf>
    <xf numFmtId="0" fontId="2" fillId="0" borderId="116" xfId="0" applyFont="1" applyBorder="1" applyAlignment="1">
      <alignment horizontal="center" vertical="center"/>
    </xf>
    <xf numFmtId="0" fontId="0" fillId="0" borderId="123" xfId="0" applyBorder="1" applyAlignment="1">
      <alignment horizontal="center"/>
    </xf>
    <xf numFmtId="0" fontId="0" fillId="0" borderId="178" xfId="0" applyBorder="1" applyAlignment="1">
      <alignment horizontal="center" vertical="center"/>
    </xf>
    <xf numFmtId="0" fontId="0" fillId="0" borderId="179" xfId="0" applyBorder="1" applyAlignment="1">
      <alignment horizontal="center" vertical="center"/>
    </xf>
    <xf numFmtId="9" fontId="1" fillId="0" borderId="0" xfId="1" applyNumberFormat="1" applyBorder="1" applyAlignment="1">
      <alignment horizontal="center" vertical="center"/>
    </xf>
    <xf numFmtId="0" fontId="0" fillId="0" borderId="186" xfId="0" applyBorder="1" applyAlignment="1">
      <alignment horizontal="center" vertical="center"/>
    </xf>
    <xf numFmtId="0" fontId="0" fillId="0" borderId="187" xfId="0" applyBorder="1" applyAlignment="1">
      <alignment horizontal="center" vertical="center"/>
    </xf>
    <xf numFmtId="0" fontId="0" fillId="0" borderId="188" xfId="0" applyBorder="1" applyAlignment="1">
      <alignment horizontal="center" vertical="center"/>
    </xf>
    <xf numFmtId="0" fontId="0" fillId="0" borderId="189" xfId="0" applyBorder="1" applyAlignment="1">
      <alignment horizontal="center" vertical="center"/>
    </xf>
    <xf numFmtId="0" fontId="1" fillId="0" borderId="189" xfId="1" applyBorder="1" applyAlignment="1">
      <alignment horizontal="center" vertical="center"/>
    </xf>
    <xf numFmtId="0" fontId="0" fillId="0" borderId="189" xfId="0" applyBorder="1" applyAlignment="1">
      <alignment horizontal="center"/>
    </xf>
    <xf numFmtId="0" fontId="0" fillId="0" borderId="190" xfId="0" applyBorder="1" applyAlignment="1">
      <alignment horizontal="center" vertical="center"/>
    </xf>
    <xf numFmtId="0" fontId="2" fillId="0" borderId="194" xfId="0" applyFont="1" applyBorder="1" applyAlignment="1">
      <alignment horizontal="center" vertical="center"/>
    </xf>
    <xf numFmtId="0" fontId="2" fillId="0" borderId="195" xfId="0" applyFont="1" applyBorder="1" applyAlignment="1">
      <alignment horizontal="center" vertical="center"/>
    </xf>
    <xf numFmtId="0" fontId="0" fillId="0" borderId="194" xfId="0" applyBorder="1" applyAlignment="1">
      <alignment horizontal="center" vertical="center"/>
    </xf>
    <xf numFmtId="0" fontId="0" fillId="0" borderId="195" xfId="0" applyBorder="1" applyAlignment="1">
      <alignment horizontal="center" vertical="center"/>
    </xf>
    <xf numFmtId="0" fontId="2" fillId="3" borderId="7" xfId="0" applyFont="1" applyFill="1" applyBorder="1" applyAlignment="1">
      <alignment horizontal="center"/>
    </xf>
    <xf numFmtId="0" fontId="2" fillId="3" borderId="7"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6" xfId="0" applyBorder="1" applyAlignment="1">
      <alignment horizontal="center" vertical="center"/>
    </xf>
    <xf numFmtId="0" fontId="2" fillId="18" borderId="19" xfId="0" applyFont="1" applyFill="1" applyBorder="1" applyAlignment="1">
      <alignment horizontal="center" vertical="center" wrapText="1"/>
    </xf>
    <xf numFmtId="0" fontId="2" fillId="18" borderId="7" xfId="0" applyFont="1" applyFill="1" applyBorder="1" applyAlignment="1">
      <alignment horizontal="center" vertical="center" wrapText="1"/>
    </xf>
    <xf numFmtId="0" fontId="0" fillId="7" borderId="19" xfId="0" applyFill="1" applyBorder="1" applyAlignment="1">
      <alignment horizontal="center" vertical="center" wrapText="1"/>
    </xf>
    <xf numFmtId="0" fontId="2" fillId="0" borderId="7" xfId="0" applyFont="1" applyBorder="1" applyAlignment="1">
      <alignment horizontal="center" vertical="center"/>
    </xf>
    <xf numFmtId="0" fontId="55" fillId="46" borderId="0" xfId="4"/>
    <xf numFmtId="0" fontId="0" fillId="13" borderId="7" xfId="0" applyFill="1" applyBorder="1" applyAlignment="1">
      <alignment horizontal="center" vertical="center"/>
    </xf>
    <xf numFmtId="0" fontId="55" fillId="0" borderId="0" xfId="4" applyFill="1"/>
    <xf numFmtId="0" fontId="57" fillId="0" borderId="7" xfId="0" applyFont="1" applyBorder="1"/>
    <xf numFmtId="0" fontId="1" fillId="0" borderId="7" xfId="1" applyBorder="1"/>
    <xf numFmtId="0" fontId="1" fillId="0" borderId="7" xfId="1" applyFill="1" applyBorder="1"/>
    <xf numFmtId="14" fontId="56" fillId="15" borderId="0" xfId="0" applyNumberFormat="1" applyFont="1" applyFill="1" applyAlignment="1">
      <alignment horizontal="center" vertical="center"/>
    </xf>
    <xf numFmtId="0" fontId="56" fillId="15" borderId="0" xfId="0" applyFont="1" applyFill="1" applyAlignment="1">
      <alignment horizontal="center" vertical="center" wrapText="1"/>
    </xf>
    <xf numFmtId="0" fontId="2" fillId="48" borderId="7" xfId="0" applyFont="1" applyFill="1" applyBorder="1" applyAlignment="1">
      <alignment horizontal="center"/>
    </xf>
    <xf numFmtId="0" fontId="0" fillId="0" borderId="7" xfId="0" applyBorder="1"/>
    <xf numFmtId="0" fontId="0" fillId="0" borderId="7" xfId="0" applyBorder="1" applyAlignment="1">
      <alignment horizontal="left"/>
    </xf>
    <xf numFmtId="0" fontId="0" fillId="49" borderId="7" xfId="0" applyFill="1" applyBorder="1"/>
    <xf numFmtId="0" fontId="0" fillId="49" borderId="7" xfId="0" applyFill="1" applyBorder="1" applyAlignment="1">
      <alignment horizontal="left"/>
    </xf>
    <xf numFmtId="0" fontId="1" fillId="49" borderId="7" xfId="1" applyFill="1" applyBorder="1"/>
    <xf numFmtId="0" fontId="2" fillId="13" borderId="7" xfId="0" applyFont="1" applyFill="1" applyBorder="1" applyAlignment="1">
      <alignment horizontal="center"/>
    </xf>
    <xf numFmtId="0" fontId="58" fillId="13" borderId="8" xfId="0" applyFont="1" applyFill="1" applyBorder="1" applyAlignment="1">
      <alignment horizontal="center"/>
    </xf>
    <xf numFmtId="0" fontId="59" fillId="0" borderId="11" xfId="0" applyFont="1" applyBorder="1" applyAlignment="1">
      <alignment horizontal="center" vertical="center"/>
    </xf>
    <xf numFmtId="0" fontId="59" fillId="0" borderId="13" xfId="0" applyFont="1" applyBorder="1" applyAlignment="1">
      <alignment horizontal="center" vertical="center"/>
    </xf>
    <xf numFmtId="0" fontId="60" fillId="20" borderId="7" xfId="0" applyFont="1" applyFill="1" applyBorder="1" applyAlignment="1">
      <alignment horizontal="center" vertical="center"/>
    </xf>
    <xf numFmtId="0" fontId="60" fillId="25" borderId="7" xfId="0" applyFont="1" applyFill="1" applyBorder="1" applyAlignment="1">
      <alignment horizontal="left" vertical="center"/>
    </xf>
    <xf numFmtId="0" fontId="61" fillId="0" borderId="17" xfId="0" applyFont="1" applyBorder="1" applyAlignment="1">
      <alignment horizontal="left" vertical="center"/>
    </xf>
    <xf numFmtId="0" fontId="1" fillId="0" borderId="7" xfId="1" applyBorder="1" applyAlignment="1">
      <alignment horizontal="left" vertical="center" wrapText="1"/>
    </xf>
    <xf numFmtId="0" fontId="62" fillId="25" borderId="0" xfId="0" applyFont="1" applyFill="1"/>
    <xf numFmtId="0" fontId="62" fillId="0" borderId="0" xfId="0" applyFont="1"/>
    <xf numFmtId="0" fontId="61" fillId="25" borderId="7" xfId="0" applyFont="1" applyFill="1" applyBorder="1" applyAlignment="1">
      <alignment horizontal="left" vertical="center"/>
    </xf>
    <xf numFmtId="0" fontId="61" fillId="25" borderId="17" xfId="0" applyFont="1" applyFill="1" applyBorder="1" applyAlignment="1">
      <alignment horizontal="left" vertical="center"/>
    </xf>
    <xf numFmtId="0" fontId="60" fillId="25" borderId="19" xfId="0" applyFont="1" applyFill="1" applyBorder="1" applyAlignment="1">
      <alignment horizontal="center" vertical="center" wrapText="1"/>
    </xf>
    <xf numFmtId="0" fontId="1" fillId="25" borderId="7" xfId="1" applyFill="1" applyBorder="1" applyAlignment="1">
      <alignment horizontal="left" vertical="center" wrapText="1"/>
    </xf>
    <xf numFmtId="0" fontId="60" fillId="44" borderId="7" xfId="0" applyFont="1" applyFill="1" applyBorder="1" applyAlignment="1">
      <alignment horizontal="center"/>
    </xf>
    <xf numFmtId="0" fontId="60" fillId="0" borderId="7" xfId="0" applyFont="1" applyBorder="1" applyAlignment="1">
      <alignment horizontal="left"/>
    </xf>
    <xf numFmtId="0" fontId="60" fillId="0" borderId="7" xfId="0" applyFont="1" applyBorder="1" applyAlignment="1">
      <alignment horizontal="left" vertical="center"/>
    </xf>
    <xf numFmtId="0" fontId="1" fillId="0" borderId="7" xfId="1" applyBorder="1" applyAlignment="1">
      <alignment horizontal="left"/>
    </xf>
    <xf numFmtId="0" fontId="60" fillId="20" borderId="17" xfId="0" applyFont="1" applyFill="1" applyBorder="1" applyAlignment="1">
      <alignment horizontal="center" vertical="center"/>
    </xf>
    <xf numFmtId="0" fontId="62" fillId="25" borderId="0" xfId="0" applyFont="1" applyFill="1" applyAlignment="1">
      <alignment horizontal="left"/>
    </xf>
    <xf numFmtId="0" fontId="62" fillId="0" borderId="0" xfId="0" applyFont="1" applyAlignment="1">
      <alignment horizontal="left"/>
    </xf>
    <xf numFmtId="0" fontId="60" fillId="28" borderId="7" xfId="0" applyFont="1" applyFill="1" applyBorder="1" applyAlignment="1">
      <alignment horizontal="justify" vertical="center"/>
    </xf>
    <xf numFmtId="0" fontId="61" fillId="25" borderId="7" xfId="0" applyFont="1" applyFill="1" applyBorder="1" applyAlignment="1">
      <alignment horizontal="left"/>
    </xf>
    <xf numFmtId="0" fontId="61" fillId="0" borderId="17" xfId="0" applyFont="1" applyBorder="1" applyAlignment="1">
      <alignment horizontal="center"/>
    </xf>
    <xf numFmtId="0" fontId="63" fillId="0" borderId="7" xfId="0" applyFont="1" applyBorder="1" applyAlignment="1">
      <alignment horizontal="left"/>
    </xf>
    <xf numFmtId="0" fontId="60" fillId="44" borderId="7" xfId="0" applyFont="1" applyFill="1" applyBorder="1" applyAlignment="1">
      <alignment vertical="center"/>
    </xf>
    <xf numFmtId="0" fontId="64" fillId="0" borderId="7" xfId="1" applyFont="1" applyBorder="1" applyAlignment="1">
      <alignment horizontal="left" wrapText="1"/>
    </xf>
    <xf numFmtId="0" fontId="60" fillId="0" borderId="7" xfId="0" applyFont="1" applyBorder="1" applyAlignment="1">
      <alignment vertical="center"/>
    </xf>
    <xf numFmtId="0" fontId="64" fillId="0" borderId="7" xfId="1" applyFont="1" applyBorder="1" applyAlignment="1">
      <alignment horizontal="left" vertical="center" wrapText="1"/>
    </xf>
    <xf numFmtId="0" fontId="60" fillId="28" borderId="7" xfId="0" applyFont="1" applyFill="1" applyBorder="1"/>
    <xf numFmtId="0" fontId="63" fillId="0" borderId="7" xfId="0" applyFont="1" applyBorder="1" applyAlignment="1">
      <alignment horizontal="left" vertical="center"/>
    </xf>
    <xf numFmtId="0" fontId="65" fillId="25" borderId="0" xfId="0" applyFont="1" applyFill="1"/>
    <xf numFmtId="0" fontId="65" fillId="0" borderId="0" xfId="0" applyFont="1"/>
    <xf numFmtId="0" fontId="1" fillId="0" borderId="7" xfId="1" applyBorder="1" applyAlignment="1">
      <alignment horizontal="left" vertical="center"/>
    </xf>
    <xf numFmtId="0" fontId="62" fillId="0" borderId="0" xfId="0" applyFont="1" applyAlignment="1">
      <alignment horizontal="left" vertical="center"/>
    </xf>
    <xf numFmtId="0" fontId="62" fillId="0" borderId="7" xfId="0" applyFont="1" applyBorder="1" applyAlignment="1">
      <alignment horizontal="left" vertical="center"/>
    </xf>
    <xf numFmtId="0" fontId="60" fillId="25" borderId="105" xfId="0" applyFont="1" applyFill="1" applyBorder="1"/>
    <xf numFmtId="0" fontId="62" fillId="0" borderId="17" xfId="0" applyFont="1" applyBorder="1" applyAlignment="1">
      <alignment horizontal="left" vertical="center"/>
    </xf>
    <xf numFmtId="0" fontId="61" fillId="25" borderId="7" xfId="0" applyFont="1" applyFill="1" applyBorder="1" applyAlignment="1">
      <alignment horizontal="left" vertical="center" wrapText="1"/>
    </xf>
    <xf numFmtId="0" fontId="60" fillId="28" borderId="7" xfId="0" applyFont="1" applyFill="1" applyBorder="1" applyAlignment="1">
      <alignment vertical="center"/>
    </xf>
    <xf numFmtId="0" fontId="61" fillId="0" borderId="7" xfId="0" applyFont="1" applyBorder="1" applyAlignment="1">
      <alignment horizontal="left" vertical="center"/>
    </xf>
    <xf numFmtId="0" fontId="60" fillId="25" borderId="7" xfId="0" applyFont="1" applyFill="1" applyBorder="1" applyAlignment="1">
      <alignment vertical="center"/>
    </xf>
    <xf numFmtId="0" fontId="60" fillId="44" borderId="19" xfId="0" applyFont="1" applyFill="1" applyBorder="1" applyAlignment="1">
      <alignment vertical="center"/>
    </xf>
    <xf numFmtId="0" fontId="66" fillId="0" borderId="7" xfId="1" applyFont="1" applyBorder="1" applyAlignment="1">
      <alignment horizontal="left" vertical="center"/>
    </xf>
    <xf numFmtId="0" fontId="64" fillId="0" borderId="7" xfId="1" applyFont="1" applyBorder="1" applyAlignment="1">
      <alignment horizontal="left" vertical="center"/>
    </xf>
    <xf numFmtId="0" fontId="67" fillId="0" borderId="7" xfId="0" applyFont="1" applyBorder="1" applyAlignment="1">
      <alignment horizontal="left" vertical="center"/>
    </xf>
    <xf numFmtId="0" fontId="60" fillId="0" borderId="7" xfId="0" applyFont="1" applyBorder="1"/>
    <xf numFmtId="0" fontId="64" fillId="25" borderId="7" xfId="1" applyFont="1" applyFill="1" applyBorder="1" applyAlignment="1">
      <alignment horizontal="left" vertical="center" wrapText="1"/>
    </xf>
    <xf numFmtId="0" fontId="68" fillId="0" borderId="7" xfId="1" applyFont="1" applyBorder="1" applyAlignment="1">
      <alignment horizontal="left" vertical="center" wrapText="1"/>
    </xf>
    <xf numFmtId="0" fontId="68" fillId="25" borderId="7" xfId="1" applyFont="1" applyFill="1" applyBorder="1" applyAlignment="1">
      <alignment horizontal="left" vertical="center" wrapText="1"/>
    </xf>
    <xf numFmtId="0" fontId="67" fillId="25" borderId="7" xfId="0" applyFont="1" applyFill="1" applyBorder="1" applyAlignment="1">
      <alignment horizontal="left" vertical="center"/>
    </xf>
    <xf numFmtId="0" fontId="69" fillId="25" borderId="7" xfId="0" applyFont="1" applyFill="1" applyBorder="1" applyAlignment="1">
      <alignment horizontal="left" vertical="center"/>
    </xf>
    <xf numFmtId="0" fontId="60" fillId="0" borderId="33" xfId="0" applyFont="1" applyBorder="1"/>
    <xf numFmtId="0" fontId="67" fillId="0" borderId="17" xfId="0" applyFont="1" applyBorder="1" applyAlignment="1">
      <alignment horizontal="left" vertical="center"/>
    </xf>
    <xf numFmtId="0" fontId="62" fillId="0" borderId="0" xfId="0" applyFont="1" applyAlignment="1">
      <alignment horizontal="center"/>
    </xf>
    <xf numFmtId="0" fontId="2" fillId="50" borderId="7" xfId="0" applyFont="1" applyFill="1" applyBorder="1" applyAlignment="1">
      <alignment horizontal="center" vertical="center"/>
    </xf>
    <xf numFmtId="0" fontId="2" fillId="8" borderId="7" xfId="0" applyFont="1" applyFill="1" applyBorder="1" applyAlignment="1">
      <alignment horizontal="center" vertical="center"/>
    </xf>
    <xf numFmtId="49" fontId="2" fillId="13" borderId="19" xfId="0" applyNumberFormat="1" applyFont="1" applyFill="1" applyBorder="1" applyAlignment="1">
      <alignment horizontal="center" vertical="center" wrapText="1"/>
    </xf>
    <xf numFmtId="49" fontId="0" fillId="0" borderId="172" xfId="0" applyNumberFormat="1" applyBorder="1" applyAlignment="1">
      <alignment horizontal="center" vertical="center"/>
    </xf>
    <xf numFmtId="49" fontId="0" fillId="0" borderId="173" xfId="0" applyNumberFormat="1" applyBorder="1" applyAlignment="1">
      <alignment horizontal="center" vertical="center"/>
    </xf>
    <xf numFmtId="49" fontId="0" fillId="0" borderId="174" xfId="0" applyNumberFormat="1" applyBorder="1" applyAlignment="1">
      <alignment horizontal="center" vertical="center"/>
    </xf>
    <xf numFmtId="49" fontId="0" fillId="0" borderId="115" xfId="0" applyNumberFormat="1" applyBorder="1" applyAlignment="1">
      <alignment horizontal="center" vertical="center"/>
    </xf>
    <xf numFmtId="49" fontId="0" fillId="0" borderId="116" xfId="0" applyNumberFormat="1" applyBorder="1" applyAlignment="1">
      <alignment horizontal="center" vertical="center"/>
    </xf>
    <xf numFmtId="49" fontId="2" fillId="45" borderId="19" xfId="0" applyNumberFormat="1" applyFont="1" applyFill="1" applyBorder="1" applyAlignment="1">
      <alignment horizontal="center" vertical="center" wrapText="1"/>
    </xf>
    <xf numFmtId="49" fontId="0" fillId="0" borderId="156" xfId="0" applyNumberFormat="1" applyBorder="1" applyAlignment="1">
      <alignment horizontal="center" vertical="center"/>
    </xf>
    <xf numFmtId="49" fontId="0" fillId="0" borderId="158" xfId="0" applyNumberFormat="1" applyBorder="1" applyAlignment="1">
      <alignment horizontal="center" vertical="center"/>
    </xf>
    <xf numFmtId="49" fontId="0" fillId="0" borderId="159" xfId="0" applyNumberFormat="1" applyBorder="1" applyAlignment="1">
      <alignment horizontal="center" vertical="center"/>
    </xf>
    <xf numFmtId="49" fontId="2" fillId="7" borderId="19" xfId="0" applyNumberFormat="1" applyFont="1" applyFill="1" applyBorder="1" applyAlignment="1">
      <alignment horizontal="center" vertical="center" wrapText="1"/>
    </xf>
    <xf numFmtId="49" fontId="0" fillId="0" borderId="206" xfId="0" applyNumberFormat="1" applyBorder="1" applyAlignment="1">
      <alignment horizontal="center" vertical="center"/>
    </xf>
    <xf numFmtId="49" fontId="0" fillId="0" borderId="119" xfId="0" applyNumberFormat="1" applyBorder="1" applyAlignment="1">
      <alignment horizontal="center" vertical="center"/>
    </xf>
    <xf numFmtId="49" fontId="0" fillId="0" borderId="120" xfId="0" applyNumberFormat="1" applyBorder="1" applyAlignment="1">
      <alignment horizontal="center" vertical="center"/>
    </xf>
    <xf numFmtId="49" fontId="0" fillId="0" borderId="209" xfId="0" applyNumberFormat="1" applyBorder="1" applyAlignment="1">
      <alignment horizontal="center" vertical="center"/>
    </xf>
    <xf numFmtId="49" fontId="0" fillId="0" borderId="150" xfId="0" applyNumberFormat="1" applyBorder="1" applyAlignment="1">
      <alignment horizontal="center" vertical="center"/>
    </xf>
    <xf numFmtId="49" fontId="0" fillId="0" borderId="151" xfId="0" applyNumberFormat="1" applyBorder="1" applyAlignment="1">
      <alignment horizontal="center" vertical="center"/>
    </xf>
    <xf numFmtId="49" fontId="2" fillId="17" borderId="19" xfId="0" applyNumberFormat="1" applyFont="1" applyFill="1" applyBorder="1" applyAlignment="1">
      <alignment horizontal="center" vertical="center" wrapText="1"/>
    </xf>
    <xf numFmtId="49" fontId="2" fillId="4" borderId="19" xfId="0" applyNumberFormat="1" applyFont="1" applyFill="1" applyBorder="1" applyAlignment="1">
      <alignment horizontal="center" vertical="center" wrapText="1"/>
    </xf>
    <xf numFmtId="49" fontId="0" fillId="0" borderId="212" xfId="0" applyNumberFormat="1" applyBorder="1" applyAlignment="1">
      <alignment horizontal="center" vertical="center"/>
    </xf>
    <xf numFmtId="49" fontId="0" fillId="0" borderId="213" xfId="0" applyNumberFormat="1" applyBorder="1" applyAlignment="1">
      <alignment horizontal="center" vertical="center"/>
    </xf>
    <xf numFmtId="49" fontId="0" fillId="0" borderId="136" xfId="0" applyNumberFormat="1" applyBorder="1" applyAlignment="1">
      <alignment horizontal="center" vertical="center"/>
    </xf>
    <xf numFmtId="49" fontId="2" fillId="18" borderId="19" xfId="0" applyNumberFormat="1" applyFont="1" applyFill="1" applyBorder="1" applyAlignment="1">
      <alignment horizontal="center" vertical="center" wrapText="1"/>
    </xf>
    <xf numFmtId="49" fontId="50" fillId="18" borderId="19" xfId="0" applyNumberFormat="1" applyFont="1" applyFill="1" applyBorder="1" applyAlignment="1">
      <alignment horizontal="center" vertical="center" wrapText="1"/>
    </xf>
    <xf numFmtId="49" fontId="0" fillId="0" borderId="113" xfId="2" applyNumberFormat="1" applyFont="1" applyBorder="1" applyAlignment="1">
      <alignment horizontal="center" vertical="center"/>
    </xf>
    <xf numFmtId="49" fontId="0" fillId="0" borderId="0" xfId="2" applyNumberFormat="1" applyFont="1" applyBorder="1" applyAlignment="1">
      <alignment horizontal="center" vertical="center"/>
    </xf>
    <xf numFmtId="49" fontId="0" fillId="0" borderId="114" xfId="0" applyNumberFormat="1" applyBorder="1" applyAlignment="1">
      <alignment horizontal="center" vertical="center"/>
    </xf>
    <xf numFmtId="49" fontId="2" fillId="15" borderId="19" xfId="0" applyNumberFormat="1" applyFont="1" applyFill="1" applyBorder="1" applyAlignment="1">
      <alignment horizontal="center" vertical="center" wrapText="1"/>
    </xf>
    <xf numFmtId="49" fontId="0" fillId="0" borderId="106" xfId="0" applyNumberFormat="1" applyBorder="1" applyAlignment="1">
      <alignment horizontal="center" vertical="center"/>
    </xf>
    <xf numFmtId="49" fontId="0" fillId="0" borderId="107" xfId="0" applyNumberFormat="1" applyBorder="1" applyAlignment="1">
      <alignment horizontal="center" vertical="center"/>
    </xf>
    <xf numFmtId="49" fontId="0" fillId="0" borderId="47" xfId="0" applyNumberFormat="1" applyBorder="1" applyAlignment="1">
      <alignment horizontal="center" vertical="center"/>
    </xf>
    <xf numFmtId="49" fontId="0" fillId="0" borderId="108" xfId="0" applyNumberFormat="1" applyBorder="1" applyAlignment="1">
      <alignment horizontal="center" vertical="center"/>
    </xf>
    <xf numFmtId="49" fontId="0" fillId="0" borderId="109" xfId="0" applyNumberFormat="1" applyBorder="1" applyAlignment="1">
      <alignment horizontal="center" vertical="center"/>
    </xf>
    <xf numFmtId="49" fontId="0" fillId="0" borderId="125" xfId="0" applyNumberFormat="1" applyBorder="1" applyAlignment="1">
      <alignment horizontal="center" vertical="center"/>
    </xf>
    <xf numFmtId="49" fontId="0" fillId="0" borderId="126" xfId="0" applyNumberFormat="1" applyBorder="1" applyAlignment="1">
      <alignment horizontal="center" vertical="center"/>
    </xf>
    <xf numFmtId="49" fontId="0" fillId="0" borderId="127" xfId="0" applyNumberFormat="1" applyBorder="1" applyAlignment="1">
      <alignment horizontal="center" vertical="center"/>
    </xf>
    <xf numFmtId="0" fontId="0" fillId="0" borderId="206" xfId="0" applyBorder="1" applyAlignment="1">
      <alignment horizontal="center" vertical="center"/>
    </xf>
    <xf numFmtId="0" fontId="0" fillId="0" borderId="207" xfId="0" applyBorder="1" applyAlignment="1">
      <alignment horizontal="center" vertical="center"/>
    </xf>
    <xf numFmtId="0" fontId="0" fillId="0" borderId="208" xfId="0" applyBorder="1" applyAlignment="1">
      <alignment horizontal="center" vertical="center"/>
    </xf>
    <xf numFmtId="0" fontId="0" fillId="0" borderId="209" xfId="0" applyBorder="1" applyAlignment="1">
      <alignment horizontal="center" vertical="center"/>
    </xf>
    <xf numFmtId="0" fontId="0" fillId="24" borderId="136" xfId="0" applyFill="1" applyBorder="1" applyAlignment="1">
      <alignment horizontal="center" vertical="center"/>
    </xf>
    <xf numFmtId="0" fontId="0" fillId="24" borderId="137" xfId="0" applyFill="1" applyBorder="1" applyAlignment="1">
      <alignment horizontal="center" vertical="center"/>
    </xf>
    <xf numFmtId="49" fontId="0" fillId="24" borderId="136" xfId="0" applyNumberFormat="1" applyFill="1" applyBorder="1" applyAlignment="1">
      <alignment horizontal="center" vertical="center"/>
    </xf>
    <xf numFmtId="49" fontId="0" fillId="24" borderId="0" xfId="0" applyNumberFormat="1" applyFill="1" applyAlignment="1">
      <alignment horizontal="center" vertical="center"/>
    </xf>
    <xf numFmtId="49" fontId="36" fillId="24" borderId="0" xfId="0" applyNumberFormat="1" applyFont="1" applyFill="1" applyAlignment="1">
      <alignment horizontal="center" vertical="center"/>
    </xf>
    <xf numFmtId="49" fontId="0" fillId="24" borderId="110" xfId="2" applyNumberFormat="1" applyFont="1" applyFill="1" applyBorder="1" applyAlignment="1">
      <alignment horizontal="center" vertical="center"/>
    </xf>
    <xf numFmtId="49" fontId="0" fillId="24" borderId="113" xfId="2" applyNumberFormat="1" applyFont="1" applyFill="1" applyBorder="1" applyAlignment="1">
      <alignment horizontal="center" vertical="center"/>
    </xf>
    <xf numFmtId="49" fontId="0" fillId="24" borderId="128" xfId="2" applyNumberFormat="1" applyFont="1" applyFill="1" applyBorder="1" applyAlignment="1">
      <alignment horizontal="center" vertical="center"/>
    </xf>
    <xf numFmtId="49" fontId="0" fillId="24" borderId="111" xfId="2" applyNumberFormat="1" applyFont="1" applyFill="1" applyBorder="1" applyAlignment="1">
      <alignment horizontal="center" vertical="center"/>
    </xf>
    <xf numFmtId="49" fontId="0" fillId="24" borderId="129" xfId="2" applyNumberFormat="1" applyFont="1" applyFill="1" applyBorder="1" applyAlignment="1">
      <alignment horizontal="center" vertical="center"/>
    </xf>
    <xf numFmtId="49" fontId="0" fillId="24" borderId="0" xfId="2" applyNumberFormat="1" applyFont="1" applyFill="1" applyBorder="1" applyAlignment="1">
      <alignment horizontal="center" vertical="center"/>
    </xf>
    <xf numFmtId="0" fontId="0" fillId="24" borderId="128" xfId="0" applyFill="1" applyBorder="1" applyAlignment="1">
      <alignment horizontal="center" vertical="center"/>
    </xf>
    <xf numFmtId="9" fontId="0" fillId="24" borderId="129" xfId="2" applyFont="1" applyFill="1" applyBorder="1" applyAlignment="1">
      <alignment horizontal="center" vertical="center"/>
    </xf>
    <xf numFmtId="0" fontId="0" fillId="24" borderId="129" xfId="0" applyFill="1" applyBorder="1" applyAlignment="1">
      <alignment horizontal="center" vertical="center"/>
    </xf>
    <xf numFmtId="0" fontId="0" fillId="24" borderId="130" xfId="0" applyFill="1" applyBorder="1" applyAlignment="1">
      <alignment horizontal="center" vertical="center"/>
    </xf>
    <xf numFmtId="49" fontId="0" fillId="24" borderId="129" xfId="0" applyNumberFormat="1" applyFill="1" applyBorder="1" applyAlignment="1">
      <alignment horizontal="center" vertical="center"/>
    </xf>
    <xf numFmtId="49" fontId="0" fillId="24" borderId="130" xfId="0" applyNumberFormat="1" applyFill="1" applyBorder="1" applyAlignment="1">
      <alignment horizontal="center" vertical="center"/>
    </xf>
    <xf numFmtId="49" fontId="0" fillId="24" borderId="111" xfId="0" applyNumberFormat="1" applyFill="1" applyBorder="1" applyAlignment="1">
      <alignment horizontal="center" vertical="center"/>
    </xf>
    <xf numFmtId="49" fontId="0" fillId="24" borderId="112" xfId="0" applyNumberFormat="1" applyFill="1" applyBorder="1" applyAlignment="1">
      <alignment horizontal="center" vertical="center"/>
    </xf>
    <xf numFmtId="49" fontId="0" fillId="24" borderId="114" xfId="0" applyNumberFormat="1" applyFill="1" applyBorder="1" applyAlignment="1">
      <alignment horizontal="center" vertical="center"/>
    </xf>
    <xf numFmtId="49" fontId="0" fillId="24" borderId="210" xfId="0" applyNumberFormat="1" applyFill="1" applyBorder="1" applyAlignment="1">
      <alignment horizontal="center" vertical="center"/>
    </xf>
    <xf numFmtId="49" fontId="0" fillId="24" borderId="117" xfId="0" applyNumberFormat="1" applyFill="1" applyBorder="1" applyAlignment="1">
      <alignment horizontal="center" vertical="center"/>
    </xf>
    <xf numFmtId="49" fontId="0" fillId="24" borderId="144" xfId="0" applyNumberFormat="1" applyFill="1" applyBorder="1" applyAlignment="1">
      <alignment horizontal="center" vertical="center"/>
    </xf>
    <xf numFmtId="49" fontId="0" fillId="24" borderId="211" xfId="0" applyNumberFormat="1" applyFill="1" applyBorder="1" applyAlignment="1">
      <alignment horizontal="center" vertical="center"/>
    </xf>
    <xf numFmtId="49" fontId="0" fillId="24" borderId="145" xfId="0" applyNumberFormat="1" applyFill="1" applyBorder="1" applyAlignment="1">
      <alignment horizontal="center" vertical="center"/>
    </xf>
    <xf numFmtId="49" fontId="0" fillId="24" borderId="155" xfId="0" applyNumberFormat="1" applyFill="1" applyBorder="1" applyAlignment="1">
      <alignment horizontal="center" vertical="center"/>
    </xf>
    <xf numFmtId="49" fontId="0" fillId="24" borderId="158" xfId="0" applyNumberFormat="1" applyFill="1" applyBorder="1" applyAlignment="1">
      <alignment horizontal="center" vertical="center"/>
    </xf>
    <xf numFmtId="49" fontId="0" fillId="24" borderId="116" xfId="0" applyNumberFormat="1" applyFill="1" applyBorder="1" applyAlignment="1">
      <alignment horizontal="center" vertical="center"/>
    </xf>
    <xf numFmtId="20"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2" xfId="0" applyBorder="1"/>
    <xf numFmtId="0" fontId="0" fillId="0" borderId="13" xfId="0" applyBorder="1" applyAlignment="1">
      <alignment horizontal="center" vertical="center"/>
    </xf>
    <xf numFmtId="20" fontId="0" fillId="0" borderId="14" xfId="0" applyNumberFormat="1" applyBorder="1" applyAlignment="1">
      <alignment horizontal="center" vertical="center"/>
    </xf>
    <xf numFmtId="0" fontId="0" fillId="0" borderId="15" xfId="0" applyBorder="1"/>
    <xf numFmtId="49" fontId="0" fillId="0" borderId="7" xfId="0" applyNumberFormat="1" applyBorder="1" applyAlignment="1">
      <alignment horizontal="center" vertical="center"/>
    </xf>
    <xf numFmtId="49" fontId="0" fillId="0" borderId="7" xfId="2" applyNumberFormat="1" applyFont="1" applyFill="1" applyBorder="1" applyAlignment="1">
      <alignment horizontal="center" vertical="center"/>
    </xf>
    <xf numFmtId="49" fontId="36" fillId="24" borderId="155" xfId="0" applyNumberFormat="1" applyFont="1" applyFill="1" applyBorder="1" applyAlignment="1">
      <alignment horizontal="center" vertical="center"/>
    </xf>
    <xf numFmtId="49" fontId="0" fillId="24" borderId="213" xfId="0" applyNumberFormat="1" applyFill="1" applyBorder="1" applyAlignment="1">
      <alignment horizontal="center" vertical="center"/>
    </xf>
    <xf numFmtId="49" fontId="0" fillId="24" borderId="139" xfId="0" applyNumberFormat="1" applyFill="1" applyBorder="1" applyAlignment="1">
      <alignment horizontal="center" vertical="center"/>
    </xf>
    <xf numFmtId="0" fontId="0" fillId="13" borderId="7" xfId="0" applyFill="1" applyBorder="1"/>
    <xf numFmtId="0" fontId="1" fillId="13" borderId="7" xfId="1" applyFill="1" applyBorder="1"/>
    <xf numFmtId="0" fontId="0" fillId="13" borderId="7" xfId="0" applyFill="1" applyBorder="1" applyAlignment="1">
      <alignment horizontal="left"/>
    </xf>
    <xf numFmtId="49" fontId="0" fillId="24" borderId="108" xfId="0" applyNumberFormat="1" applyFill="1" applyBorder="1" applyAlignment="1">
      <alignment horizontal="center" vertical="center"/>
    </xf>
    <xf numFmtId="0" fontId="19" fillId="29" borderId="7" xfId="0" applyFont="1" applyFill="1" applyBorder="1" applyAlignment="1">
      <alignment horizontal="center" vertical="center" wrapText="1"/>
    </xf>
    <xf numFmtId="0" fontId="19" fillId="29" borderId="19" xfId="0" applyFont="1" applyFill="1" applyBorder="1" applyAlignment="1">
      <alignment horizontal="center" vertical="center" wrapText="1"/>
    </xf>
    <xf numFmtId="49" fontId="0" fillId="24" borderId="203" xfId="0" applyNumberFormat="1" applyFill="1" applyBorder="1" applyAlignment="1">
      <alignment horizontal="center" vertical="center"/>
    </xf>
    <xf numFmtId="49" fontId="0" fillId="24" borderId="207" xfId="0" applyNumberFormat="1" applyFill="1" applyBorder="1" applyAlignment="1">
      <alignment horizontal="center" vertical="center"/>
    </xf>
    <xf numFmtId="49" fontId="0" fillId="24" borderId="138" xfId="0" applyNumberFormat="1" applyFill="1" applyBorder="1" applyAlignment="1">
      <alignment horizontal="center" vertical="center"/>
    </xf>
    <xf numFmtId="49" fontId="0" fillId="24" borderId="173" xfId="0" applyNumberFormat="1" applyFill="1" applyBorder="1" applyAlignment="1">
      <alignment horizontal="center" vertical="center"/>
    </xf>
    <xf numFmtId="0" fontId="0" fillId="24" borderId="110" xfId="2" applyNumberFormat="1" applyFont="1" applyFill="1" applyBorder="1" applyAlignment="1">
      <alignment horizontal="center" vertical="center"/>
    </xf>
    <xf numFmtId="9" fontId="0" fillId="24" borderId="111" xfId="2" applyFont="1" applyFill="1" applyBorder="1" applyAlignment="1">
      <alignment horizontal="center" vertical="center"/>
    </xf>
    <xf numFmtId="0" fontId="0" fillId="24" borderId="112" xfId="0" applyFill="1" applyBorder="1" applyAlignment="1">
      <alignment horizontal="center" vertical="center"/>
    </xf>
    <xf numFmtId="49" fontId="0" fillId="24" borderId="204" xfId="0" applyNumberFormat="1" applyFill="1" applyBorder="1" applyAlignment="1">
      <alignment horizontal="center" vertical="center"/>
    </xf>
    <xf numFmtId="49" fontId="0" fillId="24" borderId="156" xfId="0" applyNumberFormat="1" applyFill="1" applyBorder="1" applyAlignment="1">
      <alignment horizontal="center" vertical="center"/>
    </xf>
    <xf numFmtId="49" fontId="0" fillId="24" borderId="208" xfId="0" applyNumberFormat="1" applyFill="1" applyBorder="1" applyAlignment="1">
      <alignment horizontal="center" vertical="center"/>
    </xf>
    <xf numFmtId="49" fontId="0" fillId="24" borderId="109" xfId="0" applyNumberFormat="1" applyFill="1" applyBorder="1" applyAlignment="1">
      <alignment horizontal="center" vertical="center"/>
    </xf>
    <xf numFmtId="49" fontId="0" fillId="24" borderId="157" xfId="0" applyNumberFormat="1" applyFill="1" applyBorder="1" applyAlignment="1">
      <alignment horizontal="center" vertical="center"/>
    </xf>
    <xf numFmtId="0" fontId="1" fillId="0" borderId="126" xfId="1" applyFill="1" applyBorder="1" applyAlignment="1">
      <alignment horizontal="center" vertical="center"/>
    </xf>
    <xf numFmtId="0" fontId="1" fillId="0" borderId="145" xfId="1" applyFill="1" applyBorder="1" applyAlignment="1">
      <alignment horizontal="center" vertical="center"/>
    </xf>
    <xf numFmtId="0" fontId="1" fillId="0" borderId="207" xfId="1" applyFill="1" applyBorder="1" applyAlignment="1">
      <alignment horizontal="center" vertical="center"/>
    </xf>
    <xf numFmtId="0" fontId="1" fillId="0" borderId="150" xfId="1" applyFill="1" applyBorder="1" applyAlignment="1">
      <alignment horizontal="center" vertical="center"/>
    </xf>
    <xf numFmtId="0" fontId="1" fillId="0" borderId="158" xfId="1" applyFill="1" applyBorder="1" applyAlignment="1">
      <alignment horizontal="center" vertical="center"/>
    </xf>
    <xf numFmtId="0" fontId="1" fillId="0" borderId="123" xfId="1" applyFill="1" applyBorder="1" applyAlignment="1">
      <alignment horizontal="center" vertical="center"/>
    </xf>
    <xf numFmtId="0" fontId="1" fillId="24" borderId="129" xfId="1" applyFill="1" applyBorder="1" applyAlignment="1">
      <alignment horizontal="center" vertical="center"/>
    </xf>
    <xf numFmtId="0" fontId="1" fillId="24" borderId="111" xfId="1" applyFill="1" applyBorder="1" applyAlignment="1">
      <alignment horizontal="center" vertical="center"/>
    </xf>
    <xf numFmtId="0" fontId="1" fillId="24" borderId="0" xfId="1" applyFill="1" applyBorder="1" applyAlignment="1">
      <alignment horizontal="center" vertical="center"/>
    </xf>
    <xf numFmtId="49" fontId="0" fillId="24" borderId="205" xfId="0" applyNumberFormat="1" applyFill="1" applyBorder="1" applyAlignment="1">
      <alignment horizontal="center" vertical="center"/>
    </xf>
    <xf numFmtId="49" fontId="70" fillId="0" borderId="0" xfId="0" applyNumberFormat="1" applyFont="1" applyAlignment="1">
      <alignment horizontal="center" vertical="center" wrapText="1"/>
    </xf>
    <xf numFmtId="0" fontId="70" fillId="0" borderId="0" xfId="0" applyFont="1" applyAlignment="1">
      <alignment horizontal="center" vertical="center" wrapText="1"/>
    </xf>
    <xf numFmtId="0" fontId="71" fillId="0" borderId="0" xfId="0" applyFont="1"/>
    <xf numFmtId="49" fontId="71" fillId="0" borderId="0" xfId="0" applyNumberFormat="1" applyFont="1" applyAlignment="1">
      <alignment horizontal="center"/>
    </xf>
    <xf numFmtId="0" fontId="0" fillId="24" borderId="113" xfId="0" applyFill="1" applyBorder="1" applyAlignment="1">
      <alignment horizontal="center" vertical="center"/>
    </xf>
    <xf numFmtId="9" fontId="0" fillId="24" borderId="0" xfId="2" applyFont="1" applyFill="1" applyBorder="1" applyAlignment="1">
      <alignment horizontal="center" vertical="center"/>
    </xf>
    <xf numFmtId="0" fontId="0" fillId="24" borderId="114" xfId="0" applyFill="1" applyBorder="1" applyAlignment="1">
      <alignment horizontal="center" vertical="center"/>
    </xf>
    <xf numFmtId="0" fontId="1" fillId="0" borderId="0" xfId="1" applyBorder="1" applyAlignment="1">
      <alignment horizontal="center"/>
    </xf>
    <xf numFmtId="0" fontId="0" fillId="0" borderId="197" xfId="0" applyBorder="1" applyAlignment="1">
      <alignment horizontal="center" vertical="center"/>
    </xf>
    <xf numFmtId="0" fontId="0" fillId="0" borderId="198" xfId="0" applyBorder="1" applyAlignment="1">
      <alignment horizontal="center" vertical="center"/>
    </xf>
    <xf numFmtId="0" fontId="0" fillId="0" borderId="194" xfId="0" applyBorder="1" applyAlignment="1">
      <alignment horizontal="center"/>
    </xf>
    <xf numFmtId="0" fontId="0" fillId="0" borderId="196" xfId="0" applyBorder="1" applyAlignment="1">
      <alignment horizontal="center"/>
    </xf>
    <xf numFmtId="0" fontId="0" fillId="0" borderId="197" xfId="0" applyBorder="1" applyAlignment="1">
      <alignment horizontal="center"/>
    </xf>
    <xf numFmtId="0" fontId="1" fillId="0" borderId="197" xfId="1" applyBorder="1" applyAlignment="1">
      <alignment horizontal="center"/>
    </xf>
    <xf numFmtId="0" fontId="0" fillId="24" borderId="7" xfId="0" applyFill="1" applyBorder="1" applyAlignment="1">
      <alignment horizontal="center" vertical="center"/>
    </xf>
    <xf numFmtId="0" fontId="72" fillId="0" borderId="0" xfId="0" applyFont="1" applyAlignment="1">
      <alignment horizontal="center" vertical="center" wrapText="1"/>
    </xf>
    <xf numFmtId="0" fontId="0" fillId="24" borderId="138" xfId="0" applyFill="1" applyBorder="1" applyAlignment="1">
      <alignment horizontal="center" vertical="center"/>
    </xf>
    <xf numFmtId="0" fontId="0" fillId="24" borderId="139" xfId="0" applyFill="1" applyBorder="1" applyAlignment="1">
      <alignment horizontal="center" vertical="center"/>
    </xf>
    <xf numFmtId="0" fontId="1" fillId="24" borderId="139" xfId="1" applyFill="1" applyBorder="1" applyAlignment="1">
      <alignment horizontal="center" vertical="center"/>
    </xf>
    <xf numFmtId="0" fontId="0" fillId="24" borderId="140" xfId="0" applyFill="1" applyBorder="1" applyAlignment="1">
      <alignment horizontal="center" vertical="center"/>
    </xf>
    <xf numFmtId="0" fontId="0" fillId="0" borderId="21" xfId="0" applyBorder="1" applyAlignment="1">
      <alignment horizontal="center" vertical="center"/>
    </xf>
    <xf numFmtId="49" fontId="0" fillId="0" borderId="122" xfId="0" applyNumberFormat="1" applyBorder="1" applyAlignment="1">
      <alignment horizontal="center" vertical="center"/>
    </xf>
    <xf numFmtId="49" fontId="0" fillId="0" borderId="123" xfId="0" applyNumberFormat="1" applyBorder="1" applyAlignment="1">
      <alignment horizontal="center" vertical="center"/>
    </xf>
    <xf numFmtId="49" fontId="0" fillId="0" borderId="124" xfId="0" applyNumberFormat="1" applyBorder="1" applyAlignment="1">
      <alignment horizontal="center" vertical="center"/>
    </xf>
    <xf numFmtId="0" fontId="0" fillId="0" borderId="172" xfId="0" applyBorder="1" applyAlignment="1">
      <alignment horizontal="center" vertical="center"/>
    </xf>
    <xf numFmtId="0" fontId="0" fillId="0" borderId="173" xfId="0" applyBorder="1" applyAlignment="1">
      <alignment horizontal="center" vertical="center"/>
    </xf>
    <xf numFmtId="0" fontId="1" fillId="0" borderId="173" xfId="1" applyFill="1" applyBorder="1" applyAlignment="1">
      <alignment horizontal="center" vertical="center"/>
    </xf>
    <xf numFmtId="0" fontId="0" fillId="0" borderId="174" xfId="0" applyBorder="1" applyAlignment="1">
      <alignment horizontal="center" vertical="center"/>
    </xf>
    <xf numFmtId="49" fontId="0" fillId="24" borderId="7" xfId="0" applyNumberFormat="1" applyFill="1" applyBorder="1" applyAlignment="1">
      <alignment horizontal="center"/>
    </xf>
    <xf numFmtId="0" fontId="0" fillId="24" borderId="7" xfId="0" applyFill="1" applyBorder="1" applyAlignment="1">
      <alignment horizontal="center" wrapText="1"/>
    </xf>
    <xf numFmtId="0" fontId="1" fillId="0" borderId="107" xfId="1" applyFill="1" applyBorder="1" applyAlignment="1">
      <alignment horizontal="center" vertical="center" wrapText="1"/>
    </xf>
    <xf numFmtId="0" fontId="0" fillId="4" borderId="7" xfId="0" applyFill="1" applyBorder="1"/>
    <xf numFmtId="0" fontId="1" fillId="4" borderId="7" xfId="1" applyFill="1" applyBorder="1"/>
    <xf numFmtId="0" fontId="0" fillId="4" borderId="7" xfId="0" applyFill="1" applyBorder="1" applyAlignment="1">
      <alignment horizontal="left"/>
    </xf>
    <xf numFmtId="49" fontId="36" fillId="0" borderId="0" xfId="0" applyNumberFormat="1" applyFont="1" applyAlignment="1">
      <alignment horizontal="center" vertical="center"/>
    </xf>
    <xf numFmtId="49" fontId="0" fillId="0" borderId="113" xfId="2" applyNumberFormat="1" applyFont="1" applyFill="1" applyBorder="1" applyAlignment="1">
      <alignment horizontal="center" vertical="center"/>
    </xf>
    <xf numFmtId="49" fontId="0" fillId="0" borderId="0" xfId="2" applyNumberFormat="1" applyFont="1" applyFill="1" applyBorder="1" applyAlignment="1">
      <alignment horizontal="center" vertical="center"/>
    </xf>
    <xf numFmtId="49" fontId="0" fillId="0" borderId="214" xfId="0" applyNumberFormat="1" applyBorder="1" applyAlignment="1">
      <alignment horizontal="center" vertical="center"/>
    </xf>
    <xf numFmtId="49" fontId="0" fillId="0" borderId="137" xfId="0" applyNumberFormat="1" applyBorder="1" applyAlignment="1">
      <alignment horizontal="center" vertical="center"/>
    </xf>
    <xf numFmtId="49" fontId="0" fillId="0" borderId="210" xfId="0" applyNumberFormat="1" applyBorder="1" applyAlignment="1">
      <alignment horizontal="center" vertical="center"/>
    </xf>
    <xf numFmtId="49" fontId="0" fillId="0" borderId="117" xfId="0" applyNumberFormat="1" applyBorder="1" applyAlignment="1">
      <alignment horizontal="center" vertical="center"/>
    </xf>
    <xf numFmtId="49" fontId="0" fillId="0" borderId="144" xfId="0" applyNumberFormat="1" applyBorder="1" applyAlignment="1">
      <alignment horizontal="center" vertical="center"/>
    </xf>
    <xf numFmtId="49" fontId="0" fillId="0" borderId="207" xfId="0" applyNumberFormat="1" applyBorder="1" applyAlignment="1">
      <alignment horizontal="center" vertical="center"/>
    </xf>
    <xf numFmtId="49" fontId="0" fillId="0" borderId="208" xfId="0" applyNumberFormat="1" applyBorder="1" applyAlignment="1">
      <alignment horizontal="center" vertical="center"/>
    </xf>
    <xf numFmtId="49" fontId="0" fillId="0" borderId="203" xfId="0" applyNumberFormat="1" applyBorder="1" applyAlignment="1">
      <alignment horizontal="center" vertical="center"/>
    </xf>
    <xf numFmtId="49" fontId="0" fillId="0" borderId="204" xfId="0" applyNumberFormat="1" applyBorder="1" applyAlignment="1">
      <alignment horizontal="center" vertical="center"/>
    </xf>
    <xf numFmtId="49" fontId="0" fillId="0" borderId="155" xfId="0" applyNumberFormat="1" applyBorder="1" applyAlignment="1">
      <alignment horizontal="center" vertical="center"/>
    </xf>
    <xf numFmtId="49" fontId="36" fillId="0" borderId="155" xfId="0" applyNumberFormat="1" applyFont="1" applyBorder="1" applyAlignment="1">
      <alignment horizontal="center" vertical="center"/>
    </xf>
    <xf numFmtId="49" fontId="0" fillId="0" borderId="157" xfId="0" applyNumberFormat="1" applyBorder="1" applyAlignment="1">
      <alignment horizontal="center" vertical="center"/>
    </xf>
    <xf numFmtId="49" fontId="2" fillId="18" borderId="215" xfId="0" applyNumberFormat="1" applyFont="1" applyFill="1" applyBorder="1" applyAlignment="1">
      <alignment horizontal="center" vertical="center" wrapText="1"/>
    </xf>
    <xf numFmtId="49" fontId="2" fillId="0" borderId="0" xfId="0" applyNumberFormat="1" applyFont="1" applyAlignment="1">
      <alignment horizontal="center" vertical="center" wrapText="1"/>
    </xf>
    <xf numFmtId="49" fontId="2" fillId="17" borderId="216" xfId="0" applyNumberFormat="1" applyFont="1" applyFill="1" applyBorder="1" applyAlignment="1">
      <alignment horizontal="center" vertical="center" wrapText="1"/>
    </xf>
    <xf numFmtId="49" fontId="0" fillId="24" borderId="140" xfId="0" applyNumberFormat="1" applyFill="1" applyBorder="1" applyAlignment="1">
      <alignment horizontal="center" vertical="center"/>
    </xf>
    <xf numFmtId="49" fontId="0" fillId="24" borderId="115" xfId="0" applyNumberFormat="1" applyFill="1" applyBorder="1" applyAlignment="1">
      <alignment horizontal="center" vertical="center"/>
    </xf>
    <xf numFmtId="49" fontId="0" fillId="24" borderId="172" xfId="0" applyNumberFormat="1" applyFill="1" applyBorder="1" applyAlignment="1">
      <alignment horizontal="center" vertical="center"/>
    </xf>
    <xf numFmtId="49" fontId="0" fillId="24" borderId="206" xfId="0" applyNumberFormat="1" applyFill="1" applyBorder="1" applyAlignment="1">
      <alignment horizontal="center" vertical="center"/>
    </xf>
    <xf numFmtId="49" fontId="0" fillId="24" borderId="217" xfId="0" applyNumberFormat="1" applyFill="1" applyBorder="1" applyAlignment="1">
      <alignment horizontal="center" vertical="center"/>
    </xf>
    <xf numFmtId="49" fontId="0" fillId="24" borderId="218" xfId="0" applyNumberFormat="1" applyFill="1" applyBorder="1" applyAlignment="1">
      <alignment horizontal="center" vertical="center"/>
    </xf>
    <xf numFmtId="49" fontId="0" fillId="24" borderId="219" xfId="0" applyNumberFormat="1" applyFill="1" applyBorder="1" applyAlignment="1">
      <alignment horizontal="center" vertical="center"/>
    </xf>
    <xf numFmtId="0" fontId="0" fillId="21" borderId="0" xfId="0" applyFill="1" applyAlignment="1">
      <alignment horizontal="center" vertical="center"/>
    </xf>
    <xf numFmtId="0" fontId="1" fillId="4" borderId="7" xfId="1" applyFill="1" applyBorder="1" applyAlignment="1">
      <alignment horizontal="center" vertical="center"/>
    </xf>
    <xf numFmtId="49" fontId="0" fillId="4" borderId="7" xfId="2" applyNumberFormat="1" applyFont="1" applyFill="1" applyBorder="1" applyAlignment="1">
      <alignment horizontal="center" vertical="center"/>
    </xf>
    <xf numFmtId="0" fontId="0" fillId="4" borderId="17" xfId="2" applyNumberFormat="1" applyFont="1" applyFill="1" applyBorder="1" applyAlignment="1">
      <alignment horizontal="center" vertical="center" wrapText="1"/>
    </xf>
    <xf numFmtId="49" fontId="0" fillId="4" borderId="7" xfId="0" applyNumberFormat="1" applyFill="1" applyBorder="1" applyAlignment="1">
      <alignment horizontal="center" vertical="center"/>
    </xf>
    <xf numFmtId="0" fontId="0" fillId="4" borderId="17" xfId="0" applyFill="1" applyBorder="1" applyAlignment="1">
      <alignment horizontal="center" vertical="center" wrapText="1"/>
    </xf>
    <xf numFmtId="0" fontId="0" fillId="18" borderId="7" xfId="0" applyFill="1" applyBorder="1" applyAlignment="1">
      <alignment horizontal="center" vertical="center"/>
    </xf>
    <xf numFmtId="0" fontId="1" fillId="18" borderId="7" xfId="1" applyFill="1" applyBorder="1" applyAlignment="1">
      <alignment horizontal="center" vertical="center"/>
    </xf>
    <xf numFmtId="49" fontId="0" fillId="18" borderId="7" xfId="0" applyNumberFormat="1" applyFill="1" applyBorder="1" applyAlignment="1">
      <alignment horizontal="center" vertical="center"/>
    </xf>
    <xf numFmtId="0" fontId="0" fillId="18" borderId="17" xfId="0" applyFill="1" applyBorder="1" applyAlignment="1">
      <alignment horizontal="center" vertical="center" wrapText="1"/>
    </xf>
    <xf numFmtId="49" fontId="0" fillId="4" borderId="33" xfId="0" applyNumberFormat="1" applyFill="1" applyBorder="1" applyAlignment="1">
      <alignment horizontal="center" vertical="center" wrapText="1"/>
    </xf>
    <xf numFmtId="49" fontId="0" fillId="4" borderId="7" xfId="0" applyNumberFormat="1" applyFill="1" applyBorder="1" applyAlignment="1">
      <alignment horizontal="center" vertical="center" wrapText="1"/>
    </xf>
    <xf numFmtId="49" fontId="0" fillId="4" borderId="19" xfId="0" applyNumberFormat="1" applyFill="1" applyBorder="1" applyAlignment="1">
      <alignment horizontal="center" vertical="center" wrapText="1"/>
    </xf>
    <xf numFmtId="49" fontId="0" fillId="4" borderId="7" xfId="2" applyNumberFormat="1" applyFont="1" applyFill="1" applyBorder="1" applyAlignment="1">
      <alignment horizontal="center" vertical="center" wrapText="1"/>
    </xf>
    <xf numFmtId="49" fontId="0" fillId="18" borderId="7" xfId="0" applyNumberFormat="1" applyFill="1" applyBorder="1" applyAlignment="1">
      <alignment horizontal="center" vertical="center" wrapText="1"/>
    </xf>
    <xf numFmtId="49" fontId="0" fillId="24" borderId="7" xfId="0" applyNumberFormat="1" applyFill="1" applyBorder="1" applyAlignment="1">
      <alignment horizontal="center" wrapText="1"/>
    </xf>
    <xf numFmtId="0" fontId="0" fillId="18" borderId="26" xfId="0" applyFill="1" applyBorder="1" applyAlignment="1">
      <alignment horizontal="center"/>
    </xf>
    <xf numFmtId="0" fontId="0" fillId="5" borderId="30" xfId="0" applyFill="1" applyBorder="1" applyAlignment="1">
      <alignment horizontal="center" vertical="center"/>
    </xf>
    <xf numFmtId="0" fontId="0" fillId="5" borderId="28" xfId="0" applyFill="1" applyBorder="1" applyAlignment="1">
      <alignment horizontal="center" vertical="center"/>
    </xf>
    <xf numFmtId="0" fontId="0" fillId="5" borderId="9" xfId="0" applyFill="1" applyBorder="1" applyAlignment="1">
      <alignment horizontal="center" vertical="center"/>
    </xf>
    <xf numFmtId="0" fontId="1" fillId="5" borderId="9" xfId="1" applyFill="1" applyBorder="1" applyAlignment="1">
      <alignment horizontal="center" vertical="center"/>
    </xf>
    <xf numFmtId="0" fontId="0" fillId="0" borderId="3" xfId="0" applyBorder="1" applyAlignment="1">
      <alignment vertical="center"/>
    </xf>
    <xf numFmtId="0" fontId="0" fillId="15" borderId="0" xfId="0" applyFill="1" applyAlignment="1">
      <alignment vertical="center"/>
    </xf>
    <xf numFmtId="0" fontId="0" fillId="7" borderId="11" xfId="0" applyFill="1" applyBorder="1" applyAlignment="1">
      <alignment horizontal="center" vertical="center"/>
    </xf>
    <xf numFmtId="0" fontId="0" fillId="7" borderId="7" xfId="0" applyFill="1" applyBorder="1" applyAlignment="1">
      <alignment horizontal="center" vertical="center"/>
    </xf>
    <xf numFmtId="0" fontId="1" fillId="7" borderId="7" xfId="1" applyFill="1" applyBorder="1" applyAlignment="1">
      <alignment horizontal="center" vertical="center"/>
    </xf>
    <xf numFmtId="0" fontId="0" fillId="7" borderId="12" xfId="0" applyFill="1" applyBorder="1" applyAlignment="1">
      <alignment horizontal="center" vertical="center"/>
    </xf>
    <xf numFmtId="0" fontId="0" fillId="7" borderId="12" xfId="0" applyFill="1" applyBorder="1" applyAlignment="1">
      <alignment horizontal="center" vertical="center" wrapText="1"/>
    </xf>
    <xf numFmtId="0" fontId="0" fillId="7" borderId="0" xfId="0" applyFill="1" applyAlignment="1">
      <alignment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60" xfId="0" applyFont="1" applyFill="1" applyBorder="1" applyAlignment="1">
      <alignment horizontal="center" vertical="center"/>
    </xf>
    <xf numFmtId="0" fontId="0" fillId="5" borderId="8" xfId="0" applyFill="1" applyBorder="1" applyAlignment="1">
      <alignment horizontal="center" vertical="center"/>
    </xf>
    <xf numFmtId="0" fontId="0" fillId="5" borderId="87" xfId="0" applyFill="1" applyBorder="1" applyAlignment="1">
      <alignment horizontal="center" vertical="center"/>
    </xf>
    <xf numFmtId="0" fontId="0" fillId="6" borderId="28" xfId="0" applyFill="1" applyBorder="1" applyAlignment="1">
      <alignment horizontal="center" vertical="center"/>
    </xf>
    <xf numFmtId="0" fontId="0" fillId="6" borderId="3" xfId="0" applyFill="1" applyBorder="1" applyAlignment="1">
      <alignment horizontal="center" vertical="center"/>
    </xf>
    <xf numFmtId="0" fontId="0" fillId="6" borderId="60" xfId="0" applyFill="1" applyBorder="1" applyAlignment="1">
      <alignment horizontal="center" vertical="center"/>
    </xf>
    <xf numFmtId="0" fontId="0" fillId="4" borderId="8" xfId="0" applyFill="1" applyBorder="1" applyAlignment="1">
      <alignment horizontal="center" vertical="center"/>
    </xf>
    <xf numFmtId="0" fontId="0" fillId="4" borderId="28" xfId="0" applyFill="1" applyBorder="1" applyAlignment="1">
      <alignment horizontal="center" vertical="center"/>
    </xf>
    <xf numFmtId="0" fontId="0" fillId="4" borderId="60" xfId="0" applyFill="1" applyBorder="1" applyAlignment="1">
      <alignment horizontal="center" vertical="center"/>
    </xf>
    <xf numFmtId="0" fontId="0" fillId="7" borderId="8" xfId="0" applyFill="1" applyBorder="1" applyAlignment="1">
      <alignment horizontal="center" vertical="center"/>
    </xf>
    <xf numFmtId="0" fontId="0" fillId="7" borderId="28" xfId="0" applyFill="1" applyBorder="1" applyAlignment="1">
      <alignment horizontal="center" vertical="center"/>
    </xf>
    <xf numFmtId="0" fontId="0" fillId="7" borderId="60" xfId="0" applyFill="1" applyBorder="1" applyAlignment="1">
      <alignment horizontal="center" vertical="center"/>
    </xf>
    <xf numFmtId="0" fontId="10" fillId="0" borderId="52" xfId="0" applyFont="1" applyBorder="1" applyAlignment="1">
      <alignment horizontal="center" vertical="center" wrapText="1"/>
    </xf>
    <xf numFmtId="0" fontId="9" fillId="0" borderId="1" xfId="0" applyFont="1" applyBorder="1" applyAlignment="1">
      <alignment horizontal="center" vertical="center"/>
    </xf>
    <xf numFmtId="0" fontId="0" fillId="0" borderId="7" xfId="0" applyBorder="1" applyAlignment="1">
      <alignment vertical="center" wrapText="1"/>
    </xf>
    <xf numFmtId="0" fontId="0" fillId="0" borderId="0" xfId="0" applyAlignment="1">
      <alignment vertical="center" wrapText="1"/>
    </xf>
    <xf numFmtId="0" fontId="0" fillId="5" borderId="31" xfId="0" applyFill="1" applyBorder="1" applyAlignment="1">
      <alignment horizontal="center" vertical="center"/>
    </xf>
    <xf numFmtId="0" fontId="0" fillId="5" borderId="26" xfId="0" applyFill="1" applyBorder="1" applyAlignment="1">
      <alignment horizontal="center" vertical="center"/>
    </xf>
    <xf numFmtId="0" fontId="0" fillId="5" borderId="7" xfId="0" applyFill="1" applyBorder="1" applyAlignment="1">
      <alignment horizontal="center" vertical="center"/>
    </xf>
    <xf numFmtId="0" fontId="1" fillId="5" borderId="7" xfId="1" applyFill="1" applyBorder="1" applyAlignment="1">
      <alignment horizontal="center" vertical="center"/>
    </xf>
    <xf numFmtId="0" fontId="0" fillId="0" borderId="4" xfId="0" applyBorder="1" applyAlignment="1">
      <alignment vertical="center"/>
    </xf>
    <xf numFmtId="0" fontId="0" fillId="21" borderId="11" xfId="0" applyFill="1" applyBorder="1" applyAlignment="1">
      <alignment horizontal="center" vertical="center"/>
    </xf>
    <xf numFmtId="0" fontId="0" fillId="21" borderId="7" xfId="0" applyFill="1" applyBorder="1" applyAlignment="1">
      <alignment horizontal="center" vertical="center"/>
    </xf>
    <xf numFmtId="0" fontId="1" fillId="21" borderId="7" xfId="1" applyFill="1" applyBorder="1" applyAlignment="1">
      <alignment horizontal="center" vertical="center"/>
    </xf>
    <xf numFmtId="0" fontId="0" fillId="21" borderId="12" xfId="0" applyFill="1" applyBorder="1" applyAlignment="1">
      <alignment horizontal="center" vertical="center"/>
    </xf>
    <xf numFmtId="0" fontId="0" fillId="21" borderId="12" xfId="0" applyFill="1" applyBorder="1" applyAlignment="1">
      <alignment horizontal="center" vertical="center" wrapText="1"/>
    </xf>
    <xf numFmtId="0" fontId="0" fillId="22" borderId="0" xfId="0" applyFill="1" applyAlignment="1">
      <alignment vertical="center"/>
    </xf>
    <xf numFmtId="0" fontId="19" fillId="0" borderId="0" xfId="0" applyFont="1" applyAlignment="1">
      <alignment vertical="center"/>
    </xf>
    <xf numFmtId="49" fontId="0" fillId="24" borderId="119" xfId="0" applyNumberFormat="1" applyFill="1" applyBorder="1" applyAlignment="1">
      <alignment horizontal="center" vertical="center"/>
    </xf>
    <xf numFmtId="0" fontId="6" fillId="0" borderId="0" xfId="0" applyFont="1" applyAlignment="1">
      <alignment horizontal="center" wrapText="1"/>
    </xf>
    <xf numFmtId="49" fontId="0" fillId="4" borderId="33" xfId="0" applyNumberFormat="1" applyFill="1" applyBorder="1" applyAlignment="1">
      <alignment horizontal="center" wrapText="1"/>
    </xf>
    <xf numFmtId="49" fontId="0" fillId="4" borderId="7" xfId="0" applyNumberFormat="1" applyFill="1" applyBorder="1" applyAlignment="1">
      <alignment horizontal="center" wrapText="1"/>
    </xf>
    <xf numFmtId="49" fontId="0" fillId="4" borderId="19" xfId="0" applyNumberFormat="1" applyFill="1" applyBorder="1" applyAlignment="1">
      <alignment horizontal="center" wrapText="1"/>
    </xf>
    <xf numFmtId="49" fontId="0" fillId="4" borderId="7" xfId="2" applyNumberFormat="1" applyFont="1" applyFill="1" applyBorder="1" applyAlignment="1">
      <alignment horizontal="center" wrapText="1"/>
    </xf>
    <xf numFmtId="49" fontId="0" fillId="18" borderId="7" xfId="0" applyNumberFormat="1" applyFill="1" applyBorder="1" applyAlignment="1">
      <alignment horizontal="center" wrapText="1"/>
    </xf>
    <xf numFmtId="0" fontId="73" fillId="0" borderId="0" xfId="0" applyFont="1" applyAlignment="1">
      <alignment horizontal="center" vertical="center" wrapText="1"/>
    </xf>
    <xf numFmtId="0" fontId="7" fillId="11" borderId="0" xfId="0" applyFont="1" applyFill="1" applyAlignment="1">
      <alignment horizontal="center" vertical="center" wrapText="1"/>
    </xf>
    <xf numFmtId="0" fontId="2" fillId="0" borderId="0" xfId="0" applyFont="1" applyAlignment="1">
      <alignment vertical="center" wrapText="1"/>
    </xf>
    <xf numFmtId="0" fontId="0" fillId="0" borderId="24" xfId="0" applyBorder="1" applyAlignment="1">
      <alignment horizontal="center"/>
    </xf>
    <xf numFmtId="0" fontId="0" fillId="0" borderId="105" xfId="0" applyBorder="1" applyAlignment="1">
      <alignment horizontal="center"/>
    </xf>
    <xf numFmtId="0" fontId="1" fillId="0" borderId="105" xfId="1" applyFill="1" applyBorder="1" applyAlignment="1">
      <alignment horizontal="center"/>
    </xf>
    <xf numFmtId="0" fontId="0" fillId="18" borderId="11" xfId="0" applyFill="1" applyBorder="1" applyAlignment="1">
      <alignment horizontal="center" vertical="center"/>
    </xf>
    <xf numFmtId="0" fontId="0" fillId="18" borderId="12" xfId="0" applyFill="1" applyBorder="1" applyAlignment="1">
      <alignment horizontal="center" vertical="center"/>
    </xf>
    <xf numFmtId="0" fontId="0" fillId="18" borderId="7" xfId="0" applyFill="1" applyBorder="1" applyAlignment="1">
      <alignment horizontal="center"/>
    </xf>
    <xf numFmtId="0" fontId="1" fillId="18" borderId="7" xfId="1" applyFill="1" applyBorder="1" applyAlignment="1">
      <alignment horizontal="center"/>
    </xf>
    <xf numFmtId="0" fontId="0" fillId="18" borderId="12" xfId="0" applyFill="1" applyBorder="1" applyAlignment="1">
      <alignment horizontal="center"/>
    </xf>
    <xf numFmtId="0" fontId="0" fillId="18" borderId="14" xfId="0" applyFill="1" applyBorder="1" applyAlignment="1">
      <alignment horizontal="center" vertical="center"/>
    </xf>
    <xf numFmtId="0" fontId="0" fillId="18" borderId="14" xfId="0" applyFill="1" applyBorder="1" applyAlignment="1">
      <alignment horizontal="center"/>
    </xf>
    <xf numFmtId="0" fontId="1" fillId="18" borderId="14" xfId="1" applyFill="1" applyBorder="1" applyAlignment="1">
      <alignment horizontal="center"/>
    </xf>
    <xf numFmtId="0" fontId="0" fillId="18" borderId="15" xfId="0" applyFill="1" applyBorder="1" applyAlignment="1">
      <alignment horizontal="center"/>
    </xf>
    <xf numFmtId="0" fontId="19" fillId="18" borderId="8" xfId="0" applyFont="1" applyFill="1" applyBorder="1" applyAlignment="1">
      <alignment horizontal="center" vertical="center"/>
    </xf>
    <xf numFmtId="0" fontId="19" fillId="18" borderId="9" xfId="0" applyFont="1" applyFill="1" applyBorder="1" applyAlignment="1">
      <alignment horizontal="center" vertical="center"/>
    </xf>
    <xf numFmtId="0" fontId="19" fillId="18" borderId="10" xfId="0" applyFont="1" applyFill="1" applyBorder="1" applyAlignment="1">
      <alignment horizontal="center" vertical="center"/>
    </xf>
    <xf numFmtId="49" fontId="19" fillId="0" borderId="0" xfId="0" applyNumberFormat="1" applyFont="1" applyAlignment="1">
      <alignment horizontal="center" vertical="center"/>
    </xf>
    <xf numFmtId="49" fontId="19" fillId="0" borderId="0" xfId="0" applyNumberFormat="1" applyFont="1"/>
    <xf numFmtId="49" fontId="74" fillId="0" borderId="0" xfId="0" applyNumberFormat="1" applyFont="1" applyAlignment="1">
      <alignment horizontal="center" vertical="center" wrapText="1"/>
    </xf>
    <xf numFmtId="0" fontId="74" fillId="0" borderId="0" xfId="0" applyFont="1" applyAlignment="1">
      <alignment horizontal="center" vertical="center" wrapText="1"/>
    </xf>
    <xf numFmtId="0" fontId="19" fillId="0" borderId="0" xfId="0" applyFont="1" applyAlignment="1">
      <alignment wrapText="1"/>
    </xf>
    <xf numFmtId="0" fontId="0" fillId="6" borderId="7"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xf>
    <xf numFmtId="0" fontId="0" fillId="6" borderId="14" xfId="0"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49" fontId="2" fillId="0" borderId="0" xfId="0" applyNumberFormat="1" applyFont="1"/>
    <xf numFmtId="0" fontId="2" fillId="0" borderId="0" xfId="0" applyFont="1"/>
    <xf numFmtId="0" fontId="2" fillId="0" borderId="0" xfId="0" applyFont="1" applyAlignment="1">
      <alignment wrapText="1"/>
    </xf>
    <xf numFmtId="0" fontId="2" fillId="4" borderId="7" xfId="0" applyFont="1" applyFill="1" applyBorder="1" applyAlignment="1">
      <alignment horizontal="center" vertical="center"/>
    </xf>
    <xf numFmtId="0" fontId="2" fillId="4" borderId="7" xfId="0" applyFont="1" applyFill="1" applyBorder="1" applyAlignment="1">
      <alignment horizontal="center"/>
    </xf>
    <xf numFmtId="0" fontId="0" fillId="24" borderId="7" xfId="0" applyFill="1" applyBorder="1"/>
    <xf numFmtId="0" fontId="0" fillId="24" borderId="7" xfId="0" applyFill="1" applyBorder="1" applyAlignment="1">
      <alignment wrapText="1"/>
    </xf>
    <xf numFmtId="0" fontId="0" fillId="24" borderId="111" xfId="2" applyNumberFormat="1" applyFont="1" applyFill="1" applyBorder="1" applyAlignment="1">
      <alignment horizontal="center" vertical="center"/>
    </xf>
    <xf numFmtId="0" fontId="2" fillId="0" borderId="7" xfId="0" quotePrefix="1" applyFont="1" applyBorder="1" applyAlignment="1">
      <alignment horizontal="center" vertical="center"/>
    </xf>
    <xf numFmtId="0" fontId="2" fillId="4" borderId="7" xfId="1" applyFont="1" applyFill="1" applyBorder="1" applyAlignment="1">
      <alignment horizontal="center"/>
    </xf>
    <xf numFmtId="0" fontId="61" fillId="24" borderId="7" xfId="0" applyFont="1" applyFill="1" applyBorder="1" applyAlignment="1">
      <alignment horizontal="left" vertical="center"/>
    </xf>
    <xf numFmtId="0" fontId="61" fillId="24" borderId="17" xfId="0" applyFont="1" applyFill="1" applyBorder="1" applyAlignment="1">
      <alignment horizontal="left" vertical="center"/>
    </xf>
    <xf numFmtId="0" fontId="1" fillId="24" borderId="7" xfId="1" applyFill="1" applyBorder="1" applyAlignment="1">
      <alignment horizontal="left" vertical="center" wrapText="1"/>
    </xf>
    <xf numFmtId="49" fontId="0" fillId="24" borderId="137" xfId="0" applyNumberFormat="1" applyFill="1" applyBorder="1" applyAlignment="1">
      <alignment horizontal="center" vertical="center"/>
    </xf>
    <xf numFmtId="0" fontId="0" fillId="24" borderId="0" xfId="0" applyFill="1" applyAlignment="1">
      <alignment horizontal="center" vertical="center" wrapText="1"/>
    </xf>
    <xf numFmtId="0" fontId="2" fillId="24" borderId="0" xfId="0" applyFont="1" applyFill="1" applyAlignment="1">
      <alignment horizontal="center" vertical="center"/>
    </xf>
    <xf numFmtId="0" fontId="0" fillId="27" borderId="0" xfId="0" applyFill="1" applyAlignment="1">
      <alignment horizontal="center" vertical="center"/>
    </xf>
    <xf numFmtId="49" fontId="0" fillId="0" borderId="128" xfId="2" applyNumberFormat="1" applyFont="1" applyFill="1" applyBorder="1" applyAlignment="1">
      <alignment horizontal="center" vertical="center"/>
    </xf>
    <xf numFmtId="49" fontId="0" fillId="0" borderId="129" xfId="2" applyNumberFormat="1" applyFont="1" applyFill="1" applyBorder="1" applyAlignment="1">
      <alignment horizontal="center" vertical="center"/>
    </xf>
    <xf numFmtId="49" fontId="0" fillId="0" borderId="129" xfId="0" applyNumberFormat="1" applyBorder="1" applyAlignment="1">
      <alignment horizontal="center" vertical="center"/>
    </xf>
    <xf numFmtId="49" fontId="0" fillId="0" borderId="130" xfId="0" applyNumberFormat="1" applyBorder="1" applyAlignment="1">
      <alignment horizontal="center" vertical="center"/>
    </xf>
    <xf numFmtId="49" fontId="0" fillId="0" borderId="138" xfId="0" applyNumberFormat="1" applyBorder="1" applyAlignment="1">
      <alignment horizontal="center" vertical="center"/>
    </xf>
    <xf numFmtId="49" fontId="0" fillId="0" borderId="139" xfId="0" applyNumberFormat="1" applyBorder="1" applyAlignment="1">
      <alignment horizontal="center" vertical="center"/>
    </xf>
    <xf numFmtId="49" fontId="0" fillId="0" borderId="140" xfId="0" applyNumberFormat="1" applyBorder="1" applyAlignment="1">
      <alignment horizontal="center" vertical="center"/>
    </xf>
    <xf numFmtId="49" fontId="0" fillId="0" borderId="211" xfId="0" applyNumberFormat="1" applyBorder="1" applyAlignment="1">
      <alignment horizontal="center" vertical="center"/>
    </xf>
    <xf numFmtId="49" fontId="0" fillId="0" borderId="217" xfId="0" applyNumberFormat="1" applyBorder="1" applyAlignment="1">
      <alignment horizontal="center" vertical="center"/>
    </xf>
    <xf numFmtId="49" fontId="0" fillId="0" borderId="218" xfId="0" applyNumberFormat="1" applyBorder="1" applyAlignment="1">
      <alignment horizontal="center" vertical="center"/>
    </xf>
    <xf numFmtId="49" fontId="0" fillId="0" borderId="145" xfId="0" applyNumberFormat="1" applyBorder="1" applyAlignment="1">
      <alignment horizontal="center" vertical="center"/>
    </xf>
    <xf numFmtId="49" fontId="0" fillId="0" borderId="219" xfId="0" applyNumberFormat="1" applyBorder="1" applyAlignment="1">
      <alignment horizontal="center" vertical="center"/>
    </xf>
    <xf numFmtId="0" fontId="1" fillId="0" borderId="0" xfId="1" applyFill="1" applyBorder="1" applyAlignment="1">
      <alignment horizontal="center" vertical="center" wrapText="1"/>
    </xf>
    <xf numFmtId="0" fontId="0" fillId="0" borderId="113" xfId="0" applyBorder="1" applyAlignment="1">
      <alignment horizontal="center" vertical="center" wrapText="1"/>
    </xf>
    <xf numFmtId="49" fontId="2" fillId="18" borderId="221" xfId="0" applyNumberFormat="1" applyFont="1" applyFill="1" applyBorder="1" applyAlignment="1">
      <alignment horizontal="center" vertical="center" wrapText="1"/>
    </xf>
    <xf numFmtId="49" fontId="2" fillId="18" borderId="222" xfId="0" applyNumberFormat="1" applyFont="1" applyFill="1" applyBorder="1" applyAlignment="1">
      <alignment horizontal="center" vertical="center" wrapText="1"/>
    </xf>
    <xf numFmtId="49" fontId="50" fillId="18" borderId="222" xfId="0" applyNumberFormat="1" applyFont="1" applyFill="1" applyBorder="1" applyAlignment="1">
      <alignment horizontal="center" vertical="center" wrapText="1"/>
    </xf>
    <xf numFmtId="49" fontId="2" fillId="18" borderId="223" xfId="0" applyNumberFormat="1" applyFont="1" applyFill="1" applyBorder="1" applyAlignment="1">
      <alignment horizontal="center" vertical="center" wrapText="1"/>
    </xf>
    <xf numFmtId="0" fontId="1" fillId="0" borderId="129" xfId="1" applyFill="1" applyBorder="1" applyAlignment="1">
      <alignment horizontal="center" vertical="center"/>
    </xf>
    <xf numFmtId="0" fontId="0" fillId="0" borderId="138" xfId="0" applyBorder="1" applyAlignment="1">
      <alignment horizontal="center" vertical="center"/>
    </xf>
    <xf numFmtId="0" fontId="0" fillId="0" borderId="139" xfId="0" applyBorder="1" applyAlignment="1">
      <alignment horizontal="center" vertical="center"/>
    </xf>
    <xf numFmtId="0" fontId="1" fillId="0" borderId="139" xfId="1" applyFill="1" applyBorder="1" applyAlignment="1">
      <alignment horizontal="center" vertical="center"/>
    </xf>
    <xf numFmtId="0" fontId="0" fillId="0" borderId="140" xfId="0" applyBorder="1" applyAlignment="1">
      <alignment horizontal="center" vertical="center"/>
    </xf>
    <xf numFmtId="49" fontId="2" fillId="4" borderId="224" xfId="0" applyNumberFormat="1" applyFont="1" applyFill="1" applyBorder="1" applyAlignment="1">
      <alignment horizontal="center" vertical="center" wrapText="1"/>
    </xf>
    <xf numFmtId="49" fontId="2" fillId="4" borderId="225" xfId="0" applyNumberFormat="1" applyFont="1" applyFill="1" applyBorder="1" applyAlignment="1">
      <alignment horizontal="center" vertical="center" wrapText="1"/>
    </xf>
    <xf numFmtId="49" fontId="0" fillId="0" borderId="137" xfId="0" applyNumberFormat="1" applyBorder="1" applyAlignment="1">
      <alignment horizontal="center" vertical="center" wrapText="1"/>
    </xf>
    <xf numFmtId="49" fontId="0" fillId="0" borderId="0" xfId="0" applyNumberFormat="1" applyAlignment="1">
      <alignment horizontal="center"/>
    </xf>
    <xf numFmtId="49" fontId="0" fillId="0" borderId="139" xfId="0" applyNumberFormat="1" applyBorder="1" applyAlignment="1">
      <alignment horizontal="center"/>
    </xf>
    <xf numFmtId="49" fontId="0" fillId="0" borderId="140" xfId="0" applyNumberFormat="1" applyBorder="1" applyAlignment="1">
      <alignment horizontal="center"/>
    </xf>
    <xf numFmtId="49" fontId="2" fillId="17" borderId="62" xfId="0" applyNumberFormat="1" applyFont="1" applyFill="1" applyBorder="1" applyAlignment="1">
      <alignment horizontal="center" vertical="center" wrapText="1"/>
    </xf>
    <xf numFmtId="49" fontId="2" fillId="13" borderId="62" xfId="0" applyNumberFormat="1" applyFont="1" applyFill="1" applyBorder="1" applyAlignment="1">
      <alignment horizontal="center" vertical="center" wrapText="1"/>
    </xf>
    <xf numFmtId="49" fontId="2" fillId="15" borderId="226" xfId="0" applyNumberFormat="1" applyFont="1" applyFill="1" applyBorder="1" applyAlignment="1">
      <alignment horizontal="center" vertical="center" wrapText="1"/>
    </xf>
    <xf numFmtId="49" fontId="2" fillId="15" borderId="227" xfId="0" applyNumberFormat="1" applyFont="1" applyFill="1" applyBorder="1" applyAlignment="1">
      <alignment horizontal="center" vertical="center" wrapText="1"/>
    </xf>
    <xf numFmtId="49" fontId="0" fillId="0" borderId="228" xfId="0" applyNumberFormat="1" applyBorder="1" applyAlignment="1">
      <alignment horizontal="center" vertical="center"/>
    </xf>
    <xf numFmtId="49" fontId="0" fillId="0" borderId="118" xfId="0" applyNumberFormat="1" applyBorder="1" applyAlignment="1">
      <alignment horizontal="center" vertical="center"/>
    </xf>
    <xf numFmtId="49" fontId="0" fillId="0" borderId="146" xfId="0" applyNumberFormat="1" applyBorder="1" applyAlignment="1">
      <alignment horizontal="center" vertical="center"/>
    </xf>
    <xf numFmtId="49" fontId="2" fillId="17" borderId="229" xfId="0" applyNumberFormat="1" applyFont="1" applyFill="1" applyBorder="1" applyAlignment="1">
      <alignment horizontal="center" vertical="center" wrapText="1"/>
    </xf>
    <xf numFmtId="49" fontId="2" fillId="18" borderId="230" xfId="0" applyNumberFormat="1" applyFont="1" applyFill="1" applyBorder="1" applyAlignment="1">
      <alignment horizontal="center" vertical="center" wrapText="1"/>
    </xf>
    <xf numFmtId="49" fontId="2" fillId="4" borderId="231" xfId="0" applyNumberFormat="1" applyFont="1" applyFill="1" applyBorder="1" applyAlignment="1">
      <alignment horizontal="center" vertical="center" wrapText="1"/>
    </xf>
    <xf numFmtId="49" fontId="2" fillId="17" borderId="232" xfId="0" applyNumberFormat="1" applyFont="1" applyFill="1" applyBorder="1" applyAlignment="1">
      <alignment horizontal="center" vertical="center" wrapText="1"/>
    </xf>
    <xf numFmtId="49" fontId="2" fillId="17" borderId="202" xfId="0" applyNumberFormat="1" applyFont="1" applyFill="1" applyBorder="1" applyAlignment="1">
      <alignment horizontal="center" vertical="center" wrapText="1"/>
    </xf>
    <xf numFmtId="49" fontId="2" fillId="17" borderId="233" xfId="0" applyNumberFormat="1" applyFont="1" applyFill="1" applyBorder="1" applyAlignment="1">
      <alignment horizontal="center" vertical="center" wrapText="1"/>
    </xf>
    <xf numFmtId="49" fontId="2" fillId="7" borderId="234" xfId="0" applyNumberFormat="1" applyFont="1" applyFill="1" applyBorder="1" applyAlignment="1">
      <alignment horizontal="center" vertical="center" wrapText="1"/>
    </xf>
    <xf numFmtId="49" fontId="2" fillId="45" borderId="236" xfId="0" applyNumberFormat="1" applyFont="1" applyFill="1" applyBorder="1" applyAlignment="1">
      <alignment horizontal="center" vertical="center" wrapText="1"/>
    </xf>
    <xf numFmtId="49" fontId="2" fillId="45" borderId="237" xfId="0" applyNumberFormat="1" applyFont="1" applyFill="1" applyBorder="1" applyAlignment="1">
      <alignment horizontal="center" vertical="center" wrapText="1"/>
    </xf>
    <xf numFmtId="49" fontId="2" fillId="45" borderId="238" xfId="0" applyNumberFormat="1" applyFont="1" applyFill="1" applyBorder="1" applyAlignment="1">
      <alignment horizontal="center" vertical="center" wrapText="1"/>
    </xf>
    <xf numFmtId="0" fontId="2" fillId="0" borderId="246" xfId="0" applyFont="1" applyBorder="1" applyAlignment="1">
      <alignment horizontal="center" vertical="center"/>
    </xf>
    <xf numFmtId="0" fontId="2" fillId="0" borderId="247" xfId="0" applyFont="1" applyBorder="1" applyAlignment="1">
      <alignment horizontal="center" vertical="center"/>
    </xf>
    <xf numFmtId="0" fontId="2" fillId="0" borderId="248" xfId="0" applyFont="1" applyBorder="1" applyAlignment="1">
      <alignment horizontal="center" vertical="center"/>
    </xf>
    <xf numFmtId="0" fontId="0" fillId="0" borderId="241" xfId="0" applyBorder="1" applyAlignment="1">
      <alignment horizontal="center" vertical="center"/>
    </xf>
    <xf numFmtId="0" fontId="0" fillId="0" borderId="243" xfId="0" applyBorder="1" applyAlignment="1">
      <alignment horizontal="center" vertical="center"/>
    </xf>
    <xf numFmtId="0" fontId="0" fillId="0" borderId="244" xfId="0" applyBorder="1" applyAlignment="1">
      <alignment horizontal="center" vertical="center"/>
    </xf>
    <xf numFmtId="0" fontId="1" fillId="0" borderId="244" xfId="1" applyFill="1" applyBorder="1" applyAlignment="1">
      <alignment horizontal="center" vertical="center"/>
    </xf>
    <xf numFmtId="0" fontId="0" fillId="0" borderId="249" xfId="0" applyBorder="1" applyAlignment="1">
      <alignment horizontal="center" vertical="center"/>
    </xf>
    <xf numFmtId="49" fontId="2" fillId="0" borderId="235" xfId="0" applyNumberFormat="1" applyFont="1" applyBorder="1" applyAlignment="1">
      <alignment horizontal="center" vertical="center" wrapText="1"/>
    </xf>
    <xf numFmtId="49" fontId="2" fillId="0" borderId="251" xfId="0" applyNumberFormat="1" applyFont="1" applyBorder="1" applyAlignment="1">
      <alignment horizontal="center" vertical="center" wrapText="1"/>
    </xf>
    <xf numFmtId="49" fontId="2" fillId="0" borderId="154" xfId="0" applyNumberFormat="1" applyFont="1" applyBorder="1" applyAlignment="1">
      <alignment horizontal="center" vertical="center" wrapText="1"/>
    </xf>
    <xf numFmtId="49" fontId="0" fillId="0" borderId="240" xfId="0" applyNumberFormat="1" applyBorder="1" applyAlignment="1">
      <alignment horizontal="center" vertical="center"/>
    </xf>
    <xf numFmtId="49" fontId="0" fillId="0" borderId="242" xfId="0" applyNumberFormat="1" applyBorder="1" applyAlignment="1">
      <alignment horizontal="center" vertical="center"/>
    </xf>
    <xf numFmtId="49" fontId="0" fillId="0" borderId="250" xfId="0" applyNumberFormat="1" applyBorder="1" applyAlignment="1">
      <alignment horizontal="center" vertical="center"/>
    </xf>
    <xf numFmtId="49" fontId="0" fillId="0" borderId="244" xfId="0" applyNumberFormat="1" applyBorder="1" applyAlignment="1">
      <alignment horizontal="center" vertical="center"/>
    </xf>
    <xf numFmtId="49" fontId="0" fillId="0" borderId="245" xfId="0" applyNumberFormat="1" applyBorder="1" applyAlignment="1">
      <alignment horizontal="center" vertical="center"/>
    </xf>
    <xf numFmtId="49" fontId="2" fillId="45" borderId="252" xfId="0" applyNumberFormat="1" applyFont="1" applyFill="1" applyBorder="1" applyAlignment="1">
      <alignment horizontal="center" vertical="center" wrapText="1"/>
    </xf>
    <xf numFmtId="49" fontId="2" fillId="45" borderId="253" xfId="0" applyNumberFormat="1" applyFont="1" applyFill="1" applyBorder="1" applyAlignment="1">
      <alignment horizontal="center" vertical="center" wrapText="1"/>
    </xf>
    <xf numFmtId="49" fontId="0" fillId="0" borderId="239" xfId="0" applyNumberFormat="1" applyBorder="1" applyAlignment="1">
      <alignment horizontal="center" vertical="center"/>
    </xf>
    <xf numFmtId="49" fontId="0" fillId="0" borderId="241" xfId="0" applyNumberFormat="1" applyBorder="1" applyAlignment="1">
      <alignment horizontal="center" vertical="center"/>
    </xf>
    <xf numFmtId="49" fontId="36" fillId="0" borderId="241" xfId="0" applyNumberFormat="1" applyFont="1" applyBorder="1" applyAlignment="1">
      <alignment horizontal="center" vertical="center"/>
    </xf>
    <xf numFmtId="49" fontId="0" fillId="0" borderId="243" xfId="0" applyNumberFormat="1" applyBorder="1" applyAlignment="1">
      <alignment horizontal="center" vertical="center"/>
    </xf>
    <xf numFmtId="49" fontId="2" fillId="13" borderId="254" xfId="0" applyNumberFormat="1" applyFont="1" applyFill="1" applyBorder="1" applyAlignment="1">
      <alignment horizontal="center" vertical="center" wrapText="1"/>
    </xf>
    <xf numFmtId="49" fontId="2" fillId="13" borderId="255" xfId="0" applyNumberFormat="1" applyFont="1" applyFill="1" applyBorder="1" applyAlignment="1">
      <alignment horizontal="center" vertical="center" wrapText="1"/>
    </xf>
    <xf numFmtId="49" fontId="2" fillId="13" borderId="256" xfId="0" applyNumberFormat="1" applyFont="1" applyFill="1" applyBorder="1" applyAlignment="1">
      <alignment horizontal="center" vertical="center" wrapText="1"/>
    </xf>
    <xf numFmtId="49" fontId="2" fillId="13" borderId="257" xfId="0" applyNumberFormat="1" applyFont="1" applyFill="1" applyBorder="1" applyAlignment="1">
      <alignment horizontal="center" vertical="center" wrapText="1"/>
    </xf>
    <xf numFmtId="49" fontId="2" fillId="13" borderId="258" xfId="0" applyNumberFormat="1" applyFont="1" applyFill="1" applyBorder="1" applyAlignment="1">
      <alignment horizontal="center" vertical="center" wrapText="1"/>
    </xf>
    <xf numFmtId="49" fontId="2" fillId="13" borderId="259" xfId="0" applyNumberFormat="1" applyFont="1" applyFill="1" applyBorder="1" applyAlignment="1">
      <alignment horizontal="center" vertical="center" wrapText="1"/>
    </xf>
    <xf numFmtId="0" fontId="1" fillId="0" borderId="0" xfId="1" applyFill="1" applyBorder="1" applyAlignment="1">
      <alignment horizontal="center"/>
    </xf>
    <xf numFmtId="0" fontId="19" fillId="18" borderId="34" xfId="0" applyFont="1" applyFill="1" applyBorder="1" applyAlignment="1">
      <alignment horizontal="center" vertical="center"/>
    </xf>
    <xf numFmtId="0" fontId="19" fillId="18" borderId="33" xfId="0" applyFont="1" applyFill="1" applyBorder="1" applyAlignment="1">
      <alignment horizontal="center" vertical="center"/>
    </xf>
    <xf numFmtId="0" fontId="19" fillId="18" borderId="260" xfId="0" applyFont="1" applyFill="1" applyBorder="1" applyAlignment="1">
      <alignment horizontal="center" vertical="center"/>
    </xf>
    <xf numFmtId="0" fontId="2" fillId="6" borderId="7" xfId="0" applyFont="1" applyFill="1" applyBorder="1" applyAlignment="1">
      <alignment horizontal="center" vertical="center"/>
    </xf>
    <xf numFmtId="0" fontId="1" fillId="6" borderId="7" xfId="1" applyFill="1" applyBorder="1" applyAlignment="1">
      <alignment horizontal="center" vertical="center"/>
    </xf>
    <xf numFmtId="0" fontId="6" fillId="6" borderId="7" xfId="0" applyFont="1" applyFill="1" applyBorder="1" applyAlignment="1">
      <alignment horizontal="center" vertical="center"/>
    </xf>
    <xf numFmtId="49" fontId="0" fillId="34" borderId="0" xfId="0" applyNumberFormat="1" applyFill="1" applyAlignment="1">
      <alignment horizontal="center" vertical="center"/>
    </xf>
    <xf numFmtId="0" fontId="0" fillId="21" borderId="117" xfId="0" applyFill="1" applyBorder="1" applyAlignment="1">
      <alignment horizontal="center" vertical="center"/>
    </xf>
    <xf numFmtId="0" fontId="1" fillId="21" borderId="0" xfId="1" applyFill="1" applyBorder="1" applyAlignment="1">
      <alignment horizontal="center" vertical="center"/>
    </xf>
    <xf numFmtId="0" fontId="0" fillId="21" borderId="118" xfId="0" applyFill="1" applyBorder="1" applyAlignment="1">
      <alignment horizontal="center" vertical="center"/>
    </xf>
    <xf numFmtId="0" fontId="0" fillId="21" borderId="172" xfId="0" applyFill="1" applyBorder="1" applyAlignment="1">
      <alignment horizontal="center" vertical="center"/>
    </xf>
    <xf numFmtId="0" fontId="0" fillId="21" borderId="173" xfId="0" applyFill="1" applyBorder="1" applyAlignment="1">
      <alignment horizontal="center" vertical="center"/>
    </xf>
    <xf numFmtId="0" fontId="1" fillId="21" borderId="173" xfId="1" applyFill="1" applyBorder="1" applyAlignment="1">
      <alignment horizontal="center" vertical="center"/>
    </xf>
    <xf numFmtId="0" fontId="0" fillId="21" borderId="174" xfId="0" applyFill="1" applyBorder="1" applyAlignment="1">
      <alignment horizontal="center" vertical="center"/>
    </xf>
    <xf numFmtId="0" fontId="0" fillId="21" borderId="115" xfId="0" applyFill="1" applyBorder="1" applyAlignment="1">
      <alignment horizontal="center" vertical="center"/>
    </xf>
    <xf numFmtId="0" fontId="0" fillId="21" borderId="116" xfId="0" applyFill="1" applyBorder="1" applyAlignment="1">
      <alignment horizontal="center" vertical="center"/>
    </xf>
    <xf numFmtId="0" fontId="2" fillId="17" borderId="117" xfId="0" applyFont="1" applyFill="1" applyBorder="1" applyAlignment="1">
      <alignment horizontal="center" vertical="center" wrapText="1"/>
    </xf>
    <xf numFmtId="0" fontId="17" fillId="20" borderId="7" xfId="0" applyFont="1" applyFill="1" applyBorder="1" applyAlignment="1">
      <alignment horizontal="center" vertical="center"/>
    </xf>
    <xf numFmtId="0" fontId="2" fillId="18" borderId="0" xfId="0" applyFont="1" applyFill="1" applyAlignment="1">
      <alignment horizontal="center" vertical="center"/>
    </xf>
    <xf numFmtId="0" fontId="2" fillId="18" borderId="34" xfId="0" applyFont="1" applyFill="1" applyBorder="1" applyAlignment="1">
      <alignment horizontal="center"/>
    </xf>
    <xf numFmtId="0" fontId="2" fillId="43" borderId="104" xfId="0" applyFont="1" applyFill="1" applyBorder="1" applyAlignment="1">
      <alignment horizontal="center" vertical="center"/>
    </xf>
    <xf numFmtId="0" fontId="2" fillId="37" borderId="261" xfId="0" applyFont="1" applyFill="1" applyBorder="1" applyAlignment="1">
      <alignment horizontal="center" vertical="center"/>
    </xf>
    <xf numFmtId="0" fontId="2" fillId="7" borderId="7" xfId="0" applyFont="1" applyFill="1" applyBorder="1" applyAlignment="1">
      <alignment horizontal="center" vertical="center"/>
    </xf>
    <xf numFmtId="0" fontId="2" fillId="13" borderId="0" xfId="0" applyFont="1" applyFill="1" applyAlignment="1">
      <alignment horizontal="center" vertical="center" wrapText="1"/>
    </xf>
    <xf numFmtId="0" fontId="0" fillId="0" borderId="180" xfId="0" applyBorder="1" applyAlignment="1">
      <alignment horizontal="center" vertical="center"/>
    </xf>
    <xf numFmtId="0" fontId="0" fillId="0" borderId="181" xfId="0" applyBorder="1" applyAlignment="1">
      <alignment horizontal="center" vertical="center"/>
    </xf>
    <xf numFmtId="0" fontId="1" fillId="0" borderId="181" xfId="1" applyBorder="1" applyAlignment="1">
      <alignment horizontal="center" vertical="center"/>
    </xf>
    <xf numFmtId="0" fontId="0" fillId="0" borderId="181" xfId="0" applyBorder="1" applyAlignment="1">
      <alignment horizontal="center"/>
    </xf>
    <xf numFmtId="0" fontId="0" fillId="0" borderId="182" xfId="0" applyBorder="1" applyAlignment="1">
      <alignment horizontal="center" vertical="center"/>
    </xf>
    <xf numFmtId="0" fontId="2" fillId="0" borderId="0" xfId="0" applyFont="1" applyAlignment="1">
      <alignment vertical="center"/>
    </xf>
    <xf numFmtId="0" fontId="2" fillId="0" borderId="191" xfId="0" applyFont="1" applyBorder="1" applyAlignment="1">
      <alignment horizontal="center" vertical="center"/>
    </xf>
    <xf numFmtId="0" fontId="2" fillId="0" borderId="192" xfId="0" applyFont="1" applyBorder="1" applyAlignment="1">
      <alignment horizontal="center" vertical="center"/>
    </xf>
    <xf numFmtId="0" fontId="2" fillId="0" borderId="193" xfId="0" applyFont="1" applyBorder="1" applyAlignment="1">
      <alignment horizontal="center" vertical="center"/>
    </xf>
    <xf numFmtId="0" fontId="0" fillId="0" borderId="196" xfId="0" applyBorder="1" applyAlignment="1">
      <alignment horizontal="center" vertical="center"/>
    </xf>
    <xf numFmtId="0" fontId="1" fillId="0" borderId="197" xfId="1" applyBorder="1" applyAlignment="1">
      <alignment horizontal="center" vertical="center"/>
    </xf>
    <xf numFmtId="49" fontId="0" fillId="0" borderId="0" xfId="0" applyNumberFormat="1">
      <extLst>
        <ext xmlns:xfpb="http://schemas.microsoft.com/office/spreadsheetml/2022/featurepropertybag" uri="{C7286773-470A-42A8-94C5-96B5CB345126}">
          <xfpb:xfComplement i="0"/>
        </ext>
      </extLst>
    </xf>
    <xf numFmtId="49" fontId="2" fillId="0" borderId="0" xfId="0" applyNumberFormat="1" applyFont="1">
      <extLst>
        <ext xmlns:xfpb="http://schemas.microsoft.com/office/spreadsheetml/2022/featurepropertybag" uri="{C7286773-470A-42A8-94C5-96B5CB345126}">
          <xfpb:xfComplement i="0"/>
        </ext>
      </extLst>
    </xf>
    <xf numFmtId="1" fontId="2" fillId="13" borderId="0" xfId="0" applyNumberFormat="1" applyFont="1" applyFill="1" applyAlignment="1">
      <alignment horizontal="center"/>
    </xf>
    <xf numFmtId="49" fontId="2" fillId="13" borderId="0" xfId="0" applyNumberFormat="1" applyFont="1" applyFill="1" applyAlignment="1">
      <alignment horizontal="center" vertical="center"/>
    </xf>
    <xf numFmtId="0" fontId="0" fillId="55" borderId="220" xfId="0" applyFill="1" applyBorder="1" applyAlignment="1">
      <alignment horizontal="center" vertical="center"/>
    </xf>
    <xf numFmtId="0" fontId="0" fillId="17" borderId="7" xfId="0" applyFill="1" applyBorder="1" applyAlignment="1">
      <alignment horizontal="center" vertical="center"/>
    </xf>
    <xf numFmtId="0" fontId="1" fillId="17" borderId="7" xfId="1" applyFill="1" applyBorder="1" applyAlignment="1">
      <alignment horizontal="center" vertical="center"/>
    </xf>
    <xf numFmtId="0" fontId="0" fillId="0" borderId="263" xfId="0" applyBorder="1" applyAlignment="1">
      <alignment horizontal="center" vertical="center"/>
    </xf>
    <xf numFmtId="0" fontId="0" fillId="0" borderId="264" xfId="0" applyBorder="1" applyAlignment="1">
      <alignment horizontal="center" vertical="center"/>
    </xf>
    <xf numFmtId="0" fontId="0" fillId="0" borderId="264" xfId="0" applyBorder="1" applyAlignment="1">
      <alignment horizontal="center"/>
    </xf>
    <xf numFmtId="0" fontId="0" fillId="0" borderId="265" xfId="0" applyBorder="1" applyAlignment="1">
      <alignment horizontal="center" vertical="center"/>
    </xf>
    <xf numFmtId="0" fontId="0" fillId="0" borderId="266" xfId="0" applyBorder="1" applyAlignment="1">
      <alignment horizontal="center" vertical="center"/>
    </xf>
    <xf numFmtId="0" fontId="0" fillId="0" borderId="266" xfId="0" applyBorder="1" applyAlignment="1">
      <alignment horizontal="center"/>
    </xf>
    <xf numFmtId="0" fontId="1" fillId="0" borderId="266" xfId="1" applyFill="1" applyBorder="1" applyAlignment="1">
      <alignment horizontal="center"/>
    </xf>
    <xf numFmtId="0" fontId="0" fillId="0" borderId="267" xfId="0" applyBorder="1" applyAlignment="1">
      <alignment horizontal="center"/>
    </xf>
    <xf numFmtId="0" fontId="19" fillId="0" borderId="268" xfId="0" applyFont="1" applyBorder="1" applyAlignment="1">
      <alignment horizontal="center" vertical="center"/>
    </xf>
    <xf numFmtId="0" fontId="19" fillId="0" borderId="269" xfId="0" applyFont="1" applyBorder="1" applyAlignment="1">
      <alignment horizontal="center" vertical="center"/>
    </xf>
    <xf numFmtId="0" fontId="19" fillId="0" borderId="270" xfId="0" applyFont="1" applyBorder="1" applyAlignment="1">
      <alignment horizontal="center" vertical="center"/>
    </xf>
    <xf numFmtId="0" fontId="0" fillId="0" borderId="271" xfId="0" applyBorder="1" applyAlignment="1">
      <alignment horizontal="center" vertical="center"/>
    </xf>
    <xf numFmtId="0" fontId="0" fillId="0" borderId="218" xfId="0" applyBorder="1" applyAlignment="1">
      <alignment horizontal="center" vertical="center"/>
    </xf>
    <xf numFmtId="0" fontId="0" fillId="0" borderId="218" xfId="0" applyBorder="1" applyAlignment="1">
      <alignment horizontal="center"/>
    </xf>
    <xf numFmtId="0" fontId="0" fillId="0" borderId="85" xfId="0" applyBorder="1" applyAlignment="1">
      <alignment horizontal="center" vertical="center"/>
    </xf>
    <xf numFmtId="0" fontId="0" fillId="0" borderId="272" xfId="0" applyBorder="1" applyAlignment="1">
      <alignment horizontal="center" vertical="center"/>
    </xf>
    <xf numFmtId="0" fontId="0" fillId="0" borderId="272" xfId="0" applyBorder="1" applyAlignment="1">
      <alignment horizontal="center"/>
    </xf>
    <xf numFmtId="0" fontId="1" fillId="0" borderId="272" xfId="1" applyFill="1" applyBorder="1" applyAlignment="1">
      <alignment horizontal="center"/>
    </xf>
    <xf numFmtId="0" fontId="0" fillId="0" borderId="273" xfId="0" applyBorder="1" applyAlignment="1">
      <alignment horizontal="center"/>
    </xf>
    <xf numFmtId="0" fontId="19" fillId="0" borderId="42" xfId="0" applyFont="1" applyBorder="1" applyAlignment="1">
      <alignment horizontal="center" vertical="center"/>
    </xf>
    <xf numFmtId="0" fontId="19" fillId="0" borderId="274" xfId="0" applyFont="1" applyBorder="1" applyAlignment="1">
      <alignment horizontal="center" vertical="center"/>
    </xf>
    <xf numFmtId="0" fontId="19" fillId="0" borderId="41" xfId="0" applyFont="1" applyBorder="1" applyAlignment="1">
      <alignment horizontal="center" vertical="center"/>
    </xf>
    <xf numFmtId="0" fontId="2" fillId="52" borderId="0" xfId="0" applyFont="1" applyFill="1" applyAlignment="1">
      <alignment horizontal="center" vertical="center"/>
    </xf>
    <xf numFmtId="0" fontId="17" fillId="15" borderId="0" xfId="0" applyFont="1" applyFill="1" applyAlignment="1">
      <alignment horizontal="center" vertical="center" wrapText="1"/>
    </xf>
    <xf numFmtId="0" fontId="2" fillId="18" borderId="0" xfId="0" applyFont="1" applyFill="1" applyAlignment="1">
      <alignment horizontal="center" vertical="center" wrapText="1"/>
    </xf>
    <xf numFmtId="0" fontId="2" fillId="13" borderId="0" xfId="0" applyFont="1" applyFill="1" applyAlignment="1">
      <alignment horizontal="center" vertical="center" wrapText="1"/>
    </xf>
    <xf numFmtId="0" fontId="2" fillId="17" borderId="0" xfId="0" applyFont="1" applyFill="1" applyAlignment="1">
      <alignment horizontal="center" vertical="center" wrapText="1"/>
    </xf>
    <xf numFmtId="0" fontId="7" fillId="11" borderId="0" xfId="0" applyFont="1" applyFill="1" applyAlignment="1">
      <alignment horizontal="center" vertical="center" wrapText="1"/>
    </xf>
    <xf numFmtId="0" fontId="2" fillId="3" borderId="0" xfId="0" applyFont="1" applyFill="1" applyAlignment="1">
      <alignment horizontal="center" vertical="center" wrapText="1"/>
    </xf>
    <xf numFmtId="0" fontId="2" fillId="17" borderId="210" xfId="0" applyFont="1" applyFill="1" applyBorder="1" applyAlignment="1">
      <alignment horizontal="center"/>
    </xf>
    <xf numFmtId="0" fontId="2" fillId="17" borderId="211" xfId="0" applyFont="1" applyFill="1" applyBorder="1" applyAlignment="1">
      <alignment horizontal="center"/>
    </xf>
    <xf numFmtId="0" fontId="2" fillId="17" borderId="228" xfId="0" applyFont="1" applyFill="1" applyBorder="1" applyAlignment="1">
      <alignment horizontal="center"/>
    </xf>
    <xf numFmtId="0" fontId="0" fillId="0" borderId="117" xfId="0" applyBorder="1" applyAlignment="1">
      <alignment horizontal="center" vertical="center" wrapText="1"/>
    </xf>
    <xf numFmtId="0" fontId="0" fillId="0" borderId="0" xfId="0" applyAlignment="1">
      <alignment horizontal="center" vertical="center" wrapText="1"/>
    </xf>
    <xf numFmtId="0" fontId="0" fillId="0" borderId="118" xfId="0" applyBorder="1" applyAlignment="1">
      <alignment horizontal="center" vertical="center" wrapText="1"/>
    </xf>
    <xf numFmtId="0" fontId="0" fillId="0" borderId="0" xfId="0" applyAlignment="1">
      <alignment horizontal="center" vertical="center"/>
    </xf>
    <xf numFmtId="0" fontId="0" fillId="0" borderId="118" xfId="0" applyBorder="1" applyAlignment="1">
      <alignment horizontal="center" vertical="center"/>
    </xf>
    <xf numFmtId="0" fontId="0" fillId="0" borderId="117" xfId="0" applyBorder="1" applyAlignment="1">
      <alignment horizontal="center" vertical="center"/>
    </xf>
    <xf numFmtId="0" fontId="2" fillId="17" borderId="0" xfId="0" applyFont="1" applyFill="1" applyAlignment="1">
      <alignment horizontal="center" vertical="center"/>
    </xf>
    <xf numFmtId="0" fontId="2" fillId="17" borderId="118" xfId="0" applyFont="1" applyFill="1" applyBorder="1" applyAlignment="1">
      <alignment horizontal="center" vertical="center"/>
    </xf>
    <xf numFmtId="0" fontId="0" fillId="0" borderId="145" xfId="0" applyBorder="1" applyAlignment="1">
      <alignment horizontal="center" vertical="center"/>
    </xf>
    <xf numFmtId="0" fontId="0" fillId="0" borderId="146" xfId="0" applyBorder="1" applyAlignment="1">
      <alignment horizontal="center" vertical="center"/>
    </xf>
    <xf numFmtId="0" fontId="0" fillId="0" borderId="144" xfId="0" applyBorder="1" applyAlignment="1">
      <alignment horizontal="center" vertical="center"/>
    </xf>
    <xf numFmtId="0" fontId="0" fillId="0" borderId="145" xfId="0" applyBorder="1" applyAlignment="1">
      <alignment horizontal="center" vertical="center" wrapText="1"/>
    </xf>
    <xf numFmtId="0" fontId="0" fillId="0" borderId="146" xfId="0" applyBorder="1" applyAlignment="1">
      <alignment horizontal="center" vertical="center" wrapText="1"/>
    </xf>
    <xf numFmtId="0" fontId="0" fillId="0" borderId="144" xfId="0" applyBorder="1" applyAlignment="1">
      <alignment horizontal="center" vertical="center" wrapText="1"/>
    </xf>
    <xf numFmtId="0" fontId="2" fillId="18" borderId="0" xfId="0" applyFont="1" applyFill="1" applyAlignment="1">
      <alignment horizontal="center"/>
    </xf>
    <xf numFmtId="0" fontId="2" fillId="18" borderId="0" xfId="0" applyFont="1" applyFill="1" applyAlignment="1">
      <alignment horizontal="center" vertical="center"/>
    </xf>
    <xf numFmtId="0" fontId="0" fillId="4" borderId="0" xfId="0" applyFill="1" applyAlignment="1">
      <alignment horizontal="center"/>
    </xf>
    <xf numFmtId="0" fontId="0" fillId="0" borderId="0" xfId="0" applyAlignment="1">
      <alignment horizontal="center"/>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4" borderId="0" xfId="0" applyFont="1" applyFill="1" applyAlignment="1">
      <alignment horizontal="center" vertical="center"/>
    </xf>
    <xf numFmtId="0" fontId="17" fillId="42" borderId="7" xfId="0" applyFont="1" applyFill="1" applyBorder="1" applyAlignment="1">
      <alignment horizontal="center" vertical="center"/>
    </xf>
    <xf numFmtId="0" fontId="2" fillId="34" borderId="126" xfId="0" applyFont="1" applyFill="1" applyBorder="1" applyAlignment="1">
      <alignment horizontal="center" vertical="center"/>
    </xf>
    <xf numFmtId="0" fontId="2" fillId="34" borderId="0" xfId="0" applyFont="1" applyFill="1" applyAlignment="1">
      <alignment horizontal="center" vertical="center"/>
    </xf>
    <xf numFmtId="49" fontId="2" fillId="18" borderId="0" xfId="0" applyNumberFormat="1" applyFont="1" applyFill="1" applyAlignment="1">
      <alignment horizontal="center" vertical="center"/>
    </xf>
    <xf numFmtId="49" fontId="2" fillId="53" borderId="0" xfId="0" applyNumberFormat="1" applyFont="1" applyFill="1" applyAlignment="1">
      <alignment horizontal="center" vertical="center"/>
    </xf>
    <xf numFmtId="49" fontId="2" fillId="9" borderId="0" xfId="0" applyNumberFormat="1" applyFont="1" applyFill="1" applyAlignment="1">
      <alignment horizontal="center" vertical="center"/>
    </xf>
    <xf numFmtId="1" fontId="2" fillId="9" borderId="0" xfId="0" applyNumberFormat="1" applyFont="1" applyFill="1" applyAlignment="1">
      <alignment horizontal="center"/>
    </xf>
    <xf numFmtId="49" fontId="2" fillId="7" borderId="0" xfId="0" applyNumberFormat="1" applyFont="1" applyFill="1" applyAlignment="1">
      <alignment horizontal="center" vertical="center"/>
    </xf>
    <xf numFmtId="1" fontId="2" fillId="7" borderId="0" xfId="0" applyNumberFormat="1" applyFont="1" applyFill="1" applyAlignment="1">
      <alignment horizontal="center"/>
    </xf>
    <xf numFmtId="0" fontId="2" fillId="13" borderId="0" xfId="0" applyFont="1" applyFill="1" applyAlignment="1">
      <alignment horizontal="center"/>
    </xf>
    <xf numFmtId="0" fontId="2" fillId="17" borderId="0" xfId="0" applyFont="1" applyFill="1" applyAlignment="1">
      <alignment horizontal="center"/>
    </xf>
    <xf numFmtId="0" fontId="2" fillId="4" borderId="0" xfId="0" applyFont="1" applyFill="1" applyAlignment="1">
      <alignment horizontal="center"/>
    </xf>
    <xf numFmtId="0" fontId="2" fillId="13" borderId="129" xfId="0" applyFont="1" applyFill="1" applyBorder="1" applyAlignment="1">
      <alignment horizontal="center" vertical="center"/>
    </xf>
    <xf numFmtId="0" fontId="2" fillId="0" borderId="110" xfId="0" applyFont="1" applyBorder="1" applyAlignment="1">
      <alignment horizontal="center" vertical="center"/>
    </xf>
    <xf numFmtId="0" fontId="2" fillId="0" borderId="111" xfId="0" applyFont="1" applyBorder="1" applyAlignment="1">
      <alignment horizontal="center" vertical="center"/>
    </xf>
    <xf numFmtId="0" fontId="2" fillId="0" borderId="112" xfId="0" applyFont="1" applyBorder="1" applyAlignment="1">
      <alignment horizontal="center" vertical="center"/>
    </xf>
    <xf numFmtId="0" fontId="17" fillId="51" borderId="1" xfId="0" applyFont="1" applyFill="1" applyBorder="1" applyAlignment="1">
      <alignment horizontal="center" wrapText="1"/>
    </xf>
    <xf numFmtId="0" fontId="17" fillId="51" borderId="2" xfId="0" applyFont="1" applyFill="1" applyBorder="1" applyAlignment="1">
      <alignment horizontal="center" wrapText="1"/>
    </xf>
    <xf numFmtId="0" fontId="17" fillId="51" borderId="3" xfId="0" applyFont="1" applyFill="1" applyBorder="1" applyAlignment="1">
      <alignment horizontal="center" wrapText="1"/>
    </xf>
    <xf numFmtId="0" fontId="1" fillId="0" borderId="82" xfId="1" applyBorder="1" applyAlignment="1">
      <alignment horizontal="center" vertical="center" wrapText="1"/>
    </xf>
    <xf numFmtId="0" fontId="0" fillId="0" borderId="4" xfId="0" applyBorder="1" applyAlignment="1">
      <alignment horizontal="center" vertical="center" wrapText="1"/>
    </xf>
    <xf numFmtId="0" fontId="0" fillId="0" borderId="82" xfId="0" applyBorder="1" applyAlignment="1">
      <alignment horizontal="center" vertical="center" wrapText="1"/>
    </xf>
    <xf numFmtId="0" fontId="0" fillId="0" borderId="8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7" fillId="27" borderId="262" xfId="0" applyFont="1" applyFill="1" applyBorder="1" applyAlignment="1">
      <alignment horizontal="center" vertical="center"/>
    </xf>
    <xf numFmtId="0" fontId="17" fillId="27" borderId="5"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183" xfId="0" applyFont="1" applyBorder="1" applyAlignment="1">
      <alignment horizontal="center" vertical="center"/>
    </xf>
    <xf numFmtId="0" fontId="2" fillId="0" borderId="184" xfId="0" applyFont="1" applyBorder="1" applyAlignment="1">
      <alignment horizontal="center" vertical="center"/>
    </xf>
    <xf numFmtId="0" fontId="2" fillId="0" borderId="185" xfId="0" applyFont="1" applyBorder="1" applyAlignment="1">
      <alignment horizontal="center" vertical="center"/>
    </xf>
    <xf numFmtId="0" fontId="2" fillId="0" borderId="172" xfId="0" applyFont="1" applyBorder="1" applyAlignment="1">
      <alignment horizontal="center" vertical="center"/>
    </xf>
    <xf numFmtId="0" fontId="2" fillId="0" borderId="173" xfId="0" applyFont="1" applyBorder="1" applyAlignment="1">
      <alignment horizontal="center" vertical="center"/>
    </xf>
    <xf numFmtId="0" fontId="2" fillId="0" borderId="174" xfId="0" applyFont="1" applyBorder="1" applyAlignment="1">
      <alignment horizontal="center" vertical="center"/>
    </xf>
    <xf numFmtId="0" fontId="2" fillId="0" borderId="175" xfId="0" applyFont="1" applyBorder="1" applyAlignment="1">
      <alignment horizontal="center" vertical="center"/>
    </xf>
    <xf numFmtId="0" fontId="2" fillId="0" borderId="176" xfId="0" applyFont="1" applyBorder="1" applyAlignment="1">
      <alignment horizontal="center" vertical="center"/>
    </xf>
    <xf numFmtId="0" fontId="2" fillId="0" borderId="177" xfId="0" applyFont="1" applyBorder="1" applyAlignment="1">
      <alignment horizontal="center" vertical="center"/>
    </xf>
    <xf numFmtId="0" fontId="2" fillId="0" borderId="164" xfId="0" applyFont="1" applyBorder="1" applyAlignment="1">
      <alignment horizontal="center" vertical="center"/>
    </xf>
    <xf numFmtId="0" fontId="2" fillId="0" borderId="165" xfId="0" applyFont="1" applyBorder="1" applyAlignment="1">
      <alignment horizontal="center" vertical="center"/>
    </xf>
    <xf numFmtId="0" fontId="2" fillId="0" borderId="166" xfId="0" applyFont="1" applyBorder="1" applyAlignment="1">
      <alignment horizontal="center" vertical="center"/>
    </xf>
    <xf numFmtId="0" fontId="2" fillId="13" borderId="5" xfId="0" applyFont="1" applyFill="1" applyBorder="1" applyAlignment="1">
      <alignment horizontal="center" vertical="center" wrapText="1"/>
    </xf>
    <xf numFmtId="0" fontId="2" fillId="13" borderId="197" xfId="0" applyFont="1" applyFill="1" applyBorder="1" applyAlignment="1">
      <alignment horizontal="center"/>
    </xf>
    <xf numFmtId="0" fontId="7" fillId="13" borderId="0" xfId="0" applyFont="1" applyFill="1" applyAlignment="1">
      <alignment horizontal="center" vertical="center"/>
    </xf>
    <xf numFmtId="0" fontId="2" fillId="23" borderId="5" xfId="0" applyFont="1" applyFill="1" applyBorder="1" applyAlignment="1">
      <alignment horizontal="center" vertical="center"/>
    </xf>
    <xf numFmtId="0" fontId="2" fillId="0" borderId="191" xfId="0" applyFont="1" applyBorder="1" applyAlignment="1">
      <alignment horizontal="center"/>
    </xf>
    <xf numFmtId="0" fontId="2" fillId="0" borderId="192" xfId="0" applyFont="1" applyBorder="1" applyAlignment="1">
      <alignment horizontal="center"/>
    </xf>
    <xf numFmtId="0" fontId="2" fillId="0" borderId="193" xfId="0" applyFont="1" applyBorder="1" applyAlignment="1">
      <alignment horizontal="center"/>
    </xf>
    <xf numFmtId="0" fontId="2" fillId="23" borderId="0" xfId="0" applyFont="1" applyFill="1" applyAlignment="1">
      <alignment horizontal="center" vertical="center"/>
    </xf>
    <xf numFmtId="0" fontId="2" fillId="13" borderId="58" xfId="0" applyFont="1" applyFill="1" applyBorder="1" applyAlignment="1">
      <alignment horizontal="center" vertical="center" wrapText="1"/>
    </xf>
    <xf numFmtId="0" fontId="2" fillId="13" borderId="59" xfId="0" applyFont="1" applyFill="1" applyBorder="1" applyAlignment="1">
      <alignment horizontal="center" vertical="center" wrapText="1"/>
    </xf>
    <xf numFmtId="0" fontId="2" fillId="13" borderId="60" xfId="0" applyFont="1" applyFill="1" applyBorder="1" applyAlignment="1">
      <alignment horizontal="center" vertical="center" wrapText="1"/>
    </xf>
    <xf numFmtId="0" fontId="0" fillId="9" borderId="0" xfId="0" applyFill="1" applyAlignment="1">
      <alignment horizontal="center"/>
    </xf>
    <xf numFmtId="0" fontId="18" fillId="47" borderId="0" xfId="3" applyFont="1" applyFill="1" applyAlignment="1">
      <alignment horizontal="center" wrapText="1"/>
    </xf>
    <xf numFmtId="0" fontId="9" fillId="47" borderId="0" xfId="3" applyFont="1" applyFill="1" applyAlignment="1">
      <alignment horizontal="center" vertical="center"/>
    </xf>
    <xf numFmtId="0" fontId="17" fillId="15" borderId="0" xfId="0" applyFont="1" applyFill="1" applyAlignment="1">
      <alignment horizontal="center"/>
    </xf>
    <xf numFmtId="0" fontId="41" fillId="17" borderId="0" xfId="0" applyFont="1" applyFill="1" applyAlignment="1">
      <alignment horizontal="center"/>
    </xf>
    <xf numFmtId="0" fontId="1" fillId="17" borderId="0" xfId="1" applyFill="1" applyAlignment="1">
      <alignment horizontal="center"/>
    </xf>
    <xf numFmtId="0" fontId="17" fillId="15" borderId="0" xfId="0" applyFont="1" applyFill="1" applyAlignment="1">
      <alignment horizontal="center" vertical="center"/>
    </xf>
    <xf numFmtId="0" fontId="0" fillId="0" borderId="82" xfId="0"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7" borderId="3" xfId="0" applyFont="1" applyFill="1" applyBorder="1" applyAlignment="1">
      <alignment horizontal="center"/>
    </xf>
    <xf numFmtId="0" fontId="1" fillId="0" borderId="0" xfId="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0" borderId="5" xfId="1" applyBorder="1" applyAlignment="1">
      <alignment horizontal="center"/>
    </xf>
    <xf numFmtId="0" fontId="0" fillId="0" borderId="6" xfId="0" applyBorder="1" applyAlignment="1">
      <alignment horizontal="center"/>
    </xf>
    <xf numFmtId="0" fontId="0" fillId="0" borderId="83" xfId="0" applyBorder="1" applyAlignment="1">
      <alignment horizontal="center"/>
    </xf>
    <xf numFmtId="0" fontId="2" fillId="13" borderId="102" xfId="0" applyFont="1" applyFill="1" applyBorder="1" applyAlignment="1">
      <alignment horizontal="center"/>
    </xf>
    <xf numFmtId="0" fontId="40" fillId="17" borderId="0" xfId="0" applyFont="1" applyFill="1" applyAlignment="1">
      <alignment horizontal="center"/>
    </xf>
    <xf numFmtId="0" fontId="2" fillId="7" borderId="0" xfId="0" applyFont="1" applyFill="1" applyAlignment="1">
      <alignment horizontal="center"/>
    </xf>
    <xf numFmtId="0" fontId="17" fillId="20" borderId="0" xfId="0" applyFont="1" applyFill="1" applyAlignment="1">
      <alignment horizontal="center" vertical="center" wrapText="1"/>
    </xf>
    <xf numFmtId="0" fontId="17" fillId="45" borderId="0" xfId="0" applyFont="1" applyFill="1" applyAlignment="1">
      <alignment horizontal="center"/>
    </xf>
    <xf numFmtId="0" fontId="2" fillId="0" borderId="0" xfId="0" applyFont="1" applyAlignment="1">
      <alignment horizontal="center" vertical="center"/>
    </xf>
    <xf numFmtId="0" fontId="1" fillId="0" borderId="0" xfId="1" applyAlignment="1">
      <alignment horizontal="center" vertical="center"/>
    </xf>
    <xf numFmtId="0" fontId="6" fillId="0" borderId="0" xfId="0" applyFont="1" applyAlignment="1">
      <alignment horizontal="center" wrapText="1"/>
    </xf>
    <xf numFmtId="0" fontId="6" fillId="0" borderId="0" xfId="0" applyFont="1" applyAlignment="1">
      <alignment horizontal="center"/>
    </xf>
    <xf numFmtId="0" fontId="2" fillId="0" borderId="0" xfId="0" applyFont="1" applyAlignment="1">
      <alignment horizontal="center" vertical="center" wrapText="1"/>
    </xf>
    <xf numFmtId="0" fontId="19" fillId="0" borderId="0" xfId="0" applyFont="1" applyAlignment="1">
      <alignment horizontal="center" vertical="center" wrapText="1"/>
    </xf>
    <xf numFmtId="9" fontId="0" fillId="0" borderId="58" xfId="2" applyFont="1" applyBorder="1" applyAlignment="1">
      <alignment horizontal="center"/>
    </xf>
    <xf numFmtId="9" fontId="0" fillId="0" borderId="60" xfId="2" applyFont="1" applyBorder="1" applyAlignment="1">
      <alignment horizontal="center"/>
    </xf>
    <xf numFmtId="0" fontId="18" fillId="24" borderId="58" xfId="0" applyFont="1" applyFill="1" applyBorder="1" applyAlignment="1">
      <alignment horizontal="center"/>
    </xf>
    <xf numFmtId="0" fontId="18" fillId="24" borderId="60" xfId="0" applyFont="1" applyFill="1" applyBorder="1" applyAlignment="1">
      <alignment horizontal="center"/>
    </xf>
    <xf numFmtId="0" fontId="0" fillId="0" borderId="58" xfId="0" applyBorder="1" applyAlignment="1">
      <alignment horizontal="center"/>
    </xf>
    <xf numFmtId="0" fontId="0" fillId="0" borderId="60"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82" xfId="0" applyBorder="1" applyAlignment="1">
      <alignment horizontal="center" wrapText="1"/>
    </xf>
    <xf numFmtId="0" fontId="0" fillId="0" borderId="0" xfId="0" applyAlignment="1">
      <alignment horizontal="center" wrapText="1"/>
    </xf>
    <xf numFmtId="0" fontId="0" fillId="0" borderId="4" xfId="0" applyBorder="1" applyAlignment="1">
      <alignment horizont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8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18" fillId="23" borderId="58" xfId="0" applyFont="1" applyFill="1" applyBorder="1" applyAlignment="1">
      <alignment horizontal="center"/>
    </xf>
    <xf numFmtId="0" fontId="18" fillId="23" borderId="60" xfId="0" applyFont="1" applyFill="1" applyBorder="1" applyAlignment="1">
      <alignment horizontal="center"/>
    </xf>
    <xf numFmtId="0" fontId="18" fillId="20" borderId="58" xfId="0" applyFont="1" applyFill="1" applyBorder="1" applyAlignment="1">
      <alignment horizontal="center"/>
    </xf>
    <xf numFmtId="0" fontId="18" fillId="20" borderId="60" xfId="0" applyFont="1" applyFill="1" applyBorder="1" applyAlignment="1">
      <alignment horizontal="center"/>
    </xf>
    <xf numFmtId="0" fontId="19" fillId="13" borderId="58" xfId="0" applyFont="1" applyFill="1" applyBorder="1" applyAlignment="1">
      <alignment horizontal="center" vertical="center" wrapText="1"/>
    </xf>
    <xf numFmtId="0" fontId="19" fillId="13" borderId="59" xfId="0" applyFont="1" applyFill="1" applyBorder="1" applyAlignment="1">
      <alignment horizontal="center" vertical="center" wrapText="1"/>
    </xf>
    <xf numFmtId="0" fontId="19" fillId="13" borderId="60" xfId="0" applyFont="1" applyFill="1" applyBorder="1" applyAlignment="1">
      <alignment horizontal="center" vertical="center" wrapText="1"/>
    </xf>
    <xf numFmtId="0" fontId="18" fillId="26" borderId="58" xfId="0" applyFont="1" applyFill="1" applyBorder="1" applyAlignment="1">
      <alignment horizontal="center"/>
    </xf>
    <xf numFmtId="0" fontId="18" fillId="26" borderId="60" xfId="0" applyFont="1" applyFill="1" applyBorder="1" applyAlignment="1">
      <alignment horizontal="center"/>
    </xf>
    <xf numFmtId="1" fontId="0" fillId="0" borderId="58" xfId="0" applyNumberFormat="1" applyBorder="1" applyAlignment="1">
      <alignment horizontal="center"/>
    </xf>
    <xf numFmtId="0" fontId="0" fillId="0" borderId="83"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28" fillId="20" borderId="0" xfId="0" applyFont="1" applyFill="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82"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0" fontId="19" fillId="0" borderId="83"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28" fillId="24" borderId="0" xfId="0" applyFont="1" applyFill="1" applyAlignment="1">
      <alignment horizontal="center" vertical="center"/>
    </xf>
    <xf numFmtId="0" fontId="28" fillId="23" borderId="0" xfId="0" applyFont="1" applyFill="1" applyAlignment="1">
      <alignment horizontal="center" vertical="center"/>
    </xf>
    <xf numFmtId="0" fontId="18" fillId="24" borderId="73" xfId="0" applyFont="1" applyFill="1" applyBorder="1" applyAlignment="1">
      <alignment horizontal="center"/>
    </xf>
    <xf numFmtId="0" fontId="18" fillId="20" borderId="0" xfId="0" applyFont="1" applyFill="1" applyAlignment="1">
      <alignment horizontal="center"/>
    </xf>
    <xf numFmtId="0" fontId="18" fillId="20" borderId="73" xfId="0" applyFont="1" applyFill="1" applyBorder="1" applyAlignment="1">
      <alignment horizontal="center"/>
    </xf>
    <xf numFmtId="0" fontId="0" fillId="25" borderId="74" xfId="0" applyFill="1" applyBorder="1" applyAlignment="1">
      <alignment horizontal="center" vertical="center" wrapText="1"/>
    </xf>
    <xf numFmtId="0" fontId="0" fillId="25" borderId="75" xfId="0" applyFill="1" applyBorder="1" applyAlignment="1">
      <alignment horizontal="center" vertical="center" wrapText="1"/>
    </xf>
    <xf numFmtId="0" fontId="0" fillId="25" borderId="76" xfId="0" applyFill="1" applyBorder="1" applyAlignment="1">
      <alignment horizontal="center" vertical="center" wrapText="1"/>
    </xf>
    <xf numFmtId="0" fontId="19" fillId="0" borderId="80" xfId="0" applyFont="1" applyBorder="1" applyAlignment="1">
      <alignment horizontal="center" vertical="center"/>
    </xf>
    <xf numFmtId="0" fontId="28" fillId="26" borderId="0" xfId="0" applyFont="1" applyFill="1" applyAlignment="1">
      <alignment horizontal="center" vertical="center"/>
    </xf>
    <xf numFmtId="0" fontId="0" fillId="13" borderId="72" xfId="0" applyFill="1" applyBorder="1" applyAlignment="1">
      <alignment horizontal="center" vertical="center"/>
    </xf>
    <xf numFmtId="0" fontId="18" fillId="26" borderId="0" xfId="0" applyFont="1" applyFill="1" applyAlignment="1">
      <alignment horizontal="center"/>
    </xf>
    <xf numFmtId="0" fontId="18" fillId="26" borderId="73" xfId="0" applyFont="1" applyFill="1" applyBorder="1" applyAlignment="1">
      <alignment horizontal="center"/>
    </xf>
    <xf numFmtId="0" fontId="18" fillId="23" borderId="73" xfId="0" applyFont="1" applyFill="1" applyBorder="1" applyAlignment="1">
      <alignment horizontal="center"/>
    </xf>
    <xf numFmtId="0" fontId="18" fillId="24" borderId="0" xfId="0" applyFont="1" applyFill="1" applyAlignment="1">
      <alignment horizontal="center"/>
    </xf>
    <xf numFmtId="0" fontId="0" fillId="4" borderId="102" xfId="0" applyFill="1" applyBorder="1" applyAlignment="1">
      <alignment horizontal="center" vertical="center"/>
    </xf>
    <xf numFmtId="0" fontId="19" fillId="29" borderId="7" xfId="0" applyFont="1" applyFill="1" applyBorder="1" applyAlignment="1">
      <alignment horizontal="center" vertical="center" wrapText="1"/>
    </xf>
    <xf numFmtId="0" fontId="19" fillId="29" borderId="19" xfId="0" applyFont="1" applyFill="1" applyBorder="1" applyAlignment="1">
      <alignment horizontal="center" vertical="center" wrapText="1"/>
    </xf>
    <xf numFmtId="0" fontId="19" fillId="29" borderId="33" xfId="0" applyFont="1" applyFill="1" applyBorder="1" applyAlignment="1">
      <alignment horizontal="center" vertical="center" wrapText="1"/>
    </xf>
    <xf numFmtId="0" fontId="1" fillId="25" borderId="202" xfId="1" applyFill="1" applyBorder="1" applyAlignment="1">
      <alignment horizontal="left" vertical="center" wrapText="1"/>
    </xf>
    <xf numFmtId="0" fontId="0" fillId="0" borderId="102" xfId="0" applyBorder="1" applyAlignment="1">
      <alignment horizontal="left" vertical="center" wrapText="1"/>
    </xf>
    <xf numFmtId="0" fontId="60" fillId="0" borderId="19" xfId="0" applyFont="1" applyBorder="1" applyAlignment="1">
      <alignment horizontal="center" vertical="center" wrapText="1"/>
    </xf>
    <xf numFmtId="0" fontId="60" fillId="0" borderId="105" xfId="0" applyFont="1" applyBorder="1" applyAlignment="1">
      <alignment horizontal="center" vertical="center" wrapText="1"/>
    </xf>
    <xf numFmtId="0" fontId="0" fillId="0" borderId="33" xfId="0" applyBorder="1" applyAlignment="1">
      <alignment horizontal="center" vertical="center" wrapText="1"/>
    </xf>
    <xf numFmtId="0" fontId="60" fillId="0" borderId="19" xfId="0" applyFont="1" applyBorder="1"/>
    <xf numFmtId="0" fontId="0" fillId="0" borderId="105" xfId="0" applyBorder="1"/>
    <xf numFmtId="0" fontId="60" fillId="0" borderId="105" xfId="0" applyFont="1" applyBorder="1"/>
    <xf numFmtId="0" fontId="0" fillId="0" borderId="33" xfId="0" applyBorder="1"/>
    <xf numFmtId="0" fontId="60" fillId="0" borderId="33" xfId="0" applyFont="1" applyBorder="1"/>
    <xf numFmtId="0" fontId="61" fillId="25" borderId="7" xfId="0" applyFont="1" applyFill="1" applyBorder="1" applyAlignment="1">
      <alignment horizontal="left" vertical="center" wrapText="1"/>
    </xf>
    <xf numFmtId="0" fontId="0" fillId="0" borderId="7" xfId="0" applyBorder="1" applyAlignment="1">
      <alignment horizontal="left" vertical="center" wrapText="1"/>
    </xf>
    <xf numFmtId="0" fontId="60" fillId="25" borderId="19" xfId="0" applyFont="1" applyFill="1" applyBorder="1" applyAlignment="1">
      <alignment horizontal="center" vertical="center" wrapText="1"/>
    </xf>
    <xf numFmtId="0" fontId="60" fillId="25" borderId="19" xfId="0" applyFont="1" applyFill="1" applyBorder="1" applyAlignment="1">
      <alignment horizontal="left" vertical="center"/>
    </xf>
    <xf numFmtId="0" fontId="0" fillId="25" borderId="105" xfId="0" applyFill="1" applyBorder="1"/>
    <xf numFmtId="0" fontId="0" fillId="25" borderId="33" xfId="0" applyFill="1" applyBorder="1"/>
    <xf numFmtId="0" fontId="0" fillId="0" borderId="105" xfId="0" applyBorder="1" applyAlignment="1">
      <alignment horizontal="center" vertical="center" wrapText="1"/>
    </xf>
    <xf numFmtId="0" fontId="0" fillId="25" borderId="201" xfId="0" applyFill="1" applyBorder="1"/>
    <xf numFmtId="0" fontId="2" fillId="0" borderId="5" xfId="0" applyFont="1" applyBorder="1" applyAlignment="1">
      <alignment horizontal="center"/>
    </xf>
    <xf numFmtId="0" fontId="59" fillId="0" borderId="14" xfId="0" applyFont="1" applyBorder="1" applyAlignment="1">
      <alignment horizontal="center" vertical="center" wrapText="1"/>
    </xf>
    <xf numFmtId="0" fontId="59" fillId="0" borderId="15" xfId="0" applyFont="1" applyBorder="1" applyAlignment="1">
      <alignment horizontal="center" vertical="center" wrapText="1"/>
    </xf>
    <xf numFmtId="0" fontId="58" fillId="13" borderId="16" xfId="0" applyFont="1" applyFill="1" applyBorder="1" applyAlignment="1">
      <alignment horizontal="center"/>
    </xf>
    <xf numFmtId="0" fontId="58" fillId="13" borderId="200" xfId="0" applyFont="1" applyFill="1" applyBorder="1" applyAlignment="1">
      <alignment horizontal="center"/>
    </xf>
    <xf numFmtId="0" fontId="59" fillId="0" borderId="17" xfId="0" applyFont="1" applyBorder="1" applyAlignment="1">
      <alignment horizontal="center" vertical="center" wrapText="1"/>
    </xf>
    <xf numFmtId="0" fontId="59" fillId="0" borderId="199" xfId="0" applyFont="1" applyBorder="1" applyAlignment="1">
      <alignment horizontal="center" vertical="center" wrapText="1"/>
    </xf>
    <xf numFmtId="0" fontId="17" fillId="15" borderId="58" xfId="0" applyFont="1" applyFill="1" applyBorder="1" applyAlignment="1">
      <alignment horizontal="center" vertical="center"/>
    </xf>
    <xf numFmtId="0" fontId="17" fillId="15" borderId="59" xfId="0" applyFont="1" applyFill="1" applyBorder="1" applyAlignment="1">
      <alignment horizontal="center" vertical="center"/>
    </xf>
    <xf numFmtId="0" fontId="17" fillId="15" borderId="60" xfId="0" applyFont="1" applyFill="1" applyBorder="1" applyAlignment="1">
      <alignment horizontal="center" vertical="center"/>
    </xf>
    <xf numFmtId="9" fontId="0" fillId="10" borderId="2" xfId="2" applyFont="1" applyFill="1" applyBorder="1" applyAlignment="1">
      <alignment horizontal="center" vertical="center"/>
    </xf>
    <xf numFmtId="0" fontId="2" fillId="10" borderId="0" xfId="0" applyFont="1" applyFill="1" applyAlignment="1">
      <alignment horizontal="center" vertical="center"/>
    </xf>
    <xf numFmtId="0" fontId="6" fillId="0" borderId="0" xfId="0" applyFont="1" applyAlignment="1">
      <alignment horizontal="center" vertical="center" wrapText="1"/>
    </xf>
    <xf numFmtId="0" fontId="2" fillId="8" borderId="0" xfId="0" applyFont="1" applyFill="1" applyAlignment="1">
      <alignment horizontal="center"/>
    </xf>
    <xf numFmtId="0" fontId="17" fillId="16" borderId="7" xfId="0" applyFont="1" applyFill="1" applyBorder="1" applyAlignment="1">
      <alignment horizontal="center" vertical="center"/>
    </xf>
    <xf numFmtId="0" fontId="2" fillId="6" borderId="0" xfId="0" applyFont="1" applyFill="1" applyAlignment="1">
      <alignment horizontal="center"/>
    </xf>
    <xf numFmtId="0" fontId="0" fillId="9" borderId="0" xfId="0" applyFill="1"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center"/>
    </xf>
    <xf numFmtId="0" fontId="2" fillId="0" borderId="58"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2" fillId="7" borderId="88" xfId="0" applyFont="1" applyFill="1" applyBorder="1" applyAlignment="1">
      <alignment horizontal="center" vertical="center"/>
    </xf>
    <xf numFmtId="0" fontId="2" fillId="7" borderId="89"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83" xfId="0" applyFont="1" applyFill="1" applyBorder="1" applyAlignment="1">
      <alignment horizontal="center" vertical="center"/>
    </xf>
    <xf numFmtId="0" fontId="2" fillId="5" borderId="88" xfId="0" applyFont="1" applyFill="1" applyBorder="1" applyAlignment="1">
      <alignment horizontal="center" vertical="center"/>
    </xf>
    <xf numFmtId="0" fontId="2" fillId="5" borderId="89"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83" xfId="0" applyFont="1" applyFill="1" applyBorder="1" applyAlignment="1">
      <alignment horizontal="center" vertical="center"/>
    </xf>
    <xf numFmtId="0" fontId="2" fillId="6" borderId="88" xfId="0" applyFont="1" applyFill="1" applyBorder="1" applyAlignment="1">
      <alignment horizontal="center" vertical="center"/>
    </xf>
    <xf numFmtId="0" fontId="2" fillId="6" borderId="89" xfId="0" applyFont="1" applyFill="1" applyBorder="1" applyAlignment="1">
      <alignment horizontal="center" vertical="center"/>
    </xf>
    <xf numFmtId="0" fontId="2" fillId="4" borderId="88" xfId="0" applyFont="1" applyFill="1" applyBorder="1" applyAlignment="1">
      <alignment horizontal="center" vertical="center"/>
    </xf>
    <xf numFmtId="0" fontId="2" fillId="4" borderId="89" xfId="0" applyFont="1" applyFill="1" applyBorder="1" applyAlignment="1">
      <alignment horizontal="center" vertical="center"/>
    </xf>
    <xf numFmtId="0" fontId="0" fillId="7" borderId="21" xfId="0" applyFill="1" applyBorder="1" applyAlignment="1">
      <alignment horizontal="center"/>
    </xf>
    <xf numFmtId="0" fontId="0" fillId="7" borderId="0" xfId="0" applyFill="1" applyAlignment="1">
      <alignment horizontal="center"/>
    </xf>
    <xf numFmtId="0" fontId="0" fillId="7" borderId="24" xfId="0" applyFill="1" applyBorder="1" applyAlignment="1">
      <alignment horizontal="center"/>
    </xf>
    <xf numFmtId="0" fontId="0" fillId="7" borderId="22" xfId="0" applyFill="1" applyBorder="1" applyAlignment="1">
      <alignment horizontal="center"/>
    </xf>
    <xf numFmtId="0" fontId="0" fillId="7" borderId="5" xfId="0" applyFill="1" applyBorder="1" applyAlignment="1">
      <alignment horizontal="center"/>
    </xf>
    <xf numFmtId="0" fontId="0" fillId="7" borderId="25" xfId="0" applyFill="1" applyBorder="1" applyAlignment="1">
      <alignment horizontal="center"/>
    </xf>
    <xf numFmtId="0" fontId="0" fillId="4" borderId="21" xfId="0" applyFill="1" applyBorder="1" applyAlignment="1">
      <alignment horizontal="center"/>
    </xf>
    <xf numFmtId="0" fontId="0" fillId="4" borderId="24" xfId="0" applyFill="1" applyBorder="1" applyAlignment="1">
      <alignment horizontal="center"/>
    </xf>
    <xf numFmtId="0" fontId="0" fillId="4" borderId="22" xfId="0" applyFill="1" applyBorder="1" applyAlignment="1">
      <alignment horizontal="center"/>
    </xf>
    <xf numFmtId="0" fontId="0" fillId="4" borderId="5" xfId="0" applyFill="1" applyBorder="1" applyAlignment="1">
      <alignment horizontal="center"/>
    </xf>
    <xf numFmtId="0" fontId="0" fillId="4" borderId="25" xfId="0" applyFill="1" applyBorder="1" applyAlignment="1">
      <alignment horizontal="center"/>
    </xf>
    <xf numFmtId="0" fontId="0" fillId="7" borderId="20" xfId="0" applyFill="1" applyBorder="1" applyAlignment="1">
      <alignment horizontal="center"/>
    </xf>
    <xf numFmtId="0" fontId="0" fillId="7" borderId="2" xfId="0" applyFill="1" applyBorder="1" applyAlignment="1">
      <alignment horizontal="center"/>
    </xf>
    <xf numFmtId="0" fontId="0" fillId="7" borderId="23" xfId="0" applyFill="1" applyBorder="1" applyAlignment="1">
      <alignment horizontal="center"/>
    </xf>
    <xf numFmtId="0" fontId="0" fillId="6" borderId="22" xfId="0" applyFill="1" applyBorder="1" applyAlignment="1">
      <alignment horizontal="center" vertical="center" wrapText="1"/>
    </xf>
    <xf numFmtId="0" fontId="0" fillId="6" borderId="5" xfId="0" applyFill="1" applyBorder="1" applyAlignment="1">
      <alignment horizontal="center" vertical="center" wrapText="1"/>
    </xf>
    <xf numFmtId="0" fontId="0" fillId="4" borderId="20" xfId="0" applyFill="1" applyBorder="1" applyAlignment="1">
      <alignment horizontal="center"/>
    </xf>
    <xf numFmtId="0" fontId="0" fillId="4" borderId="2" xfId="0" applyFill="1" applyBorder="1" applyAlignment="1">
      <alignment horizontal="center"/>
    </xf>
    <xf numFmtId="0" fontId="0" fillId="4" borderId="23" xfId="0" applyFill="1" applyBorder="1" applyAlignment="1">
      <alignment horizontal="center"/>
    </xf>
    <xf numFmtId="0" fontId="0" fillId="6" borderId="21" xfId="0" applyFill="1" applyBorder="1" applyAlignment="1">
      <alignment horizontal="center" vertical="center" wrapText="1"/>
    </xf>
    <xf numFmtId="0" fontId="0" fillId="6" borderId="0" xfId="0" applyFill="1" applyAlignment="1">
      <alignment horizontal="center" vertical="center" wrapText="1"/>
    </xf>
    <xf numFmtId="0" fontId="0" fillId="6" borderId="24" xfId="0" applyFill="1" applyBorder="1" applyAlignment="1">
      <alignment horizontal="center" vertical="center" wrapText="1"/>
    </xf>
    <xf numFmtId="0" fontId="2" fillId="0" borderId="2" xfId="0" applyFont="1" applyBorder="1" applyAlignment="1">
      <alignment horizontal="center"/>
    </xf>
    <xf numFmtId="0" fontId="17" fillId="32" borderId="0" xfId="0" applyFont="1" applyFill="1" applyAlignment="1">
      <alignment horizontal="center"/>
    </xf>
    <xf numFmtId="0" fontId="0" fillId="5" borderId="20" xfId="0" applyFill="1" applyBorder="1" applyAlignment="1">
      <alignment horizontal="center" vertical="center" wrapText="1"/>
    </xf>
    <xf numFmtId="0" fontId="0" fillId="5" borderId="2" xfId="0" applyFill="1" applyBorder="1" applyAlignment="1">
      <alignment horizontal="center" vertical="center" wrapText="1"/>
    </xf>
    <xf numFmtId="0" fontId="0" fillId="5" borderId="23"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24" xfId="0" applyFill="1" applyBorder="1" applyAlignment="1">
      <alignment horizontal="center" vertical="center" wrapText="1"/>
    </xf>
    <xf numFmtId="0" fontId="0" fillId="5" borderId="22" xfId="0" applyFill="1" applyBorder="1" applyAlignment="1">
      <alignment horizontal="center" vertical="center" wrapText="1"/>
    </xf>
    <xf numFmtId="0" fontId="0" fillId="5" borderId="5" xfId="0" applyFill="1" applyBorder="1" applyAlignment="1">
      <alignment horizontal="center" vertical="center" wrapText="1"/>
    </xf>
    <xf numFmtId="0" fontId="0" fillId="5" borderId="25" xfId="0" applyFill="1" applyBorder="1" applyAlignment="1">
      <alignment horizontal="center" vertical="center" wrapText="1"/>
    </xf>
    <xf numFmtId="0" fontId="0" fillId="6" borderId="20" xfId="0" applyFill="1" applyBorder="1" applyAlignment="1">
      <alignment horizontal="center" vertical="center" wrapText="1"/>
    </xf>
    <xf numFmtId="0" fontId="0" fillId="6" borderId="2" xfId="0" applyFill="1" applyBorder="1" applyAlignment="1">
      <alignment horizontal="center" vertical="center" wrapText="1"/>
    </xf>
    <xf numFmtId="0" fontId="0" fillId="6" borderId="23" xfId="0" applyFill="1" applyBorder="1" applyAlignment="1">
      <alignment horizontal="center" vertical="center" wrapText="1"/>
    </xf>
    <xf numFmtId="0" fontId="17" fillId="42" borderId="0" xfId="0" applyFont="1" applyFill="1" applyAlignment="1">
      <alignment horizontal="center" vertical="center"/>
    </xf>
    <xf numFmtId="0" fontId="17" fillId="42" borderId="0" xfId="0" applyFont="1" applyFill="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34" borderId="5" xfId="0" applyFont="1" applyFill="1" applyBorder="1" applyAlignment="1">
      <alignment horizontal="center" vertical="center"/>
    </xf>
    <xf numFmtId="49" fontId="2" fillId="53" borderId="102" xfId="0" applyNumberFormat="1" applyFont="1" applyFill="1" applyBorder="1" applyAlignment="1">
      <alignment horizontal="center" vertical="center"/>
    </xf>
    <xf numFmtId="0" fontId="7" fillId="7" borderId="0" xfId="0" applyFont="1" applyFill="1" applyAlignment="1">
      <alignment horizontal="center" vertical="center"/>
    </xf>
    <xf numFmtId="0" fontId="7" fillId="54" borderId="0" xfId="0" applyFont="1" applyFill="1" applyAlignment="1">
      <alignment horizontal="center" vertical="center" wrapText="1"/>
    </xf>
    <xf numFmtId="0" fontId="2" fillId="18" borderId="0" xfId="0" applyFont="1" applyFill="1" applyAlignment="1">
      <alignment horizontal="center" wrapText="1"/>
    </xf>
  </cellXfs>
  <cellStyles count="5">
    <cellStyle name="Επικεφαλίδα 4" xfId="3" builtinId="19"/>
    <cellStyle name="Καλό" xfId="4" builtinId="26"/>
    <cellStyle name="Κανονικό" xfId="0" builtinId="0"/>
    <cellStyle name="Ποσοστό" xfId="2" builtinId="5"/>
    <cellStyle name="Υπερ-σύνδεση" xfId="1" builtinId="8"/>
  </cellStyles>
  <dxfs count="67">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charset val="161"/>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CCECFF"/>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alignment horizontal="center" vertical="center" textRotation="0" indent="0" justifyLastLine="0" shrinkToFit="0" readingOrder="0"/>
    </dxf>
    <dxf>
      <border>
        <bottom style="thin">
          <color indexed="64"/>
        </bottom>
      </border>
    </dxf>
    <dxf>
      <font>
        <b/>
        <strike val="0"/>
        <outline val="0"/>
        <shadow val="0"/>
        <u val="none"/>
        <vertAlign val="baseline"/>
        <sz val="11"/>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border outline="0">
        <top style="thin">
          <color theme="8"/>
        </top>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charset val="161"/>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h:mm\ AM/P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CCCCFF"/>
        </patternFill>
      </fill>
    </dxf>
    <dxf>
      <fill>
        <patternFill>
          <bgColor rgb="FFCCCCFF"/>
        </patternFill>
      </fill>
    </dxf>
  </dxfs>
  <tableStyles count="2" defaultTableStyle="TableStyleMedium2" defaultPivotStyle="PivotStyleLight16">
    <tableStyle name="Στυλ πίνακα 1" pivot="0" count="1" xr9:uid="{E87D2AD1-FFE1-4DC7-94A4-94E00DE57302}">
      <tableStyleElement type="firstRowStripe" dxfId="66"/>
    </tableStyle>
    <tableStyle name="Στυλ πίνακα 2" pivot="0" count="1" xr9:uid="{4FA256F2-D514-4DEC-9BED-FF6DF5CCB798}">
      <tableStyleElement type="headerRow" dxfId="65"/>
    </tableStyle>
  </tableStyles>
  <colors>
    <mruColors>
      <color rgb="FFFFCCCC"/>
      <color rgb="FFFFFFCC"/>
      <color rgb="FFCCFFFF"/>
      <color rgb="FFFF3399"/>
      <color rgb="FFCC00CC"/>
      <color rgb="FFCCFFCC"/>
      <color rgb="FFCCECFF"/>
      <color rgb="FFFFCCFF"/>
      <color rgb="FFFFCC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17/10/relationships/person" Target="persons/perso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Γραμματεία - Τεχνικές Σχολές Επιμελητηρίου Ηρακλείου" id="{F9953392-3108-48A1-B870-75AF8B0CA120}" userId="S::grammateia_kek@katartisi.gr::7f26b246-3737-4847-a323-a17c7a56bd7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1D267-650C-4EE7-8FCD-39C1E646E808}" name="Πίνακας2" displayName="Πίνακας2" ref="A1:I110" totalsRowShown="0" headerRowDxfId="64" dataDxfId="63">
  <autoFilter ref="A1:I110" xr:uid="{5191D267-650C-4EE7-8FCD-39C1E646E808}"/>
  <tableColumns count="9">
    <tableColumn id="1" xr3:uid="{49FC33E4-04D7-4D71-8176-E6EEFC19F4E7}" name="Α/Α" dataDxfId="62"/>
    <tableColumn id="2" xr3:uid="{9D7DE8A8-D547-44FC-9AB8-DA85C91EC542}" name="ΗΜΕΡΟΜΗΝΙΑ" dataDxfId="61"/>
    <tableColumn id="3" xr3:uid="{E2EF9A83-B93B-4012-ADA4-B27934C6F569}" name="ΩΡΑ" dataDxfId="60"/>
    <tableColumn id="4" xr3:uid="{6AC6959C-9779-4BA1-9397-CC6EBC4E7F09}" name="ΕΙΔΙΚΟΤΗΤΑ" dataDxfId="59"/>
    <tableColumn id="5" xr3:uid="{E92AD2E3-287D-4F22-B1F2-693113F5D462}" name="ΟΝΟΜΑΤΕΠΩΝΥΜΟ" dataDxfId="58"/>
    <tableColumn id="6" xr3:uid="{2EEB646A-A5BB-4EEC-910D-F03EC77E7204}" name="EMAIL" dataDxfId="57"/>
    <tableColumn id="7" xr3:uid="{E19FD377-4105-40EB-B518-AC8C6D819EFF}" name="ΤΗΛΕΦΩΝΟ" dataDxfId="56"/>
    <tableColumn id="8" xr3:uid="{84452899-5F34-4805-B973-0C3CA030115C}" name="ΑΠΌ ΠΟΥ ΜΑΘΑΤΕ ΓΙΑ ΤΗΝ ΙΣΑΕΚ" dataDxfId="55"/>
    <tableColumn id="9" xr3:uid="{1B5CBCAB-58A9-4D16-86D0-30FE80A62A67}" name="ΣΧΟΛΙΑ" dataDxfId="5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F44A86-F832-4364-BA9C-B28CA8B6254D}" name="Πίνακας4" displayName="Πίνακας4" ref="A2:J6" totalsRowShown="0" headerRowDxfId="53" dataDxfId="52">
  <autoFilter ref="A2:J6" xr:uid="{4EF44A86-F832-4364-BA9C-B28CA8B6254D}"/>
  <tableColumns count="10">
    <tableColumn id="1" xr3:uid="{707E49EB-FB77-41B6-B699-06E03D7F04D9}" name="Α/Α" dataDxfId="51"/>
    <tableColumn id="2" xr3:uid="{DEEAC6C7-882C-4695-9916-8F659528B08D}" name="Προμηθευτής" dataDxfId="50"/>
    <tableColumn id="3" xr3:uid="{A469E505-9F53-4A02-8EA6-DAA1469E6E4F}" name="Κωδικός / Μοντέλο" dataDxfId="49"/>
    <tableColumn id="4" xr3:uid="{F0C2B485-D506-4209-92EF-53BF74A46C9D}" name="Περιγραφή – Προδιαγραφές" dataDxfId="48"/>
    <tableColumn id="5" xr3:uid="{A5787422-7FED-4D9A-BE41-4BB02CB6F69B}" name="Ισχύς" dataDxfId="47"/>
    <tableColumn id="6" xr3:uid="{25D7021F-FC5D-4331-8F61-9E976B3DFF12}" name="Διαστάσεις" dataDxfId="46"/>
    <tableColumn id="7" xr3:uid="{AFE75A43-4EA8-4740-A182-569BFE7493CC}" name="Χωρητικότητα" dataDxfId="45"/>
    <tableColumn id="8" xr3:uid="{BC5C2169-500B-484B-9FA4-67027B9F0481}" name="Τιμή Τεμ. (€)" dataDxfId="44"/>
    <tableColumn id="9" xr3:uid="{644E0A29-592D-4880-9E40-8FD0F591F86B}" name="Έκπτωση"/>
    <tableColumn id="10" xr3:uid="{1E6093AB-39E5-4A11-BA42-BDFD6E76E3E7}" name="Τελική Τιμή (€)" dataDxfId="4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E65D24-4C27-4A37-94AA-78E0A9A5C0D8}" name="Πίνακας47" displayName="Πίνακας47" ref="A9:I13" totalsRowShown="0" headerRowDxfId="42" dataDxfId="41">
  <tableColumns count="9">
    <tableColumn id="1" xr3:uid="{D5A8BDB2-9670-476C-AEEF-B264FC7BE685}" name="Α/Α" dataDxfId="40"/>
    <tableColumn id="2" xr3:uid="{25DC8FE1-9AB9-4D14-89AC-8A889447D5B3}" name="Προμηθευτής" dataDxfId="39"/>
    <tableColumn id="3" xr3:uid="{6408BC36-D67C-4DFB-80BD-280D41E8EB16}" name="Κωδικός / Μοντέλο" dataDxfId="38"/>
    <tableColumn id="4" xr3:uid="{675F3D19-0A1E-42B7-B73F-8695B2254791}" name="Περιγραφή – Προδιαγραφές" dataDxfId="37"/>
    <tableColumn id="5" xr3:uid="{13A6F534-3924-4B0F-B4C2-DC48F5BBD87F}" name="Ισχύς" dataDxfId="36"/>
    <tableColumn id="6" xr3:uid="{58CFE2FD-7709-48B0-BEE4-86773E1461B7}" name="Διαστάσεις" dataDxfId="35"/>
    <tableColumn id="7" xr3:uid="{9911ECCB-3F74-4C1C-BF2E-BB5024EBD0A5}" name="Χωρητικότητα" dataDxfId="34"/>
    <tableColumn id="8" xr3:uid="{8BA4F147-49C9-493D-A8D9-50E226E6EA7C}" name="Τιμή Τεμ. (€)" dataDxfId="33"/>
    <tableColumn id="9" xr3:uid="{051E718B-875D-4969-BA22-C108DE6747E2}" name="Τελική Τιμή (€)"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A6412-299C-43A2-9AA4-52A0377768B4}" name="Πίνακας1" displayName="Πίνακας1" ref="BI2:BN41" totalsRowShown="0" headerRowDxfId="31" dataDxfId="30" tableBorderDxfId="29">
  <autoFilter ref="BI2:BN41" xr:uid="{7B1A6412-299C-43A2-9AA4-52A0377768B4}"/>
  <tableColumns count="6">
    <tableColumn id="1" xr3:uid="{DA9EA7B1-596B-4882-95AE-0307FDDCD54E}" name="Α/Α" dataDxfId="28"/>
    <tableColumn id="2" xr3:uid="{D24C0448-420E-47A8-A319-C099DA1837CF}" name="ΗΜΕΡΟΜΗΝΙΑ" dataDxfId="27"/>
    <tableColumn id="3" xr3:uid="{59F36F91-1620-45A6-BA11-37534DF9B65E}" name="ΕΙΔΙΚΟΤΗΤΑ" dataDxfId="26"/>
    <tableColumn id="4" xr3:uid="{9E8F2AC8-5159-4872-A670-3F639E1FCEED}" name="ΟΝΟΜΑΤΕΠΩΝΥΜΟ" dataDxfId="25"/>
    <tableColumn id="5" xr3:uid="{F18F3B26-0F14-4973-B8D5-E4777BE8226C}" name="EMAIL" dataDxfId="24" dataCellStyle="Υπερ-σύνδεση"/>
    <tableColumn id="6" xr3:uid="{E4DE14CD-21FC-447D-B4BA-846E397C0827}" name="ΤΗΛΕΦΩΝΟ" dataDxfId="2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D4653B-6CB4-4AF8-B9EF-35ADC35F81C5}" name="Πίνακας3" displayName="Πίνακας3" ref="BR2:BW24" totalsRowShown="0" headerRowDxfId="22" dataDxfId="20" headerRowBorderDxfId="21" tableBorderDxfId="19" totalsRowBorderDxfId="18">
  <autoFilter ref="BR2:BW24" xr:uid="{E7D4653B-6CB4-4AF8-B9EF-35ADC35F81C5}"/>
  <tableColumns count="6">
    <tableColumn id="1" xr3:uid="{FDB35025-D920-4792-8C17-2D3D0FDA2640}" name="Α/Α" dataDxfId="17"/>
    <tableColumn id="2" xr3:uid="{ED3106F7-1D23-4602-8092-5FD53AB07D57}" name="ΕΠΙΘΕΤΟ" dataDxfId="16"/>
    <tableColumn id="3" xr3:uid="{B74472E8-771C-47A6-B79D-E5B7D7731F90}" name="ΟΝΟΜΑ" dataDxfId="15"/>
    <tableColumn id="4" xr3:uid="{67BE11FB-FB41-4D6D-9C2D-1E8A2A28D17F}" name="ΚΙΝΗΤΟ" dataDxfId="14"/>
    <tableColumn id="5" xr3:uid="{64502FC5-72C6-42E3-B440-13EDD705AEF7}" name="EMAIL" dataDxfId="13" dataCellStyle="Υπερ-σύνδεση"/>
    <tableColumn id="6" xr3:uid="{5228503C-A732-492A-915D-6C9E951B921C}" name="ΤΜΗΜΑ " dataDxfId="12"/>
  </tableColumns>
  <tableStyleInfo name="Στυλ πίνακα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71F5D1-D9E3-407A-B1F1-B6BE7B46F6C6}" name="Πίνακας5" displayName="Πίνακας5" ref="BY2:CE22" totalsRowShown="0" headerRowDxfId="11" dataDxfId="9" headerRowBorderDxfId="10" tableBorderDxfId="8" totalsRowBorderDxfId="7">
  <autoFilter ref="BY2:CE22" xr:uid="{5671F5D1-D9E3-407A-B1F1-B6BE7B46F6C6}"/>
  <tableColumns count="7">
    <tableColumn id="1" xr3:uid="{24A63A89-C24E-4CCF-91E5-3E00482279FE}" name="Α/Α" dataDxfId="6"/>
    <tableColumn id="2" xr3:uid="{7359C9E5-1E80-422A-BDE7-1F666CBAC90E}" name="ΕΠΙΘΕΤΟ" dataDxfId="5"/>
    <tableColumn id="3" xr3:uid="{DF623215-D6EF-4F0F-AC33-C27AA227C7A9}" name="ΟΝΟΜΑ" dataDxfId="4"/>
    <tableColumn id="4" xr3:uid="{0C360228-7250-4F06-AA8A-B2BE2713F8E7}" name="ΚΙΝΗΤΟ" dataDxfId="3"/>
    <tableColumn id="5" xr3:uid="{66F22218-055A-4B82-AF6E-CE9B6A76FDDA}" name="EMAIL" dataDxfId="2" dataCellStyle="Υπερ-σύνδεση"/>
    <tableColumn id="6" xr3:uid="{FF57C2FB-7FBB-46BD-A569-0F217786F508}" name="ΤΜΗΜΑ " dataDxfId="1"/>
    <tableColumn id="7" xr3:uid="{7C2DEC93-AA29-474D-B79C-59692DDF789C}" name="ΤΙΜΟΛΟΓΙΟ VS ΣΥΜΒΑΣΗ" dataDxfId="0"/>
  </tableColumns>
  <tableStyleInfo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6" dT="2025-05-16T08:08:41.43" personId="{F9953392-3108-48A1-B870-75AF8B0CA120}" id="{19A589CD-D4BD-4DE0-8D6B-BAEB35117D1B}">
    <text>USER:
Για να ελεγξώ για σεμινάρια στην κάρτα μέλους. Παω στο ΛΑΖΑΡΟ πάω στο ΚΕΚ και αναζητο το excel που γράφει "ΜΕΛΗ KATARTISI PLUS - ΚΑΡΤΑΣ ΜΕΛΟΥΣ"</text>
  </threadedComment>
  <threadedComment ref="B121" dT="2025-06-27T11:29:01.42" personId="{F9953392-3108-48A1-B870-75AF8B0CA120}" id="{5BDE1605-D6F8-4A41-B5ED-876199C3E689}">
    <text xml:space="preserve">Έχω ενημερώσει τους σπουδαστές και περιμένω εκδήλωση ενδιαφέροντος </text>
  </threadedComment>
  <threadedComment ref="B122" dT="2025-06-27T11:31:41.12" personId="{F9953392-3108-48A1-B870-75AF8B0CA120}" id="{77A90ADE-98FF-4A2E-B6F6-C975AFEF3BC6}">
    <text>Έχω ενημερώσει τους σπουδαστές και περιμένω εκδήλωση ενδιαφέροντος για να επικοινωνήσω πίσω</text>
  </threadedComment>
  <threadedComment ref="B164" dT="2025-07-23T11:46:19.04" personId="{F9953392-3108-48A1-B870-75AF8B0CA120}" id="{FB08785F-9D46-4683-B550-50D114E0C6A3}">
    <text>ΝΑ ΚΑΛΕΣΩ ΞΑΝΑ ΓΙΑΤΙ ΕΙΠΕ ΠΩΣ ΘΑ ΜΕ ΚΑΛΕΣΕΙ ΚΑΙ ΔΕΝ ΜΕ ΚΑΛΕΣΕ</text>
  </threadedComment>
  <threadedComment ref="E178" dT="2025-08-22T04:41:38.72" personId="{F9953392-3108-48A1-B870-75AF8B0CA120}" id="{9D0AA5FD-14AB-4441-8D7B-B5107027B23C}">
    <text>Ήρθαν νωρίτερα τελικά στις 21/08, που έληξαν οι διακοπές τους</text>
  </threadedComment>
  <threadedComment ref="A185" dT="2025-09-03T04:55:25.55" personId="{F9953392-3108-48A1-B870-75AF8B0CA120}" id="{362C4CF2-408F-4E15-A857-AD0CE20EEE15}">
    <text>ΔΕΝ ΤΟ ΣΗΚΩΣΕ ΚΑΙ ΔΕΝ ΚΑΤΑΦΕΡΑ ΝΑ ΞΑΝΑ ΕΠΙΚΟΙΝΩΝΗΣΩ ΜΑΖΙ ΤΗΣ ΟΥΤΕ ΕΚΕΙΝΗ ΚΑΛΕΣΕ ΠΟΥ ΕΙΧΕ ΠΕΙ ΠΩΣ ΘΑ ΚΑΛΟΥΣΕ</text>
  </threadedComment>
  <threadedComment ref="A189" dT="2025-09-03T04:56:01.88" personId="{F9953392-3108-48A1-B870-75AF8B0CA120}" id="{7C9EAE0B-F887-4EA8-B0F5-850078E952ED}">
    <text xml:space="preserve">ΕΊΝΑΙ ΕΤΟΙΜΑ ΤΑ ΣΤΟΙΧΕΙΑ ΤΩΝ ΦΡΟΝΤΙΣΤΗΡΙΩΝ ΚΑΙ Ο ΤΡΟΠΟΣΠΡΟΣΕΓΓΙΣΗΣ </text>
  </threadedComment>
  <threadedComment ref="B198" dT="2025-09-09T10:22:47.99" personId="{F9953392-3108-48A1-B870-75AF8B0CA120}" id="{46A2C59F-94D8-4F69-82E6-C32017ED5C63}">
    <text>ΤΟΝ ΕΧΕΙ ΕΝΗΜΕΡΩΣΕΙ Η ΓΡΑΜΜΑΤΕΑΣ ΤΟΝ ΥΠΕΥΘΥΝΟ ΟΠΟΤΕ ΑΝ ΤΟΝ ΕΝΔΙΑΦΕΡΕΙ ΛΕΕΙ ΘΑ ΕΠΙΚΟΙΝΩΝΗΣΕΙ ΕΚΕΙΝΟΣ ΜΑΖΙ ΜΑΣ ΜΑΛΛΟΝ Χ</text>
  </threadedComment>
  <threadedComment ref="B227" dT="2025-11-14T08:25:09.00" personId="{F9953392-3108-48A1-B870-75AF8B0CA120}" id="{B2A8B14D-C796-4ACF-847A-41DC47A34DC0}">
    <text>ΤΟΝ ΚΑΛΕΣΕ ΚΑΙ Η ΝΑΤΑΣΑ 14/11/12025 ΚΑΙ ΕΙΠΕ ΠΩΣ ΘΑ ΕΡΘΕΙ ΣΗΜΕΡΑ ΟΠΟΤΕ ΑΝ ΔΕΝ ΕΧΕΙ ΦΤΙΑΞΕΙ ΑΚΟΜΑ,ΘΑ ΤΟΝ ΚΑΛΕΣΩ ΠΑΛΙ ΕΓΩ ΤΗΝ ΔΕΥΤΕΡΑ</text>
  </threadedComment>
  <threadedComment ref="B235" dT="2025-11-18T07:57:54.36" personId="{F9953392-3108-48A1-B870-75AF8B0CA120}" id="{7C1D47A0-0C1B-4129-B267-E91D0594CCED}">
    <text>ΟΣΟ ΠΙΟ ΓΡΗΓΟΡΑ ΓΙΝΕΤΑΙ ΘΑ ΕΡΘΕΙ ΜΠΟΡΕΙ ΛΕΕΙ ΚΑΙ ΣΑΒΒΑΤΟ, ΝΑ ΞΑΝΑ ΚΑΛΕΣΩ ΠΑΡΑΣΚΕΥΗ ΚΑΙ ΝΑ ΕΙΔΟΠΟΙΗΣΟΥΜΕ ΜΠΡΙΝΤΑΛΟ ΑΝ ΕΊΝΑΙ ΝΑ ΕΡΘΕΙ ΣΑΒΒΑΤΟ, ΓΙΑ ΝΑ ΤΟΥ ΑΝΟΙΞΕΙ</text>
  </threadedComment>
  <threadedComment ref="B315" dT="2026-04-15T09:15:03.94" personId="{F9953392-3108-48A1-B870-75AF8B0CA120}" id="{68E48673-48A7-4523-9302-99ABD675B217}">
    <text>ΤΗΝ ΚΑΛΕΣΑ ΑΡΓΟΤΕΡΑ ΚΑΙ ΤΟ ΣΗΚΩΣΕ, ΗΘΕΛΕ ΛΕΕΙ ΝΑ ΚΑΝΕΙ 4 ΩΡΟ ΤΩΡΑ ΣΤΗΝ ΤΟΥΡΙΣΤΙΚΗ ΣΕΖΟΝ ΚΑΙ ΜΕΤΑ ΟΚΤΑΩΡΟ ΚΑΙ Η ΕΛΕΝΗ ΕΊΝΑΙ ΕΝΤΑΞΕΙ ΜΕ ΑΥΤΌ ΚΑΙ ΤΗΣ ΕΔΩΣΑ ΤΑ ΣΤΟΙΧΕΙΑ ΤΗΣ ΚΑΣΣΙΑΣ ΚΑΙ ΘΑ ΣΥΝΝΕΝΟΗΘΟΥΝ</text>
  </threadedComment>
  <threadedComment ref="B332" dT="2026-05-21T11:08:23.29" personId="{F9953392-3108-48A1-B870-75AF8B0CA120}" id="{374E2484-E134-4939-9345-09E7AC47F011}">
    <text>ΕΠΕΙΔΗ ΔΕΝ ΜΠΟΡΟΥΣΕ ΚΑΝΕΝΑ ΔΙΑΚΟΣΜΗΤΙΚΟ ΓΡΑΦΕΙΟ, ΕΝΗΜΕΡΩΣΑ ΤΗΝ ΣΤΕΛΛΑ ΚΑΙ ΜΟΥ ΕΙΠΕ ΘΑ ΠΑΕΙ ΣΚ ΡΕΘΥΜΝΟ ΚΑΙ ΘΑ ΔΕΙ ΓΙΑ ΔΙΑΚΟΣΜΗΤΙΚΟ ΓΡΑΦΕΙΟ ΠΟΥ ΘΑ ΜΠΟΡΟΥΣΑΜΕ ΝΑ ΠΡΟΣΕΓΓΙΣΟΥΜΕ, ΑΛΛΙΩΣ ΘΑ ΞΕΚΙΝΗΣΟΥΜΕ ΤΑ ΑΡΧΙΤΕΚΤΟΝΙΚΑ ΓΡΑΦΕΙΑ ΣΤΟ ΡΕΘΥΜΝΟ ΝΑ ΠΟΥ ΕΧΕΙ ΠΕΡΙΣΣΟΤΕΡΑ Ο ΧΡΥΣΟΣ ΟΔΗΓΟΣ</text>
  </threadedComment>
  <threadedComment ref="B332" dT="2026-05-21T11:09:13.89" personId="{F9953392-3108-48A1-B870-75AF8B0CA120}" id="{244DCAAB-27BC-4A63-8E6D-AE1B9AFDE54A}" parentId="{374E2484-E134-4939-9345-09E7AC47F011}">
    <text>https://www.vrisko.gr/dir/arxitektones-arxitektonika-grafeia/rethymno/</text>
    <extLst>
      <x:ext xmlns:xltc2="http://schemas.microsoft.com/office/spreadsheetml/2020/threadedcomments2" uri="{F7C98A9C-CBB3-438F-8F68-D28B6AF4A901}">
        <xltc2:checksum>2852188292</xltc2:checksum>
        <xltc2:hyperlink startIndex="0" length="70" url="https://www.vrisko.gr/dir/arxitektones-arxitektonika-grafeia/rethymno/"/>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6-18T05:26:55.65" personId="{F9953392-3108-48A1-B870-75AF8B0CA120}" id="{B2A8368E-0B92-452C-8642-0E788F05E57E}">
    <text>Η ΚΑΤΑΣΤΑΣΗ ΓΙΑ ΕΓΓΡΑΦΕΣ ΠΡΩΤΟΥ ΕΤΟΥΣ ΕΝΗΜΕΡΩΝΕΤΕ ΑΥΤΟΜΑΤΑ ΑΠΌ ΤΟ ΦΥΛΛΟ ΚΑΤΑΣΤΑΣΗ ΣΠΟΥΔΑ ΚΑΙ ΕΚΠΑΙΔ</text>
  </threadedComment>
  <threadedComment ref="C1" dT="2026-06-18T05:26:14.12" personId="{F9953392-3108-48A1-B870-75AF8B0CA120}" id="{9522B3D3-EA8D-45E2-AF70-A0BC73AB697B}">
    <text>ΕΠΕΙΔΗ ΟΙ ΕΓΓΡΑΦΕΣ ΔΕΥΤΕΡΟΥ ΕΤΟΥΣ ΕΊΝΑΙ ΛΙΓΕΣ ΑΝ ΑΛΛΑΞΕΙ Ο ΑΡΙΘΜΟΣ ΑΠΌ ΤΟ ΚΑΝΕΝΑΣ = 0, ΣΕ ΚΑΤΙ ΤΟ ΑΛΛΑΖΟΥΜΕ ΧΕΙΡΟΚΙΝΗΤΑ</text>
  </threadedComment>
  <threadedComment ref="B13" dT="2026-06-18T09:55:12.91" personId="{F9953392-3108-48A1-B870-75AF8B0CA120}" id="{30529720-D5A7-4DA0-97E4-D079FD7CA7DD}">
    <text xml:space="preserve">Στους ήδη υπάρχοντες σπουδαστές, έχουμε 2 που είναι (1 από ζαχαροπλαστική - Λιουδάκη Ζαχαρένια και 1 από μαγειρική - Ανδρουλάκη Ρίτα) που θα παρακολουθούν μαθήματα του 2ου έτους όμως στον ΠΗΓΑΣΟ θα φαίνονται ως πρώτο έτος και θα περνάμε τους βαθμούς που έχουμε ήδη στο δεύτερο έτος.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1-23T07:58:30.14" personId="{F9953392-3108-48A1-B870-75AF8B0CA120}" id="{2078F3DD-4491-4FBA-8251-C709394664F8}">
    <text>ΑΥΤΟΙ ΠΟΥ ΕΧΟΥΝ ΠΟΡΤΟΚΑΛΙ, ΕΝΔΙΑΦΕΡΟΝΤΑΙ ΓΙΑ ΌΤΑΝ ΕΧΟΥΜΕ ΝΈΟ ΤΜΗΜΑ</text>
  </threadedComment>
  <threadedComment ref="I82" dT="2026-01-12T10:24:06.13" personId="{F9953392-3108-48A1-B870-75AF8B0CA120}" id="{2C8AFFE3-4F63-47F4-9686-CA530E682CBD}">
    <text>ΜΟΝΟ ΠΡΩΙ 13:00</text>
  </threadedComment>
  <threadedComment ref="I82" dT="2026-01-12T10:48:19.10" personId="{F9953392-3108-48A1-B870-75AF8B0CA120}" id="{6C00CEE9-CCB0-4A47-B980-061CC891DA43}" parentId="{2C8AFFE3-4F63-47F4-9686-CA530E682CBD}">
    <text>ΝΑ ΤΗΝ ΕΝΗΜΕΡΩΣΟΥΜΕ ΑΝ ΔΗΜΙΟΥΡΓΗΘΕΙ ΤΜΗΜΑ ΤΟΝ ΦΕΡΒΟΥΑΡΙΟ</text>
  </threadedComment>
  <threadedComment ref="G83" dT="2026-02-16T11:15:10.41" personId="{F9953392-3108-48A1-B870-75AF8B0CA120}" id="{44C2921A-467F-422D-B3C5-D4755D67CDF2}">
    <text>ΤΗΛΕΦΩΝΟ ΜΑΜΑΣ - ΚΥΡΙΑΣ ΜΟΥΝΤΡΑΚΗ</text>
  </threadedComment>
</ThreadedComments>
</file>

<file path=xl/threadedComments/threadedComment4.xml><?xml version="1.0" encoding="utf-8"?>
<ThreadedComments xmlns="http://schemas.microsoft.com/office/spreadsheetml/2018/threadedcomments" xmlns:x="http://schemas.openxmlformats.org/spreadsheetml/2006/main">
  <threadedComment ref="E2" dT="2026-06-10T11:46:04.78" personId="{F9953392-3108-48A1-B870-75AF8B0CA120}" id="{A5FA7CF7-53DD-4E5A-A771-87768A551E5F}">
    <text>Ο ΑΡΙΘΜΟΣ ΜΗΤΡΩΟΥ ΕΜΦΑΝΙΖΕΤΑΙ ΌΤΑΝ ΕΝΑΣ ΜΑΘΗΤΗΣ ΠΕΡΑΣΤΕΙ ΜΕ ΤΑ ΣΤΟΙΧΕΙΑ ΤΟΥ. ΣΤΟ ΠΛΗΡΟΦΟΡΙΑΚΟ ΣΥΣΤΗΜΑ - ΠΗΓΑΣΟΣ</text>
  </threadedComment>
  <threadedComment ref="A15" dT="2026-03-12T08:09:34.58" personId="{F9953392-3108-48A1-B870-75AF8B0CA120}" id="{1B588038-CED9-42DC-B321-8B1AEFA0E994}">
    <text>ΈΧΕΙ ΠΑΡΕΙ ΠΙΝΑΚΙΔΑ</text>
  </threadedComment>
  <threadedComment ref="D16" dT="2026-01-23T09:28:07.75" personId="{F9953392-3108-48A1-B870-75AF8B0CA120}" id="{A81F3B16-627C-429B-8B8C-D03F0E8B15D7}">
    <text>ΕΙΧΕ ΠΕΘΑΝΕΙ Η ΓΙΑΓΙΑ ΤΗΣ ΤΗΝ ΕΒΔΟΜΑΔΑ 19-23/01/2026 ΚΑΙ ΔΕΝ ΜΠΟΡΟΥΣΕ ΝΑ ΕΡΧΕΤΑΙ</text>
  </threadedComment>
  <threadedComment ref="A17" dT="2026-03-12T08:09:45.37" personId="{F9953392-3108-48A1-B870-75AF8B0CA120}" id="{C874968F-F312-48CF-BA91-1AAF0C3952E7}">
    <text>ΕΧΕΙ ΠΑΡΕΙ ΠΙΝΑΚΙΔΑ</text>
  </threadedComment>
  <threadedComment ref="D17" dT="2025-12-03T12:12:50.83" personId="{F9953392-3108-48A1-B870-75AF8B0CA120}" id="{D5B44167-0F2E-4892-AED1-3193B5C49CD9}">
    <text>ΔΟΥΛΕΥΕΙ ΚΑΙ ΔΕΝ ΤΟΝ ΑΦΗΝΟΥΝ ΝΑ ΦΥΓΕΙ ΑΠΌ ΤΗΝ ΔΟΥΛΕΙΑ</text>
  </threadedComment>
  <threadedComment ref="D17" dT="2025-12-16T08:29:25.84" personId="{F9953392-3108-48A1-B870-75AF8B0CA120}" id="{E6288975-500D-49FD-8C56-FE13E2B00C4B}" parentId="{D5B44167-0F2E-4892-AED1-3193B5C49CD9}">
    <text>ΕΙΜΑΣΤΕ ΕΝΗΜΕΡΟΙ ΓΙΑ ΤΙΣ ΑΠΟΥΣΙΕΣ</text>
  </threadedComment>
  <threadedComment ref="F17" dT="2026-04-20T06:57:51.05" personId="{F9953392-3108-48A1-B870-75AF8B0CA120}" id="{C40D7820-A8EB-4C75-AA67-533408949B66}">
    <text>saloustroua@gmail.com EMAIL ΜΑΜΑΣ - ΣΑΛΟΥΣΤΡΟΥ ΕΛΕΥΘΕΡΙΑ</text>
    <extLst>
      <x:ext xmlns:xltc2="http://schemas.microsoft.com/office/spreadsheetml/2020/threadedcomments2" uri="{F7C98A9C-CBB3-438F-8F68-D28B6AF4A901}">
        <xltc2:checksum>2898056967</xltc2:checksum>
        <xltc2:hyperlink startIndex="0" length="21" url="saloustroua@gmail.com"/>
      </x:ext>
    </extLst>
  </threadedComment>
  <threadedComment ref="A18" dT="2026-03-12T08:09:54.06" personId="{F9953392-3108-48A1-B870-75AF8B0CA120}" id="{7BCFA0B2-5DEC-4DF3-9F4F-0AF3401F3320}">
    <text>ΕΧΕΙ ΠΑΡΕΙ ΠΙΝΑΚΙΔΑ</text>
  </threadedComment>
  <threadedComment ref="D18" dT="2025-11-21T09:02:24.37" personId="{F9953392-3108-48A1-B870-75AF8B0CA120}" id="{D73FC6E6-8AFE-44F1-9D4D-7E46DDC2DB39}">
    <text>ΠΗΓΕ ΣΤΗΝ ΑΘΗΝΑ ΤΗΝ ΕΒΔΟΜΑΔΑ 17-22, ΚΑΙ ΓΙΑ ΑΥΤΌ ΕΚΑΝΕ ΤΙΣ ΑΠΟΥΣΙΕΣ</text>
  </threadedComment>
  <threadedComment ref="A19" dT="2026-03-12T08:10:03.70" personId="{F9953392-3108-48A1-B870-75AF8B0CA120}" id="{69B5200E-ED77-4E22-B556-29895AC80A87}">
    <text>ΕΧΕΙ ΠΑΡΕΙ ΠΙΝΑΚΙΔΑ</text>
  </threadedComment>
  <threadedComment ref="AM30" dT="2026-02-06T12:13:26.69" personId="{F9953392-3108-48A1-B870-75AF8B0CA120}" id="{2E196208-8AF6-4E8C-884F-D49AF5CA648F}">
    <text>m.fygetaki@gmail.com</text>
    <extLst>
      <x:ext xmlns:xltc2="http://schemas.microsoft.com/office/spreadsheetml/2020/threadedcomments2" uri="{F7C98A9C-CBB3-438F-8F68-D28B6AF4A901}">
        <xltc2:checksum>3268924277</xltc2:checksum>
        <xltc2:hyperlink startIndex="0" length="20" url="m.fygetaki@gmail.com"/>
      </x:ext>
    </extLst>
  </threadedComment>
  <threadedComment ref="AM31" dT="2026-02-06T12:23:03.08" personId="{F9953392-3108-48A1-B870-75AF8B0CA120}" id="{3FD43C8B-3785-4810-A1E4-C5948F28D4D1}">
    <text>manbouch@yahoo.com</text>
    <extLst>
      <x:ext xmlns:xltc2="http://schemas.microsoft.com/office/spreadsheetml/2020/threadedcomments2" uri="{F7C98A9C-CBB3-438F-8F68-D28B6AF4A901}">
        <xltc2:checksum>33976139</xltc2:checksum>
        <xltc2:hyperlink startIndex="0" length="18" url="manbouch@yahoo.com"/>
      </x:ext>
    </extLst>
  </threadedComment>
  <threadedComment ref="AM32" dT="2026-02-06T12:13:01.49" personId="{F9953392-3108-48A1-B870-75AF8B0CA120}" id="{9360F7FC-6AD3-4B10-925B-541466D121FA}">
    <text xml:space="preserve"> eleftheriatzanaki@gmail.com</text>
    <extLst>
      <x:ext xmlns:xltc2="http://schemas.microsoft.com/office/spreadsheetml/2020/threadedcomments2" uri="{F7C98A9C-CBB3-438F-8F68-D28B6AF4A901}">
        <xltc2:checksum>1126446090</xltc2:checksum>
        <xltc2:hyperlink startIndex="1" length="27" url="eleftheriatzanaki@gmail.com"/>
      </x:ext>
    </extLst>
  </threadedComment>
  <threadedComment ref="AT32" dT="2026-01-13T08:44:47.73" personId="{F9953392-3108-48A1-B870-75AF8B0CA120}" id="{BA79EDA6-40A7-48E4-9484-37AFF469356E}">
    <text>ΚΑΝΟΝΙΣΑΜΕ ΜΕ ΤΗΝ ΤΖΑΝΑΚΗ ΝΑ ΒΑΛΕΙ 15 ΩΡΕΣ ΤΟΝ ΙΑΝΟΥΑΡΙΟ ΑΝΤΙΣ 20 ΠΟΥ ΕΒΑΛΕ, ΔΙΟΤΙ ΤΟΝ ΔΕΚΕΜΒΡΙΟ ΕΒΑΛΕ 20 ΩΡΕΣ ΑΝΤΙΣ 15 ΩΡΕΣ ΠΟΥ ΕΠΡΕΠΕ ΝΑ ΒΑΛΕΙ</text>
  </threadedComment>
  <threadedComment ref="D41" dT="2025-11-07T10:16:44.92" personId="{F9953392-3108-48A1-B870-75AF8B0CA120}" id="{5D479518-2921-4418-B72A-4704CB960253}">
    <text>ΕΊΝΑΙ ΠΥΡΟΣΒΕΣΤΗΣ ΚΑΙ ΠΟΛΛΕΣ ΦΟΡΕΣ ΕΧΕΙ ΥΠΗΡΕΣΙΑ ΚΑΙ ΓΙΑ ΑΥΤΌ ΔΕΝ ΠΡΟΛΑΒΕΝΕΙ ΝΑ ΜΠΕΙ ΝΑ ΠΑΡΑΚΟΛΟΥΘΗΣΕΙ.</text>
  </threadedComment>
  <threadedComment ref="AM41" dT="2026-02-06T12:13:26.69" personId="{F9953392-3108-48A1-B870-75AF8B0CA120}" id="{2A32D02E-25CC-4F3F-B09A-78DEA35CF295}">
    <text>m.fygetaki@gmail.com</text>
    <extLst>
      <x:ext xmlns:xltc2="http://schemas.microsoft.com/office/spreadsheetml/2020/threadedcomments2" uri="{F7C98A9C-CBB3-438F-8F68-D28B6AF4A901}">
        <xltc2:checksum>3268924277</xltc2:checksum>
        <xltc2:hyperlink startIndex="0" length="20" url="m.fygetaki@gmail.com"/>
      </x:ext>
    </extLst>
  </threadedComment>
  <threadedComment ref="AM42" dT="2026-02-06T12:23:03.08" personId="{F9953392-3108-48A1-B870-75AF8B0CA120}" id="{BF8DE683-3DD5-4BB4-847C-92C7FC2B612B}">
    <text>manbouch@yahoo.com</text>
    <extLst>
      <x:ext xmlns:xltc2="http://schemas.microsoft.com/office/spreadsheetml/2020/threadedcomments2" uri="{F7C98A9C-CBB3-438F-8F68-D28B6AF4A901}">
        <xltc2:checksum>33976139</xltc2:checksum>
        <xltc2:hyperlink startIndex="0" length="18" url="manbouch@yahoo.com"/>
      </x:ext>
    </extLst>
  </threadedComment>
  <threadedComment ref="AM43" dT="2026-02-06T12:13:01.49" personId="{F9953392-3108-48A1-B870-75AF8B0CA120}" id="{228BC192-F028-4E2A-8A14-C864AF36439F}">
    <text xml:space="preserve"> eleftheriatzanaki@gmail.com</text>
    <extLst>
      <x:ext xmlns:xltc2="http://schemas.microsoft.com/office/spreadsheetml/2020/threadedcomments2" uri="{F7C98A9C-CBB3-438F-8F68-D28B6AF4A901}">
        <xltc2:checksum>1126446090</xltc2:checksum>
        <xltc2:hyperlink startIndex="1" length="27" url="eleftheriatzanaki@gmail.com"/>
      </x:ext>
    </extLst>
  </threadedComment>
  <threadedComment ref="AT43" dT="2026-01-13T08:44:47.73" personId="{F9953392-3108-48A1-B870-75AF8B0CA120}" id="{5B7779D8-19C6-42F5-BA75-E70049B9DBFD}">
    <text>ΚΑΝΟΝΙΣΑΜΕ ΜΕ ΤΗΝ ΤΖΑΝΑΚΗ ΝΑ ΒΑΛΕΙ 15 ΩΡΕΣ ΤΟΝ ΙΑΝΟΥΑΡΙΟ ΑΝΤΙΣ 20 ΠΟΥ ΕΒΑΛΕ, ΔΙΟΤΙ ΤΟΝ ΔΕΚΕΜΒΡΙΟ ΕΒΑΛΕ 20 ΩΡΕΣ ΑΝΤΙΣ 15 ΩΡΕΣ ΠΟΥ ΕΠΡΕΠΕ ΝΑ ΒΑΛΕΙ</text>
  </threadedComment>
  <threadedComment ref="D57" dT="2025-10-30T05:21:41.67" personId="{F9953392-3108-48A1-B870-75AF8B0CA120}" id="{B8E0B622-7A18-483E-ADA4-886A5B2BD382}">
    <text>ΜΑΣ ΕΧΕΙ ΕΝΗΜΕΡΩΣΕΙ ΠΩΣ ΘΑ ΛΕΙΠΕΙ ΕΩΣ 11/11 ΓΙΑ ΕΚΤΑΚΤΕΣ ΔΟΥΛΕΙΕΣ ΕΚΤΟΣ ΗΡΑΚΛΕΙΟΥ ΚΑΙ ΔΕΝ ΘΑ ΜΠΟΡΕΙ ΝΑ ΠΑΡΑΚΟΛΟΥΘΕΙ</text>
  </threadedComment>
  <threadedComment ref="G75" dT="2026-01-12T11:27:06.02" personId="{F9953392-3108-48A1-B870-75AF8B0CA120}" id="{84389E71-8991-45A3-86AD-ACB54633B2AC}">
    <text>6936130997 ΣΜΑΡΑΓΔΗ ΣΤΕΛΛΑ ΜΑΜΑ ΧΡΗΣΤΑΚΗΣ ΜΑΡΙΛΕΝΑ</text>
  </threadedComment>
  <threadedComment ref="G77" dT="2026-01-12T11:27:06.02" personId="{F9953392-3108-48A1-B870-75AF8B0CA120}" id="{06DBE07E-3AAC-4563-B1C2-06E510F66CE5}">
    <text>6936130997 ΣΜΑΡΑΓΔΗ ΣΤΕΛΛΑ ΜΑΜΑ ΧΡΗΣΤΑΚΗΣ ΜΑΡΙΛΕΝΑ</text>
  </threadedComment>
  <threadedComment ref="D80" dT="2025-12-23T08:18:52.80" personId="{F9953392-3108-48A1-B870-75AF8B0CA120}" id="{F8A8D2FE-887F-4033-80D9-9FF4EF36AB4C}">
    <text>ΔΕΝ ΜΠΟΡΕΙ ΝΑ ΕΡΧΕΤΑΙ ΠΑΝΤΑ ΓΙΑΤΙ ΔΟΥΛΕΥΕΙ ΌΜΩΣ ΕΧΕΙ ΕΙΔΟΠΟΙΕΙΣΕΙ</text>
  </threadedComment>
  <threadedComment ref="D81" dT="2025-12-02T14:45:07.17" personId="{F9953392-3108-48A1-B870-75AF8B0CA120}" id="{AF964163-492F-4587-A11B-B9899C5FB413}">
    <text>ΘΑ ΜΕΙΝΕΙ ΑΛΛΑ ΗΤΑΝ ΑΡΡΩΣΤΗ ΚΑΙ ΓΙΑ ΜΙΑ ΕΒΔΟΜΑΔΑ ΕΠΙΣΗΣ ΕΝΗΜΕΡΩΣΕ 08-12/12/2025 ΌΤΙ ΔΕΝ ΘΑ ΜΠΟΡΕΣΕΙ ΝΑ ΕΡΧΕΤΑΙ</text>
  </threadedComment>
  <threadedComment ref="D87" dT="2025-12-16T08:15:45.97" personId="{F9953392-3108-48A1-B870-75AF8B0CA120}" id="{EB849C01-FCC7-4781-94F3-B82BAA34A0BB}">
    <text>ΕΊΝΑΙ ΣΤΗΝ ΑΘΗΝΑ 15-19/12/2025 ΟΠΟΤΕ ΔΙΚΑΙΟΛΟΓΗΜΕΝΕΣ ΟΙ ΑΠΟΥΣΙΕΣ</text>
  </threadedComment>
  <threadedComment ref="D105" dT="2025-11-21T09:19:49.31" personId="{F9953392-3108-48A1-B870-75AF8B0CA120}" id="{F66CD8AD-D7AC-43D9-96F1-57B21FD32419}">
    <text>ΜΕ ΕΙΧΕ ΕΝΗΜΕΡΩΣΕΙ ΣΤΙΣ ΑΡΧΕΣ ΌΤΙ ΔΟΥΛΕΥΕ ΓΙΑ ΑΥΤΌ ΔΕΝ ΜΠΟΡΟΥΣΕ ΝΑ ΕΡΘΕΙ ΌΜΩΣ ΤΟ ΣΥΝΕΧΙΖΕΙ...ΤΟΝ ΚΑΛΩ ΜΟΥ ΕΙΠΕ ΠΩΣ ΔΕΝ ΕΧΕΙ ΜΕΤΑΦΟΡΙΚΟ ΚΑΙ ΠΩΣ ΘΑ ΕΡΧΕΤΑΙ ΑΠΌ ΕΔΏ ΚΑΙ ΠΕΡΑ ΚΑΝΟΝΙΚΑ...ΟΜΩΣ ΠΑΛΙ ΚΑΝΕΙ ΤΑ ΙΔΙΑ</text>
  </threadedComment>
  <threadedComment ref="D107" dT="2025-12-19T11:09:37.62" personId="{F9953392-3108-48A1-B870-75AF8B0CA120}" id="{8266FAEB-9CE4-48D5-A60E-C763FB80C192}">
    <text>ΜΑΣ ΕΧΕΙ ΕΝΗΜΕΡΩΣΕΙ ΠΩΣ ΔΟΥΛΕΥΕΙ ΚΑΙ ΕΡΧΕΤΑΙ ΟΠΟΤΕ ΠΡΟΛΑΒΕΝΕΙ, ΑΛΛΑ ΚΑΝΕΙ ΠΟΛΛΕΣ ΚΑΙ ΔΙΑΦΟΡΕΤΙΚΕΣ ΕΡΓΑΣΙΕΣ</text>
  </threadedComment>
  <threadedComment ref="D108" dT="2025-11-21T09:23:50.03" personId="{F9953392-3108-48A1-B870-75AF8B0CA120}" id="{3EAC29B5-0F41-4671-B77A-5A82195E5F0E}">
    <text>ΔΟΥΛΕΥΕ ΣΤΙΣ ΑΡΧΕΣ ΚΑΙ ΓΙΑ ΑΥΤΌ ΔΕΝ ΕΡΧΟΤΑΝ ΚΑΙ ΜΕ ΕΙΧΕ ΕΝΗΜΕΡΩΣΕΙ</text>
  </threadedComment>
  <threadedComment ref="H136" dT="2026-06-22T06:39:56.89" personId="{F9953392-3108-48A1-B870-75AF8B0CA120}" id="{B56A30AD-10D6-46DC-AE7E-32B029896298}">
    <text>Αριθμός Πράξης: 8
Ημερομηνία: 09/03/2026</text>
  </threadedComment>
  <threadedComment ref="H139" dT="2026-06-22T11:02:20.38" personId="{F9953392-3108-48A1-B870-75AF8B0CA120}" id="{616A3479-AD5B-40C5-97BB-A67B22DE3530}">
    <text>ΕΧΕΙ ΠΑΡΕΙ ΒΕΚ ΑΠΌ ΆΛΛΟ ΙΕΚ ΣΤΗΝ ΙΔΙΑ ΕΙΔΙΚΟΤΗΤΑ</text>
  </threadedComment>
  <threadedComment ref="D145" dT="2025-11-07T08:56:30.41" personId="{F9953392-3108-48A1-B870-75AF8B0CA120}" id="{27BF9E1E-D68A-4565-880E-F88742D0AD4A}">
    <text xml:space="preserve">ΨΑΧΝΕΙ ΓΙΑ ΔΟΥΛΕΙΑ ΚΑΙ ΚΟΥΡΑΖΕΤΑΙ ΓΙΑ ΑΥΤΌ ΔΕΝ ΕΡΧΕΤΑΙ </text>
  </threadedComment>
  <threadedComment ref="G145" dT="2026-01-23T09:15:12.79" personId="{F9953392-3108-48A1-B870-75AF8B0CA120}" id="{CD1F9F7D-0EE5-4B61-B5D1-0744E43C7B6B}">
    <text>ΔΕΝ ΤΟ ΣΗΚΩΣΕ ΓΙΑ ΝΑ ΜΙΛΗΣΟΥΜΕ</text>
  </threadedComment>
  <threadedComment ref="D150" dT="2025-11-07T10:06:36.81" personId="{F9953392-3108-48A1-B870-75AF8B0CA120}" id="{39BBF581-108C-422F-8374-967B57296869}">
    <text>ΗΤΑΝ ΑΡΡΩΣΤΗ ΣΤΟ ΝΟΣΟΚΟΜΕΙΟ ΓΙΑ ΑΥΤΌ ΔΕΝ ΕΙΧΕ ΕΡΘΕΙ ΔΕΝ ΕΧΕΙ ΚΑΝΕΝΑ ΠΡΟΒΛΗΜΑ</text>
  </threadedComment>
  <threadedComment ref="D154" dT="2025-05-16T08:57:20.25" personId="{F9953392-3108-48A1-B870-75AF8B0CA120}" id="{D8AEC5AF-1422-4F3B-B939-D5C83E56222E}">
    <text>ΕΧΕΙ ΣΤΑΜΑΤΗΣΕΙ</text>
  </threadedComment>
  <threadedComment ref="H155" dT="2026-06-22T06:40:16.67" personId="{F9953392-3108-48A1-B870-75AF8B0CA120}" id="{3F273639-5526-4E75-BDE6-38900EC9097C}">
    <text>Αριθμός Πράξης: 9
Ημερομηνία: 10/03/2026</text>
  </threadedComment>
  <threadedComment ref="H156" dT="2026-06-22T06:40:37.99" personId="{F9953392-3108-48A1-B870-75AF8B0CA120}" id="{4DE4F169-5B80-4B92-A797-38D2F7FBE736}">
    <text>Αριθμός Πράξης: 3
Ημερομηνία: 08/01/2026</text>
  </threadedComment>
  <threadedComment ref="H157" dT="2026-06-22T06:40:57.51" personId="{F9953392-3108-48A1-B870-75AF8B0CA120}" id="{224B4DD9-A3BA-4547-A983-3C8B77C307A9}">
    <text>Αριθμός Πράξης: 12
Ημερομηνία: 07/04/2026</text>
  </threadedComment>
  <threadedComment ref="H159" dT="2026-06-22T06:41:20.16" personId="{F9953392-3108-48A1-B870-75AF8B0CA120}" id="{A811A336-68AE-48DF-993C-116E1756ABFA}">
    <text>Αριθμός Πράξης: 4
Ημερομηνία: 08/01/2026</text>
  </threadedComment>
  <threadedComment ref="H160" dT="2026-06-22T06:41:59.72" personId="{F9953392-3108-48A1-B870-75AF8B0CA120}" id="{53470CA5-DB9A-44CB-85C8-D81C438E7E08}">
    <text>Αριθμός Πράξης: 5
Ημερομηνία: 09/01/2026</text>
  </threadedComment>
  <threadedComment ref="H161" dT="2026-06-22T06:42:19.82" personId="{F9953392-3108-48A1-B870-75AF8B0CA120}" id="{71A089B9-B40A-4A54-8A01-63A1DEB9E1BE}">
    <text>Αριθμός Πράξης: 7
Ημερομηνία: 19/01/2026</text>
  </threadedComment>
  <threadedComment ref="D164" dT="2025-12-23T08:18:52.80" personId="{F9953392-3108-48A1-B870-75AF8B0CA120}" id="{8A0A6184-A325-4C53-AB70-2A58CB627AC1}">
    <text>ΔΕΝ ΜΠΟΡΕΙ ΝΑ ΕΡΧΕΤΑΙ ΠΑΝΤΑ ΓΙΑΤΙ ΔΟΥΛΕΥΕΙ ΌΜΩΣ ΕΧΕΙ ΕΙΔΟΠΟΙΕΙΣΕΙ</text>
  </threadedComment>
  <threadedComment ref="D165" dT="2025-12-02T14:45:07.17" personId="{F9953392-3108-48A1-B870-75AF8B0CA120}" id="{B6249D17-472E-42BB-8045-7B63AAC6C225}">
    <text>ΘΑ ΜΕΙΝΕΙ ΑΛΛΑ ΗΤΑΝ ΑΡΡΩΣΤΗ ΚΑΙ ΓΙΑ ΜΙΑ ΕΒΔΟΜΑΔΑ ΕΠΙΣΗΣ ΕΝΗΜΕΡΩΣΕ 08-12/12/2025 ΌΤΙ ΔΕΝ ΘΑ ΜΠΟΡΕΣΕΙ ΝΑ ΕΡΧΕΤΑΙ</text>
  </threadedComment>
  <threadedComment ref="H167" dT="2026-06-22T06:43:19.92" personId="{F9953392-3108-48A1-B870-75AF8B0CA120}" id="{4A8BFFAD-8B70-4A41-A65B-8D32DA010791}">
    <text xml:space="preserve">Αριθμός Πράξης: 16
Ημερομηνία: 25/05/2026
</text>
  </threadedComment>
  <threadedComment ref="H168" dT="2026-06-22T06:44:44.60" personId="{F9953392-3108-48A1-B870-75AF8B0CA120}" id="{5B211F66-4E04-4EF8-BA55-47299FF1570F}">
    <text>Αριθμός Πράξης: 15
Ημερομηνία: 13/05/2026</text>
  </threadedComment>
  <threadedComment ref="H169" dT="2026-06-22T06:57:49.42" personId="{F9953392-3108-48A1-B870-75AF8B0CA120}" id="{7F37781A-A2E0-4303-A8CA-2D9662B14764}">
    <text>Αριθμός Πράξης: 14
Ημερομηνία: 13/05/2026</text>
  </threadedComment>
  <threadedComment ref="D171" dT="2025-12-16T08:15:45.97" personId="{F9953392-3108-48A1-B870-75AF8B0CA120}" id="{9AF21A5B-7501-4B71-8052-890267CA3118}">
    <text>ΕΊΝΑΙ ΣΤΗΝ ΑΘΗΝΑ 15-19/12/2025 ΟΠΟΤΕ ΔΙΚΑΙΟΛΟΓΗΜΕΝΕΣ ΟΙ ΑΠΟΥΣΙΕΣ</text>
  </threadedComment>
  <threadedComment ref="H171" dT="2026-06-22T06:58:21.99" personId="{F9953392-3108-48A1-B870-75AF8B0CA120}" id="{56A13B8A-179D-4E8A-B432-81728B32D110}">
    <text>Αριθμός Πράξης: 13
Ημερομηνία: 12/05/2026</text>
  </threadedComment>
  <threadedComment ref="H176" dT="2026-06-22T06:58:55.43" personId="{F9953392-3108-48A1-B870-75AF8B0CA120}" id="{1ED9AE08-8709-4138-AE91-96FCD381FEBE}">
    <text>Αριθμός Πράξης: 6
Ημερομηνία: 19/01/2026</text>
  </threadedComment>
  <threadedComment ref="H178" dT="2026-06-22T06:59:27.01" personId="{F9953392-3108-48A1-B870-75AF8B0CA120}" id="{B3069A9C-3497-434D-8B7B-FDA3275EA28A}">
    <text>Αριθμός Πράξης: 1
Ημερομηνία: 07/07/2025</text>
  </threadedComment>
  <threadedComment ref="H179" dT="2026-06-22T06:59:57.18" personId="{F9953392-3108-48A1-B870-75AF8B0CA120}" id="{0A20586F-C39F-4CA5-A4BC-96757EB1B892}">
    <text>Αριθμός Πράξης: 2
Ημερομηνία: 07/07/2025</text>
  </threadedComment>
  <threadedComment ref="H180" dT="2026-06-22T07:02:19.42" personId="{F9953392-3108-48A1-B870-75AF8B0CA120}" id="{833719EF-918A-4E07-AE7C-5B36ED11B7FA}">
    <text>Αριθμός Πράξης: 11
Ημερομηνία: 20/03/2026</text>
  </threadedComment>
  <threadedComment ref="D181" dT="2025-05-16T08:57:31.27" personId="{F9953392-3108-48A1-B870-75AF8B0CA120}" id="{C3824F94-C64D-462B-85D7-EC8C810EEFEA}">
    <text>ΕΧΕΙ ΣΤΑΜΑΤΗΣΕΙ</text>
  </threadedComment>
  <threadedComment ref="D182" dT="2025-05-16T08:57:36.80" personId="{F9953392-3108-48A1-B870-75AF8B0CA120}" id="{B31423BE-66DC-4BFA-BFFE-746375E8E600}">
    <text>ΕΧΕΙ ΣΤΑΜΑΤΗΣΕΙ</text>
  </threadedComment>
  <threadedComment ref="H183" dT="2026-06-22T07:02:58.43" personId="{F9953392-3108-48A1-B870-75AF8B0CA120}" id="{B5F17E9E-611F-42D9-B8F3-6FBD58EAECAD}">
    <text>Αριθμός Πράξης: 10
Ημερομηνία: 10/03/2026</text>
  </threadedComment>
  <threadedComment ref="D187" dT="2025-10-30T05:21:41.67" personId="{F9953392-3108-48A1-B870-75AF8B0CA120}" id="{2E33F5E7-5AE0-4AFC-8780-A6132ACE3E2B}">
    <text>ΜΑΣ ΕΧΕΙ ΕΝΗΜΕΡΩΣΕΙ ΠΩΣ ΘΑ ΛΕΙΠΕΙ ΕΩΣ 11/11 ΓΙΑ ΕΚΤΑΚΤΕΣ ΔΟΥΛΕΙΕΣ ΕΚΤΟΣ ΗΡΑΚΛΕΙΟΥ ΚΑΙ ΔΕΝ ΘΑ ΜΠΟΡΕΙ ΝΑ ΠΑΡΑΚΟΛΟΥΘΕΙ</text>
  </threadedComment>
</ThreadedComments>
</file>

<file path=xl/threadedComments/threadedComment5.xml><?xml version="1.0" encoding="utf-8"?>
<ThreadedComments xmlns="http://schemas.microsoft.com/office/spreadsheetml/2018/threadedcomments" xmlns:x="http://schemas.openxmlformats.org/spreadsheetml/2006/main">
  <threadedComment ref="A73" dT="2025-12-05T11:49:24.32" personId="{F9953392-3108-48A1-B870-75AF8B0CA120}" id="{E51812CF-2975-4FE8-AA36-4B82329FD858}">
    <text xml:space="preserve">6951846244 ΥΠΕΥΘΥΝΗ ΣΥΣΚΕΥΑΣΙΑΣ </text>
  </threadedComment>
</ThreadedComments>
</file>

<file path=xl/threadedComments/threadedComment6.xml><?xml version="1.0" encoding="utf-8"?>
<ThreadedComments xmlns="http://schemas.microsoft.com/office/spreadsheetml/2018/threadedcomments" xmlns:x="http://schemas.openxmlformats.org/spreadsheetml/2006/main">
  <threadedComment ref="DH2" dT="2025-09-18T11:31:54.05" personId="{F9953392-3108-48A1-B870-75AF8B0CA120}" id="{A57C47F2-C2B6-4FBE-985A-653389B2C9CC}">
    <text>ΚΤΙΣΤΑΚΗΣ ΑΠΌ ΧΕΡΣΟΝΗΣΟ ΓΙΑ Ν Α ΠΑΡΕΙ ΦΥΛΛΑΔΙΑ ΘΕΛΕΙ ΡΑΝΤΕΒΟΥ ΤΡΙΤΗ 23/09/2025  08:45 6942635455</text>
  </threadedComment>
</ThreadedComments>
</file>

<file path=xl/threadedComments/threadedComment7.xml><?xml version="1.0" encoding="utf-8"?>
<ThreadedComments xmlns="http://schemas.microsoft.com/office/spreadsheetml/2018/threadedcomments" xmlns:x="http://schemas.openxmlformats.org/spreadsheetml/2006/main">
  <threadedComment ref="B103" dT="2026-06-10T08:08:39.22" personId="{F9953392-3108-48A1-B870-75AF8B0CA120}" id="{A1ACDCE8-11A5-437B-9E12-6F5F64D2C93A}">
    <text>ΕΊΝΑΙ Η ΕΠΟΠΤΡΙΑ ΜΑΣ ΠΟΥ ΜΙΛΑΜΕ ΠΙΟ ΣΥΧΝΑ</text>
  </threadedComment>
</ThreadedComments>
</file>

<file path=xl/threadedComments/threadedComment8.xml><?xml version="1.0" encoding="utf-8"?>
<ThreadedComments xmlns="http://schemas.microsoft.com/office/spreadsheetml/2018/threadedcomments" xmlns:x="http://schemas.openxmlformats.org/spreadsheetml/2006/main">
  <threadedComment ref="EI2" dT="2025-04-23T09:58:38.63" personId="{F9953392-3108-48A1-B870-75AF8B0CA120}" id="{780023BC-15AF-4407-9914-A685A588B2C8}">
    <text>ΚΥΡΛΑΚΗΣ</text>
  </threadedComment>
  <threadedComment ref="EJ2" dT="2025-04-23T09:29:01.72" personId="{F9953392-3108-48A1-B870-75AF8B0CA120}" id="{FD916B7D-8719-464A-AD92-07E60EBDE575}">
    <text>ΜΑΡΚΑΚΗ ΤΡΥΠΑΚΗ</text>
  </threadedComment>
  <threadedComment ref="EK2" dT="2025-04-23T09:47:22.38" personId="{F9953392-3108-48A1-B870-75AF8B0CA120}" id="{25A1E77B-D1E6-414C-82A2-061B50E07D11}">
    <text>ΚΟΝΙΔΑΚΗ</text>
  </threadedComment>
  <threadedComment ref="EL2" dT="2025-04-23T09:32:54.50" personId="{F9953392-3108-48A1-B870-75AF8B0CA120}" id="{D95DC35F-E25E-4713-88C2-43D36100F4CD}">
    <text>ΚΑΛΟΓΕΡΑΚΗΣ</text>
  </threadedComment>
  <threadedComment ref="EM2" dT="2025-04-23T09:35:32.32" personId="{F9953392-3108-48A1-B870-75AF8B0CA120}" id="{BA8E6946-358E-4304-9479-603F914B7468}">
    <text>ΜΑΡΚΑΚΗ ΤΡΥΠΑΚΗ</text>
  </threadedComment>
  <threadedComment ref="EW2" dT="2025-05-29T09:15:14.02" personId="{F9953392-3108-48A1-B870-75AF8B0CA120}" id="{0CDB023E-04F7-453A-AA91-BC241787D88F}">
    <text>ΚΥΡΛΑΚΗΣ-ΠΕΤΡΟΥΛΑΚΗ</text>
  </threadedComment>
  <threadedComment ref="EX2" dT="2025-05-29T09:16:12.18" personId="{F9953392-3108-48A1-B870-75AF8B0CA120}" id="{82C75623-7568-4BC7-983B-DB52AE6C13A6}">
    <text>ΚΟΝΙΔΑΚΗ</text>
  </threadedComment>
  <threadedComment ref="EY2" dT="2025-05-29T09:45:35.28" personId="{F9953392-3108-48A1-B870-75AF8B0CA120}" id="{B5CA4D81-A3BD-4F23-A41F-1B46BC28BAA0}">
    <text>ΚΟΥΜΑΚΗΣ</text>
  </threadedComment>
  <threadedComment ref="EZ2" dT="2025-05-29T09:30:54.48" personId="{F9953392-3108-48A1-B870-75AF8B0CA120}" id="{766F0DA8-595B-4016-A4FA-ACACBC640EC1}">
    <text>ΜΑΡΚΑΚΗ-ΤΡΥΠΑΚΗ</text>
  </threadedComment>
  <threadedComment ref="EI3" dT="2025-04-23T09:58:45.72" personId="{F9953392-3108-48A1-B870-75AF8B0CA120}" id="{55C51A49-D57E-461B-86C7-F785666BA184}">
    <text>ΚΥΡΛΑΚΗΣ</text>
  </threadedComment>
  <threadedComment ref="EI3" dT="2025-04-25T06:00:21.51" personId="{F9953392-3108-48A1-B870-75AF8B0CA120}" id="{8D8E71A3-9BED-4FE6-B291-353376C7A2EC}" parentId="{55C51A49-D57E-461B-86C7-F785666BA184}">
    <text>ΠΕΤΡΟΥΛΑΚΗ</text>
  </threadedComment>
  <threadedComment ref="EJ3" dT="2025-04-23T09:29:13.70" personId="{F9953392-3108-48A1-B870-75AF8B0CA120}" id="{BDDB3203-E4EF-4768-B954-099DACA79FC9}">
    <text>ΜΑΡΚΑΚΗ ΤΡΥΠΑΚΗ</text>
  </threadedComment>
  <threadedComment ref="EK3" dT="2025-04-23T09:47:35.04" personId="{F9953392-3108-48A1-B870-75AF8B0CA120}" id="{3B352595-99C6-447C-88E5-40631D2CFF36}">
    <text>ΜΩΥΣΑΚΗΣ</text>
  </threadedComment>
  <threadedComment ref="EL3" dT="2025-04-23T09:33:08.43" personId="{F9953392-3108-48A1-B870-75AF8B0CA120}" id="{A6563121-ED8B-4D5B-AFF9-597CA93117F5}">
    <text>ΣΑΒΒΑ</text>
  </threadedComment>
  <threadedComment ref="EM3" dT="2025-04-23T09:35:49.15" personId="{F9953392-3108-48A1-B870-75AF8B0CA120}" id="{66B645B3-6047-4640-86FC-A3CC2A80E07F}">
    <text>ΜΑΡΚΑΚΗ ΤΡΥΠΑΚΗ</text>
  </threadedComment>
  <threadedComment ref="EW3" dT="2025-05-29T09:15:20.64" personId="{F9953392-3108-48A1-B870-75AF8B0CA120}" id="{97085AFD-50F8-43FE-B987-06D4316958C8}">
    <text>ΚΥΡΛΑΚΗΣ-ΠΕΤΡΟΥΛΑΚΗ</text>
  </threadedComment>
  <threadedComment ref="EX3" dT="2025-05-29T09:16:32.36" personId="{F9953392-3108-48A1-B870-75AF8B0CA120}" id="{0BABF37B-E7A2-41B2-AA75-5A351B133A40}">
    <text>ΜΠΟΥΧΑΛΑΚΗΣ</text>
  </threadedComment>
  <threadedComment ref="EY3" dT="2025-05-29T09:45:44.39" personId="{F9953392-3108-48A1-B870-75AF8B0CA120}" id="{FFF795FA-59C9-4FC0-BCBF-603C47AF17F3}">
    <text>ΚΟΥΜΑΚΗΣ</text>
  </threadedComment>
  <threadedComment ref="EZ3" dT="2025-05-29T09:31:00.19" personId="{F9953392-3108-48A1-B870-75AF8B0CA120}" id="{0FC10437-17C5-4C32-9008-023096928A46}">
    <text>ΜΑΡΚΑΚΗ-ΤΡΥΠΑΚΗ</text>
  </threadedComment>
  <threadedComment ref="EI4" dT="2025-04-23T09:58:53.68" personId="{F9953392-3108-48A1-B870-75AF8B0CA120}" id="{138FFF9E-DAFD-47F8-85E0-CC5947642044}">
    <text>ΚΥΡΛΑΚΗΣ</text>
  </threadedComment>
  <threadedComment ref="EJ4" dT="2025-04-23T09:30:32.07" personId="{F9953392-3108-48A1-B870-75AF8B0CA120}" id="{8F27616E-DD74-407A-94EF-9A9561789AF5}">
    <text>ΜΑΡΚΑΚΗ ΤΡΥΠΑΚΗ</text>
  </threadedComment>
  <threadedComment ref="EK4" dT="2025-04-23T09:59:30.90" personId="{F9953392-3108-48A1-B870-75AF8B0CA120}" id="{1AB9A389-287A-4F30-9035-532C7693735A}">
    <text>ΜΠΟΥΧΑΛΑΚΗΣ</text>
  </threadedComment>
  <threadedComment ref="EL4" dT="2025-04-23T09:33:29.34" personId="{F9953392-3108-48A1-B870-75AF8B0CA120}" id="{40B911EC-EF4E-4827-B248-815949787264}">
    <text>ΡΕΠΑΝΑΚΗ</text>
  </threadedComment>
  <threadedComment ref="EM4" dT="2025-04-23T09:36:30.82" personId="{F9953392-3108-48A1-B870-75AF8B0CA120}" id="{9716AFC5-EC0E-4886-8C23-CE92040755F2}">
    <text>ΜΠΟΥΧΑΛΑΚΗΣ</text>
  </threadedComment>
  <threadedComment ref="EW4" dT="2025-05-29T09:15:26.11" personId="{F9953392-3108-48A1-B870-75AF8B0CA120}" id="{AF7BC70D-1620-4302-85B8-D1DB432B5F9D}">
    <text>ΚΥΡΛΑΚΗΣ-ΠΕΤΡΟΥΛΑΚΗ</text>
  </threadedComment>
  <threadedComment ref="EX4" dT="2025-05-29T09:16:44.77" personId="{F9953392-3108-48A1-B870-75AF8B0CA120}" id="{4C7F5FB4-936A-470A-9BEC-F6E81984DFAE}">
    <text>ΜΕΛΛΕΣΑΝΑΚΗ</text>
  </threadedComment>
  <threadedComment ref="EY4" dT="2025-05-29T10:06:29.03" personId="{F9953392-3108-48A1-B870-75AF8B0CA120}" id="{21407B5A-4D77-47F6-9CEB-C18995C4FC74}">
    <text>ΜΠΙΤΖΟΥ</text>
  </threadedComment>
  <threadedComment ref="EZ4" dT="2025-05-29T09:31:06.05" personId="{F9953392-3108-48A1-B870-75AF8B0CA120}" id="{E7E7D05C-5101-4681-9628-CE23593ADD6E}">
    <text>ΜΑΡΚΑΚΗ-ΤΡΥΠΑΚΗ</text>
  </threadedComment>
  <threadedComment ref="NL4" dT="2025-09-16T06:23:50.31" personId="{F9953392-3108-48A1-B870-75AF8B0CA120}" id="{2F109F58-51F5-49DA-9A7A-265C2C09F7B0}">
    <text>Να περάσουμε 14:00</text>
  </threadedComment>
  <threadedComment ref="EI5" dT="2025-04-23T10:10:09.35" personId="{F9953392-3108-48A1-B870-75AF8B0CA120}" id="{0B7366C8-13FB-4C46-BC3A-9EC90F4695D8}">
    <text>ΖΑΧΑΡΙΑΔΑΚΗ</text>
  </threadedComment>
  <threadedComment ref="EJ5" dT="2025-04-23T09:31:20.56" personId="{F9953392-3108-48A1-B870-75AF8B0CA120}" id="{B73F475E-9ED0-45CF-9419-13238EDD12D7}">
    <text>ΜΑΡΚΑΚΗ ΤΡΥΠΑΚΗ</text>
  </threadedComment>
  <threadedComment ref="EK5" dT="2025-04-23T09:59:49.70" personId="{F9953392-3108-48A1-B870-75AF8B0CA120}" id="{912C3A7F-9008-4704-A26E-49ACE9F556AE}">
    <text>ΚΟΝΙΔΑΚΗ</text>
  </threadedComment>
  <threadedComment ref="EL5" dT="2025-04-23T09:47:49.93" personId="{F9953392-3108-48A1-B870-75AF8B0CA120}" id="{441CCE59-266F-4078-BCD5-4287A2D139D1}">
    <text>ΜΠΟΥΧΑΛΑΚΗΣ</text>
  </threadedComment>
  <threadedComment ref="EM5" dT="2025-04-23T09:48:02.60" personId="{F9953392-3108-48A1-B870-75AF8B0CA120}" id="{A335813C-FF82-4B7A-B8CF-741247F70E44}">
    <text>ΒΟΓΙΑΤΖΗΣ</text>
  </threadedComment>
  <threadedComment ref="EW5" dT="2025-05-29T09:19:04.61" personId="{F9953392-3108-48A1-B870-75AF8B0CA120}" id="{C7DE3F98-E61A-4FC1-AED7-60D1C8D59BA4}">
    <text>ΒΟΓΙΑΤΖΗΣ</text>
  </threadedComment>
  <threadedComment ref="EX5" dT="2025-05-29T09:21:34.55" personId="{F9953392-3108-48A1-B870-75AF8B0CA120}" id="{564A7DA0-2E1A-47FE-BEFD-1B4FA520FB8A}">
    <text>ΚΟΝΙΔΑΚΗ</text>
  </threadedComment>
  <threadedComment ref="EY5" dT="2025-05-29T09:45:35.28" personId="{F9953392-3108-48A1-B870-75AF8B0CA120}" id="{E012335A-2F1F-45CF-BF77-8B036F783092}">
    <text>ΚΟΥΜΑΚΗΣ</text>
  </threadedComment>
  <threadedComment ref="EZ5" dT="2025-05-29T09:31:12.43" personId="{F9953392-3108-48A1-B870-75AF8B0CA120}" id="{2DCD2398-CCEF-41F5-9A34-FB9D53A0FC6C}">
    <text>ΜΑΡΚΑΚΗ-ΤΡΥΠΑΚΗ</text>
  </threadedComment>
  <threadedComment ref="NL5" dT="2025-09-16T08:28:10.69" personId="{F9953392-3108-48A1-B870-75AF8B0CA120}" id="{AEB909F6-445D-4923-A049-E45DC4870E31}">
    <text>10:30</text>
  </threadedComment>
  <threadedComment ref="EI6" dT="2025-04-23T10:10:20.52" personId="{F9953392-3108-48A1-B870-75AF8B0CA120}" id="{5AC065F5-5FE7-40DD-8E22-2474EC1DAC44}">
    <text>ΖΑΧΑΡΙΑΔΑΚΗ</text>
  </threadedComment>
  <threadedComment ref="EJ6" dT="2025-04-23T10:11:20.88" personId="{F9953392-3108-48A1-B870-75AF8B0CA120}" id="{775AAA8C-6F5A-4112-9CFB-D16B11F43E97}">
    <text>ΖΑΧΑΡΙΑΔΑΚΗ</text>
  </threadedComment>
  <threadedComment ref="EK6" dT="2025-04-23T10:02:32.71" personId="{F9953392-3108-48A1-B870-75AF8B0CA120}" id="{0DB69F78-099A-4E34-83D3-9F0D53DF853D}">
    <text>ΚΟΝΙΔΑΚΗ</text>
  </threadedComment>
  <threadedComment ref="EL6" dT="2025-04-23T10:05:47.64" personId="{F9953392-3108-48A1-B870-75AF8B0CA120}" id="{DA630A56-5960-4287-9B8C-F8DB09114B4F}">
    <text>ΚΟΥΜΑΚΗΣ</text>
  </threadedComment>
  <threadedComment ref="EM6" dT="2025-04-23T10:06:05.24" personId="{F9953392-3108-48A1-B870-75AF8B0CA120}" id="{122B9AF1-0496-4B52-90F1-12A62D002887}">
    <text>ΑΠΛΑΔΑ</text>
  </threadedComment>
  <threadedComment ref="EX6" dT="2025-05-29T09:21:48.52" personId="{F9953392-3108-48A1-B870-75AF8B0CA120}" id="{9A27A657-955E-487C-8AE1-9A697918A0FA}">
    <text>ΜΠΟΥΧΑΛΑΚΗΣ</text>
  </threadedComment>
  <threadedComment ref="EZ6" dT="2025-05-29T09:31:19.04" personId="{F9953392-3108-48A1-B870-75AF8B0CA120}" id="{91105722-3D15-483A-9C3A-1B17E57CC03E}">
    <text>ΜΑΡΚΑΚΗ-ΤΡΥΠΑΚΗ</text>
  </threadedComment>
  <threadedComment ref="MT6" dT="2025-08-18T09:57:04.13" personId="{F9953392-3108-48A1-B870-75AF8B0CA120}" id="{73E02A8E-3F4B-484B-87CD-E0DB54AE291B}">
    <text>ΔΕΝ ΜΑΣ ΕΧΕΙ ΠΕΙ ΣΤΑ ΣΙΓΟΥΡΑ, ΤΟ ΠΡΟΒΛΗΜΑ ΤΟΥ ΕΊΝΑΙ ΠΩΣ ΕΊΝΑΙ ΠΟΛΎ ΣΟΒΑΡΟΣ ΚΑΙ ΜΗΠΩΣ ΔΕΝ ΑΡΕΣΕΙ. ΌΜΩΣ ΤΟΥ ΕΙΠΑΜΕ ΠΩΣ ΘΕΛΟΥΜΕ ΝΑ ΔΕΙΧΝΕΙ ΑΥΤΌ ΠΟΥ ΕΊΝΑΙ ΚΑΙ ΌΧΙ ΚΑΤΙ ΠΡΟΣΠΟΙΗΤΟ ΟΠΟΤΕ ΜΑΛΛΟΝ ΔΕΝ ΘΑ ΤΟ ΚΑΝΕΙ</text>
  </threadedComment>
  <threadedComment ref="MT6" dT="2025-08-19T07:21:05.28" personId="{F9953392-3108-48A1-B870-75AF8B0CA120}" id="{9D2C1BCF-C9C5-4BF4-BE83-26EF3832705C}" parentId="{73E02A8E-3F4B-484B-87CD-E0DB54AE291B}">
    <text>ΔΕΝ ΘΑ ΈΡΘΕΙ ΤΕΛΙΚΑ!!!</text>
  </threadedComment>
  <threadedComment ref="EI7" dT="2025-04-23T10:17:08.26" personId="{F9953392-3108-48A1-B870-75AF8B0CA120}" id="{3D914CC3-43AF-41E3-8E49-6ECCCAE21636}">
    <text>ΣΚΟΡΔΟΥ</text>
  </threadedComment>
  <threadedComment ref="EJ7" dT="2025-04-23T10:11:57.67" personId="{F9953392-3108-48A1-B870-75AF8B0CA120}" id="{5924B43A-13F8-4FA6-A4AA-61BB7A64EB40}">
    <text>ΖΑΧΑΡΙΑΔΑΚΗ</text>
  </threadedComment>
  <threadedComment ref="EK7" dT="2025-04-23T10:02:41.52" personId="{F9953392-3108-48A1-B870-75AF8B0CA120}" id="{008BBFF6-8F15-44B5-9681-8CB31E44097B}">
    <text>ΝΕΟΝΑΚΗ</text>
  </threadedComment>
  <threadedComment ref="EL7" dT="2025-04-23T10:05:56.60" personId="{F9953392-3108-48A1-B870-75AF8B0CA120}" id="{DCF22F67-159A-4B47-A7FD-201A52012990}">
    <text>ΚΟΥΜΑΚΗΣ</text>
  </threadedComment>
  <threadedComment ref="EM7" dT="2025-04-23T10:06:14.25" personId="{F9953392-3108-48A1-B870-75AF8B0CA120}" id="{B843D2D4-0925-4B1F-8D25-EE7DDE58CADD}">
    <text>ΑΠΛΑΔΑ</text>
  </threadedComment>
  <threadedComment ref="EX7" dT="2025-05-29T09:22:08.48" personId="{F9953392-3108-48A1-B870-75AF8B0CA120}" id="{D3C83D73-2909-4D71-99F9-3288A1193068}">
    <text>ΜΥΩΣΑΚΗΣ</text>
  </threadedComment>
  <threadedComment ref="EZ7" dT="2025-05-29T09:31:24.71" personId="{F9953392-3108-48A1-B870-75AF8B0CA120}" id="{D1F8819C-AE6F-421E-A541-75C83AA92A44}">
    <text>ΜΑΡΚΑΚΗ-ΤΡΥΠΑΚΗ</text>
  </threadedComment>
  <threadedComment ref="EJ8" dT="2025-04-23T10:19:06.90" personId="{F9953392-3108-48A1-B870-75AF8B0CA120}" id="{FBD0772C-55BF-45CC-957C-FA1A8EDC084E}">
    <text>ΜΠΙΤΖΟΥ</text>
  </threadedComment>
  <threadedComment ref="EK8" dT="2025-04-23T10:02:55.00" personId="{F9953392-3108-48A1-B870-75AF8B0CA120}" id="{214C4828-C608-4526-92A8-6DA0A0781F03}">
    <text>ΜΑΡΚΑΚΗ ΤΡΥΠΑΚΗ</text>
  </threadedComment>
  <threadedComment ref="EL8" dT="2025-04-23T10:13:19.82" personId="{F9953392-3108-48A1-B870-75AF8B0CA120}" id="{CAA1F3C9-C610-4438-831C-6D2ED7CA4588}">
    <text>ΖΑΧΑΡΙΑΔΑΚΗ</text>
  </threadedComment>
  <threadedComment ref="EM8" dT="2025-04-23T10:06:25.29" personId="{F9953392-3108-48A1-B870-75AF8B0CA120}" id="{00FBAD1E-285E-4AC8-81D9-F430565C0F8B}">
    <text>ΚΟΥΜΑΚΗΣ</text>
  </threadedComment>
  <threadedComment ref="EX8" dT="2025-05-29T09:40:33.72" personId="{F9953392-3108-48A1-B870-75AF8B0CA120}" id="{E3AB4770-152C-4133-A5C1-A003530B6F75}">
    <text>ΚΟΝΙΔΑΚΗ</text>
  </threadedComment>
  <threadedComment ref="EZ8" dT="2025-05-29T09:43:24.23" personId="{F9953392-3108-48A1-B870-75AF8B0CA120}" id="{A8625303-8459-4794-9D25-9F702D108EA1}">
    <text>ΑΠΛΑΔΑ</text>
  </threadedComment>
  <threadedComment ref="EJ9" dT="2025-04-23T10:19:15.92" personId="{F9953392-3108-48A1-B870-75AF8B0CA120}" id="{1EF4F7A3-B795-48BC-BAB0-8FD88BBC4C61}">
    <text>ΜΠΙΤΖΟΥ</text>
  </threadedComment>
  <threadedComment ref="EK9" dT="2025-04-23T10:19:51.76" personId="{F9953392-3108-48A1-B870-75AF8B0CA120}" id="{94A508C2-1863-4DA9-886E-F0AED14D81BF}">
    <text>ΑΔΑΜΗΣ</text>
  </threadedComment>
  <threadedComment ref="EL9" dT="2025-04-23T10:14:00.07" personId="{F9953392-3108-48A1-B870-75AF8B0CA120}" id="{462F3521-1E80-4B77-895F-C2A96B42505D}">
    <text>ΜΠΙΤΖΟΥ</text>
  </threadedComment>
  <threadedComment ref="EM9" dT="2025-04-23T10:23:00.73" personId="{F9953392-3108-48A1-B870-75AF8B0CA120}" id="{F60369C7-76E8-49CA-A76D-AD8E59A3BC1F}">
    <text>ΜΠΙΤΖΟΥ</text>
  </threadedComment>
  <threadedComment ref="EX9" dT="2025-05-29T09:40:40.88" personId="{F9953392-3108-48A1-B870-75AF8B0CA120}" id="{9E1E9545-E38F-4D85-A6A1-328A125DD8D0}">
    <text>ΝΕΟΝΑΚΗ</text>
  </threadedComment>
  <threadedComment ref="EZ9" dT="2025-05-29T09:43:31.51" personId="{F9953392-3108-48A1-B870-75AF8B0CA120}" id="{AE7F7AF1-4446-472F-BFE7-5849CFEB187E}">
    <text>ΑΠΛΑΔΑ</text>
  </threadedComment>
  <threadedComment ref="EK10" dT="2025-04-23T09:58:45.72" personId="{F9953392-3108-48A1-B870-75AF8B0CA120}" id="{137F12A3-549B-4FE0-A365-08C58427E919}">
    <text>ΚΥΡΛΑΚΗΣ</text>
  </threadedComment>
  <threadedComment ref="EK10" dT="2025-04-25T06:00:21.51" personId="{F9953392-3108-48A1-B870-75AF8B0CA120}" id="{344AD4B8-D4EC-490C-8369-9DBECC68C4E5}" parentId="{137F12A3-549B-4FE0-A365-08C58427E919}">
    <text>ΠΕΤΡΟΥΛΑΚΗ</text>
  </threadedComment>
  <threadedComment ref="EL10" dT="2025-04-23T10:20:38.69" personId="{F9953392-3108-48A1-B870-75AF8B0CA120}" id="{868FB1D3-4D29-409D-8E60-77A5C73C4E73}">
    <text>ΜΠΙΤΖΟΥ</text>
  </threadedComment>
  <threadedComment ref="EX10" dT="2025-05-29T09:40:55.75" personId="{F9953392-3108-48A1-B870-75AF8B0CA120}" id="{68A39C46-023B-42AB-A19A-B0D27ECD008A}">
    <text>ΜΑΡΚΑΚΗ-ΤΡΥΠΑΚΗ</text>
  </threadedComment>
  <threadedComment ref="EZ10" dT="2025-05-29T10:06:51.78" personId="{F9953392-3108-48A1-B870-75AF8B0CA120}" id="{1E07F805-CFBC-4119-A795-4E7F799B4F93}">
    <text>ΣΚΟΡΔΟΥ, ΜΠΙΤΖΟΥ, ΑΔΑΜΗΣ</text>
  </threadedComment>
  <threadedComment ref="EX11" dT="2025-05-29T10:06:22.48" personId="{F9953392-3108-48A1-B870-75AF8B0CA120}" id="{1D5FC0B3-DBD8-4625-86F2-5D38B402EFC7}">
    <text>ΜΠΙΤΖΟΥ</text>
  </threadedComment>
  <threadedComment ref="FO11" dT="2025-04-22T08:06:15.38" personId="{F9953392-3108-48A1-B870-75AF8B0CA120}" id="{F3DF0E62-B80D-49F9-8456-D8A8056AA83A}">
    <text xml:space="preserve">Περιμένουμε </text>
  </threadedComment>
  <threadedComment ref="FO12" dT="2025-04-22T08:03:12.46" personId="{F9953392-3108-48A1-B870-75AF8B0CA120}" id="{8921D266-B2AA-4946-9CB9-D4778DE56E93}">
    <text>Περιμένουμε κυρία Μπίτζου να ανεβάσει</text>
  </threadedComment>
  <threadedComment ref="NL12" dT="2025-08-22T07:54:51.09" personId="{F9953392-3108-48A1-B870-75AF8B0CA120}" id="{86E07723-1E8F-490A-A5EE-1A1DFB891F70}">
    <text>ΤΥΠΙΚΟ ΔΕΝ ΕΊΝΑΙ ΚΑΙ ΤΗΣ ΓΡΗΓΟΡΑΚΗ ΣΤΟΝ ΑΝΤΡΑ ΤΗΣ ΔΟΥΛΕΥΕΙ..</text>
  </threadedComment>
  <threadedComment ref="EY13" dT="2025-05-29T10:11:00.25" personId="{F9953392-3108-48A1-B870-75AF8B0CA120}" id="{E4481494-D059-4CD6-95DD-E9C1D7C41957}">
    <text>ΖΑΧΑΡΙΑΔΑΚΗ</text>
  </threadedComment>
  <threadedComment ref="FA13" dT="2025-05-29T09:36:07.43" personId="{F9953392-3108-48A1-B870-75AF8B0CA120}" id="{40D1BD3B-FA70-441C-8AD8-8FF13A8D9AA8}">
    <text>ΚΑΛΟΓΕΡΑΚΗΣ</text>
  </threadedComment>
  <threadedComment ref="FB13" dT="2025-05-29T10:11:28.83" personId="{F9953392-3108-48A1-B870-75AF8B0CA120}" id="{AD2C8E34-1913-4EF1-A5B2-336843A66D02}">
    <text>ΜΠΙΤΖΟΥ</text>
  </threadedComment>
  <threadedComment ref="FO13" dT="2025-04-22T08:06:36.78" personId="{F9953392-3108-48A1-B870-75AF8B0CA120}" id="{C5FBD8F4-8A87-4C83-B842-7DD65E566A52}">
    <text>Περιμένουμε</text>
  </threadedComment>
  <threadedComment ref="EY14" dT="2025-05-29T10:11:09.26" personId="{F9953392-3108-48A1-B870-75AF8B0CA120}" id="{4B04014F-E306-4093-94A1-72A0DEC72414}">
    <text>ΖΑΧΑΡΙΑΔΑΚΗ</text>
  </threadedComment>
  <threadedComment ref="FA14" dT="2025-05-29T09:36:17.91" personId="{F9953392-3108-48A1-B870-75AF8B0CA120}" id="{6E220919-7DB7-44AE-9E73-D6D98BC4D350}">
    <text>ΣΑΒΑ</text>
  </threadedComment>
  <threadedComment ref="FB14" dT="2025-05-29T10:11:34.46" personId="{F9953392-3108-48A1-B870-75AF8B0CA120}" id="{04A1CA0A-C955-4F70-B39B-696D18741F51}">
    <text>ΜΠΙΤΖΟΥ</text>
  </threadedComment>
  <threadedComment ref="FA15" dT="2025-05-29T09:36:33.11" personId="{F9953392-3108-48A1-B870-75AF8B0CA120}" id="{AE3FEE2D-3002-4E4A-A17A-DBCA9D3599B8}">
    <text>ΜΠΟΥΧΑΛΑΚΗΣ</text>
  </threadedComment>
  <threadedComment ref="FB15" dT="2025-05-29T10:10:39.65" personId="{F9953392-3108-48A1-B870-75AF8B0CA120}" id="{36B25A85-B219-4F3A-9BC2-73CFAEBD791A}">
    <text>ΣΚΟΡΔΟΥ</text>
  </threadedComment>
  <threadedComment ref="FA16" dT="2025-05-29T09:36:45.92" personId="{F9953392-3108-48A1-B870-75AF8B0CA120}" id="{3A60EE05-53FF-438F-9B9F-880CE4E89672}">
    <text>ΡΕΠΑΝΑΚΗ</text>
  </threadedComment>
  <threadedComment ref="FB16" dT="2025-05-29T10:10:47.93" personId="{F9953392-3108-48A1-B870-75AF8B0CA120}" id="{7BAF151C-8620-4427-BB55-F5B704ADE30E}">
    <text>ΣΚΟΡΔΟΥ</text>
  </threadedComment>
  <threadedComment ref="D18" dT="2025-05-06T15:22:16.40" personId="{F9953392-3108-48A1-B870-75AF8B0CA120}" id="{0924655F-8E87-4EA7-9094-63BB39C15736}">
    <text>Δεν αντιστοιχει σε συνδρομητη</text>
  </threadedComment>
  <threadedComment ref="EX18" dT="2025-05-29T10:11:22.10" personId="{F9953392-3108-48A1-B870-75AF8B0CA120}" id="{784D56C1-2A95-4975-AB18-93DA40DD7480}">
    <text>ΜΠΙΤΖΟΥ</text>
  </threadedComment>
  <threadedComment ref="Y19" dT="2025-07-29T13:13:26.43" personId="{F9953392-3108-48A1-B870-75AF8B0CA120}" id="{488D1A0F-2543-4341-8CF5-868F9D09702C}">
    <text>Δεν ανοίγει το βιογραφικό</text>
  </threadedComment>
  <threadedComment ref="FO19" dT="2025-04-22T08:13:54.92" personId="{F9953392-3108-48A1-B870-75AF8B0CA120}" id="{0B4F1D8F-BC7E-44F9-A8F3-5D33C4F9AAFF}">
    <text>Τον ρωτάμε από κοντά για σημειωσεις που έχει για να ανέβουν στο classter</text>
  </threadedComment>
  <threadedComment ref="FO21" dT="2025-04-23T06:36:22.10" personId="{F9953392-3108-48A1-B870-75AF8B0CA120}" id="{C02EF64A-A333-4C48-BE61-25ED668FE2E9}">
    <text>Την ρωτάμε όταν έρθει</text>
  </threadedComment>
  <threadedComment ref="B23" dT="2025-05-16T08:57:20.25" personId="{F9953392-3108-48A1-B870-75AF8B0CA120}" id="{C3AF277E-59D3-47DD-A19C-D1F973929D4B}">
    <text>ΕΧΕΙ ΣΤΑΜΑΤΗΣΕΙ</text>
  </threadedComment>
  <threadedComment ref="FO23" dT="2025-04-22T08:18:38.65" personId="{F9953392-3108-48A1-B870-75AF8B0CA120}" id="{F79CE449-C78D-489A-9297-C766DB2108BC}">
    <text>Ρωτάμε τον κύριο Κουμάκη αν έχει δώσει σημειώσεις και μπορούμε να ανεβάσουμε στο classter</text>
  </threadedComment>
  <threadedComment ref="FO24" dT="2025-04-22T08:19:31.68" personId="{F9953392-3108-48A1-B870-75AF8B0CA120}" id="{6AB0E470-104F-439D-8C53-8CBAAE6D615A}">
    <text>Να ρωτήσω από κοντά αν έχει κάτι για να ανεβάσουμε στην θεωρία</text>
  </threadedComment>
  <threadedComment ref="B31" dT="2025-05-16T08:57:26.08" personId="{F9953392-3108-48A1-B870-75AF8B0CA120}" id="{6873F63B-BB6F-43BA-A182-35F94C559C7C}">
    <text>ΕΧΕΙ ΣΤΑΜΑΤΗΣΕΙ</text>
  </threadedComment>
  <threadedComment ref="D31" dT="2025-05-07T15:01:00.66" personId="{F9953392-3108-48A1-B870-75AF8B0CA120}" id="{D7F41219-C5FF-4117-8EED-026D05EFF7AE}">
    <text>ΕΧΕΙ ΤΕΛΙΩΣΕΙ ΑΠΌ ΜΑΡΤΙΟ</text>
  </threadedComment>
  <threadedComment ref="FO40" dT="2025-04-22T08:31:15.83" personId="{F9953392-3108-48A1-B870-75AF8B0CA120}" id="{4ED6A3C4-44AC-4E90-AD02-38BE45F428D1}">
    <text>Τον ρωτάμε από κοντά για σημειώσεις αν έχει</text>
  </threadedComment>
  <threadedComment ref="FO41" dT="2025-04-23T06:35:15.41" personId="{F9953392-3108-48A1-B870-75AF8B0CA120}" id="{5486CBDC-9199-485E-A3CA-1B6DF90EAE29}">
    <text>Τον ρωτάμε από κοντά για σημειώσεις αν έχει</text>
  </threadedComment>
  <threadedComment ref="B42" dT="2025-05-16T08:57:31.27" personId="{F9953392-3108-48A1-B870-75AF8B0CA120}" id="{F3ED3D8D-AAF0-4A9F-B1F9-CEFF12FE8064}">
    <text>ΕΧΕΙ ΣΤΑΜΑΤΗΣΕΙ</text>
  </threadedComment>
  <threadedComment ref="B43" dT="2025-05-16T08:57:36.80" personId="{F9953392-3108-48A1-B870-75AF8B0CA120}" id="{22CBB186-5D4E-4FE8-9365-D3AE94201AD8}">
    <text>ΕΧΕΙ ΣΤΑΜΑΤΗΣΕΙ</text>
  </threadedComment>
</ThreadedComments>
</file>

<file path=xl/threadedComments/threadedComment9.xml><?xml version="1.0" encoding="utf-8"?>
<ThreadedComments xmlns="http://schemas.microsoft.com/office/spreadsheetml/2018/threadedcomments" xmlns:x="http://schemas.openxmlformats.org/spreadsheetml/2006/main">
  <threadedComment ref="A3" dT="2026-03-12T08:09:34.58" personId="{F9953392-3108-48A1-B870-75AF8B0CA120}" id="{8D264B94-6D74-4B9F-AA6A-39A8117A2E97}">
    <text>ΈΧΕΙ ΠΑΡΕΙ ΠΙΝΑΚΙΔΑ</text>
  </threadedComment>
  <threadedComment ref="BI3" dT="2025-10-06T09:00:56.78" personId="{F9953392-3108-48A1-B870-75AF8B0CA120}" id="{7BF99C2B-423B-46BC-8F0A-EB17969ED5D8}">
    <text>ΘΑ ΔΩΣΕΙ ΠΑΝΕΛΛΗΝΙΕΣ ΚΑΙ ΔΕΝ ΘΕΛΕΙ ΝΑ ΠΑΡΑΚΟΛΟΥΘΗΣΕΙ ΤΗΝ ΣΧΟΛΗ ΠΛΕΩΝ</text>
  </threadedComment>
  <threadedComment ref="BI3" dT="2025-10-08T11:57:51.44" personId="{F9953392-3108-48A1-B870-75AF8B0CA120}" id="{B46AD90D-7D53-437F-A006-4D49863BBAA8}" parentId="{7BF99C2B-423B-46BC-8F0A-EB17969ED5D8}">
    <text xml:space="preserve">ΕΣΩΤΕΡΙΚΗ ΑΡΧΙΤΕΚΝΟΝΙΚΗ ΔΙΑΚΟΣΜΗΣΗ ΚΑΙ ΣΧΕΔΙΑΣΜΟΣ ΑΝΤΙΚΕΙΜΕΝΩΝ </text>
  </threadedComment>
  <threadedComment ref="BM3" dT="2025-10-13T09:13:42.14" personId="{F9953392-3108-48A1-B870-75AF8B0CA120}" id="{64C1A887-3EEF-4AA3-BF12-3058260AC136}">
    <text>staurianou.dimitra@gmail.com</text>
    <extLst>
      <x:ext xmlns:xltc2="http://schemas.microsoft.com/office/spreadsheetml/2020/threadedcomments2" uri="{F7C98A9C-CBB3-438F-8F68-D28B6AF4A901}">
        <xltc2:checksum>2734597498</xltc2:checksum>
        <xltc2:hyperlink startIndex="0" length="28" url="staurianou.dimitra@gmail.com"/>
      </x:ext>
    </extLst>
  </threadedComment>
  <threadedComment ref="D4" dT="2026-01-23T09:28:07.75" personId="{F9953392-3108-48A1-B870-75AF8B0CA120}" id="{0017F96B-6FCB-4C21-93E6-FDCA2786A4C1}">
    <text>ΕΙΧΕ ΠΕΘΑΝΕΙ Η ΓΙΑΓΙΑ ΤΗΣ ΤΗΝ ΕΒΔΟΜΑΔΑ 19-23/01/2026 ΚΑΙ ΔΕΝ ΜΠΟΡΟΥΣΕ ΝΑ ΕΡΧΕΤΑΙ</text>
  </threadedComment>
  <threadedComment ref="BN4" dT="2025-09-05T05:45:06.84" personId="{F9953392-3108-48A1-B870-75AF8B0CA120}" id="{80C024AC-8CB3-4EB4-AF48-B231D3E4DFDD}">
    <text>6936130997 ΤΗΛΕΦΩΝΟ ΜΑΜΑΣ</text>
  </threadedComment>
  <threadedComment ref="A5" dT="2026-03-12T08:09:45.37" personId="{F9953392-3108-48A1-B870-75AF8B0CA120}" id="{46FDAA2E-F48E-47CE-B28D-746221289F00}">
    <text>ΕΧΕΙ ΠΑΡΕΙ ΠΙΝΑΚΙΔΑ</text>
  </threadedComment>
  <threadedComment ref="D5" dT="2025-12-03T12:12:50.83" personId="{F9953392-3108-48A1-B870-75AF8B0CA120}" id="{ABA077B6-0602-459D-8E33-0C5AD7F0DB11}">
    <text>ΔΟΥΛΕΥΕΙ ΚΑΙ ΔΕΝ ΤΟΝ ΑΦΗΝΟΥΝ ΝΑ ΦΥΓΕΙ ΑΠΌ ΤΗΝ ΔΟΥΛΕΙΑ</text>
  </threadedComment>
  <threadedComment ref="D5" dT="2025-12-16T08:29:25.84" personId="{F9953392-3108-48A1-B870-75AF8B0CA120}" id="{0CBD4176-72BE-43EE-B414-05BFF90C89BB}" parentId="{ABA077B6-0602-459D-8E33-0C5AD7F0DB11}">
    <text>ΕΙΜΑΣΤΕ ΕΝΗΜΕΡΟΙ ΓΙΑ ΤΙΣ ΑΠΟΥΣΙΕΣ</text>
  </threadedComment>
  <threadedComment ref="F5" dT="2026-04-20T06:57:51.05" personId="{F9953392-3108-48A1-B870-75AF8B0CA120}" id="{BBAF12DD-1CAE-4BC9-9F76-F1D2DCEDED77}">
    <text>saloustroua@gmail.com EMAIL ΜΑΜΑΣ - ΣΑΛΟΥΣΤΡΟΥ ΕΛΕΥΘΕΡΙΑ</text>
    <extLst>
      <x:ext xmlns:xltc2="http://schemas.microsoft.com/office/spreadsheetml/2020/threadedcomments2" uri="{F7C98A9C-CBB3-438F-8F68-D28B6AF4A901}">
        <xltc2:checksum>2898056967</xltc2:checksum>
        <xltc2:hyperlink startIndex="0" length="21" url="saloustroua@gmail.com"/>
      </x:ext>
    </extLst>
  </threadedComment>
  <threadedComment ref="A6" dT="2026-03-12T08:09:54.06" personId="{F9953392-3108-48A1-B870-75AF8B0CA120}" id="{CB98F95A-031F-4629-90BC-088848B67205}">
    <text>ΕΧΕΙ ΠΑΡΕΙ ΠΙΝΑΚΙΔΑ</text>
  </threadedComment>
  <threadedComment ref="D6" dT="2025-11-21T09:02:24.37" personId="{F9953392-3108-48A1-B870-75AF8B0CA120}" id="{1EFC8F7F-8FBF-4C94-AE16-2CA462A6E2AE}">
    <text>ΠΗΓΕ ΣΤΗΝ ΑΘΗΝΑ ΤΗΝ ΕΒΔΟΜΑΔΑ 17-22, ΚΑΙ ΓΙΑ ΑΥΤΌ ΕΚΑΝΕ ΤΙΣ ΑΠΟΥΣΙΕΣ</text>
  </threadedComment>
  <threadedComment ref="A7" dT="2026-03-12T08:10:03.70" personId="{F9953392-3108-48A1-B870-75AF8B0CA120}" id="{8809D546-3D33-4703-8DA6-161EFC0CF27D}">
    <text>ΕΧΕΙ ΠΑΡΕΙ ΠΙΝΑΚΙΔΑ</text>
  </threadedComment>
  <threadedComment ref="D10" dT="2025-11-07T09:05:11.39" personId="{F9953392-3108-48A1-B870-75AF8B0CA120}" id="{968C5268-FAEE-426F-8491-467D7EE14C37}">
    <text>ΕΧΕΙ ΠΡΟΒΛΗΜΑ ΜΕ ΤΟΝ ΑΝΤΡΑ ΤΗΣ ΚΑΙ ΔΕΝ ΜΠΟΡΕΙ ΝΑ ΕΡΧΕΤΑΙ ΚΑΙ ΜΑΛΛΟΝ ΘΑ ΔΙΑΚΟΨΕΙ ΚΙΟΛΑΣ</text>
  </threadedComment>
  <threadedComment ref="F10" dT="2026-02-05T11:10:03.47" personId="{F9953392-3108-48A1-B870-75AF8B0CA120}" id="{9D3EA497-38DB-4F4A-AC40-1F9F79782869}">
    <text>sofia1129@yahoo.gr</text>
    <extLst>
      <x:ext xmlns:xltc2="http://schemas.microsoft.com/office/spreadsheetml/2020/threadedcomments2" uri="{F7C98A9C-CBB3-438F-8F68-D28B6AF4A901}">
        <xltc2:checksum>4267804420</xltc2:checksum>
        <xltc2:hyperlink startIndex="0" length="18" url="sofia1129@yahoo.gr"/>
      </x:ext>
    </extLst>
  </threadedComment>
  <threadedComment ref="G10" dT="2026-01-23T09:14:49.15" personId="{F9953392-3108-48A1-B870-75AF8B0CA120}" id="{785B7F77-4827-49E8-8CA1-BB8EC6CB7131}">
    <text xml:space="preserve">ΔΕΝ ΤΟ ΣΗΚΩΣΕ ΓΙΑ ΝΑ ΜΙΛΗΣΟΥΜΕ </text>
  </threadedComment>
  <threadedComment ref="BU11" dT="2025-05-06T15:22:16.40" personId="{F9953392-3108-48A1-B870-75AF8B0CA120}" id="{3BAF1B11-732B-426F-843F-BA57217661A0}">
    <text>Δεν αντιστοιχει σε συνδρομητη</text>
  </threadedComment>
  <threadedComment ref="D12" dT="2025-11-07T08:56:30.41" personId="{F9953392-3108-48A1-B870-75AF8B0CA120}" id="{6457F103-D5E2-4DC8-9609-EC54CDD30081}">
    <text xml:space="preserve">ΨΑΧΝΕΙ ΓΙΑ ΔΟΥΛΕΙΑ ΚΑΙ ΚΟΥΡΑΖΕΤΑΙ ΓΙΑ ΑΥΤΌ ΔΕΝ ΕΡΧΕΤΑΙ </text>
  </threadedComment>
  <threadedComment ref="G12" dT="2026-01-23T09:15:12.79" personId="{F9953392-3108-48A1-B870-75AF8B0CA120}" id="{AA641794-D87C-4583-A8B1-7FBD762B75D2}">
    <text>ΔΕΝ ΤΟ ΣΗΚΩΣΕ ΓΙΑ ΝΑ ΜΙΛΗΣΟΥΜΕ</text>
  </threadedComment>
  <threadedComment ref="BZ14" dT="2025-10-13T08:26:11.78" personId="{F9953392-3108-48A1-B870-75AF8B0CA120}" id="{7BC97F88-8C75-40B2-8A1B-D12F85F15B88}">
    <text>mihalispsa@windowslive.com</text>
    <extLst>
      <x:ext xmlns:xltc2="http://schemas.microsoft.com/office/spreadsheetml/2020/threadedcomments2" uri="{F7C98A9C-CBB3-438F-8F68-D28B6AF4A901}">
        <xltc2:checksum>1096385063</xltc2:checksum>
        <xltc2:hyperlink startIndex="0" length="26" url="mihalispsa@windowslive.com"/>
      </x:ext>
    </extLst>
  </threadedComment>
  <threadedComment ref="D15" dT="2025-11-07T09:34:58.02" personId="{F9953392-3108-48A1-B870-75AF8B0CA120}" id="{10520593-9EC3-4387-BF91-63256A37DB00}">
    <text>ΕΛΕΙΠΕ ΓΙΑΤΙ ΕΧΕΙ ΣΕΜΙΝΑΡΙΟ ΚΑΙ ΕΧΑΣΕ ΤΗΝ ΜΠΑΛΑ ΓΙΑΤΙ ΕΧΕΙ ΚΕΝΑ.</text>
  </threadedComment>
  <threadedComment ref="D15" dT="2025-11-07T09:49:08.79" personId="{F9953392-3108-48A1-B870-75AF8B0CA120}" id="{C74E2E15-19D4-4EA1-A76A-99EF0B872D10}" parentId="{10520593-9EC3-4387-BF91-63256A37DB00}">
    <text>ΨΑΧΝΕΙ ΣΠΙΤΙ ΚΑΙ ΔΟΥΛΕΥΕΙ ΚΑΙ ΤΑΥΤΟΧΡΟΝΑ ΚΑΙ ΝΙΩΘΕΙ ΠΙΕΣΜΕΝΗ ΚΑΙ ΔΕΝ ΜΠΟΡΕΙ ΝΑ ΑΠΟΔΩΣΕΙ</text>
  </threadedComment>
  <threadedComment ref="G15" dT="2026-01-23T09:15:30.80" personId="{F9953392-3108-48A1-B870-75AF8B0CA120}" id="{4FE3DC1E-D1D9-4202-A898-F766E52C9F31}">
    <text>ΔΕΝ ΤΟ ΣΗΚΩΣΕ ΓΙΑ ΝΑ ΜΙΛΗΣΟΥΜΕ</text>
  </threadedComment>
  <threadedComment ref="F18" dT="2026-05-18T10:45:18.89" personId="{F9953392-3108-48A1-B870-75AF8B0CA120}" id="{5F1CCDB2-3F0C-4EDE-9AC6-2DDE08F2A051}">
    <text>sofia.krous@gmail.com</text>
    <extLst>
      <x:ext xmlns:xltc2="http://schemas.microsoft.com/office/spreadsheetml/2020/threadedcomments2" uri="{F7C98A9C-CBB3-438F-8F68-D28B6AF4A901}">
        <xltc2:checksum>1196287670</xltc2:checksum>
        <xltc2:hyperlink startIndex="0" length="21" url="sofia.krous@gmail.com"/>
      </x:ext>
    </extLst>
  </threadedComment>
  <threadedComment ref="F19" dT="2026-02-05T11:10:52.87" personId="{F9953392-3108-48A1-B870-75AF8B0CA120}" id="{225F518A-D7D2-4053-A92F-D6479175F1F1}">
    <text>eugeniapetrogiannaki15@gmail.com</text>
    <extLst>
      <x:ext xmlns:xltc2="http://schemas.microsoft.com/office/spreadsheetml/2020/threadedcomments2" uri="{F7C98A9C-CBB3-438F-8F68-D28B6AF4A901}">
        <xltc2:checksum>136622786</xltc2:checksum>
        <xltc2:hyperlink startIndex="0" length="32" url="eugeniapetrogiannaki15@gmail.com"/>
      </x:ext>
    </extLst>
  </threadedComment>
  <threadedComment ref="G19" dT="2026-01-23T09:17:13.19" personId="{F9953392-3108-48A1-B870-75AF8B0CA120}" id="{BED47151-C1C6-4D2F-88FA-4DF65F124224}">
    <text>ΜΟΥ ΤΟ ΚΛΕΙΝΕΙ ΚΑΙ ΔΕΝ ΑΠΑΝΤΑ ΣΕ EMAIL</text>
  </threadedComment>
  <threadedComment ref="BK19" dT="2025-10-13T08:38:06.62" personId="{F9953392-3108-48A1-B870-75AF8B0CA120}" id="{CCABB7E5-BF3C-4F5A-9933-E44C1FB30D5A}">
    <text>Στέλεχος Διοίκησης και Οικονομίας</text>
  </threadedComment>
  <threadedComment ref="D20" dT="2025-11-07T10:06:36.81" personId="{F9953392-3108-48A1-B870-75AF8B0CA120}" id="{4DC0D904-72CE-4120-9D8E-35764F29A239}">
    <text>ΗΤΑΝ ΑΡΡΩΣΤΗ ΣΤΟ ΝΟΣΟΚΟΜΕΙΟ ΓΙΑ ΑΥΤΌ ΔΕΝ ΕΙΧΕ ΕΡΘΕΙ ΔΕΝ ΕΧΕΙ ΚΑΝΕΝΑ ΠΡΟΒΛΗΜΑ</text>
  </threadedComment>
  <threadedComment ref="F21" dT="2026-05-18T10:51:22.90" personId="{F9953392-3108-48A1-B870-75AF8B0CA120}" id="{27580A12-1262-4CD1-834A-DDBB0C24280A}">
    <text>stampouli_a@windowslive.com</text>
  </threadedComment>
  <threadedComment ref="BI21" dT="2025-10-06T07:21:01.12" personId="{F9953392-3108-48A1-B870-75AF8B0CA120}" id="{A0A50BEC-EACB-4B9A-AD0F-1B9926B8D1F1}">
    <text>ΕΧΕΙ ΘΕΜΑ ΥΓΕΙΑΣ ΧΡΕΙΑΖΕΤΑΙ ΕΞΕΤΑΣΕΙΣ ΚΑΙ ΔΕΝ ΘΑ ΜΠΟΡΕΣΕΙ ΝΑ ΕΊΝΑΙ ΣΥΓΚΕΝΤΡΩΜΕΝΗ, ΘΑ ΤΟ ΔΕΙ ΑΠΌ ΤΗΝ ΝΕΑ ΧΡΟΝΙΑ ΑΝ ΘΑ ΜΠΟΡΕΣΕΙ ΝΑ ΤΟ ΠΑΡΑΚΟΛΟΥΘΗΣΕΙ.</text>
  </threadedComment>
  <threadedComment ref="BI21" dT="2025-10-08T11:56:46.69" personId="{F9953392-3108-48A1-B870-75AF8B0CA120}" id="{6E5AE854-B044-4483-B426-940AA2049C94}" parentId="{A0A50BEC-EACB-4B9A-AD0F-1B9926B8D1F1}">
    <text>ΣΤΕΛΕΧΟΣ ΔΙΟΙΚΗΣΗΣ ΚΑΙ ΟΙΚΟΝΟΜΙΑΣ</text>
  </threadedComment>
  <threadedComment ref="BM21" dT="2025-10-13T10:12:39.26" personId="{F9953392-3108-48A1-B870-75AF8B0CA120}" id="{5F38E978-C701-4D33-A09A-7AC740FBE530}">
    <text>voulatziraki.vt@gmail.com</text>
    <extLst>
      <x:ext xmlns:xltc2="http://schemas.microsoft.com/office/spreadsheetml/2020/threadedcomments2" uri="{F7C98A9C-CBB3-438F-8F68-D28B6AF4A901}">
        <xltc2:checksum>587200289</xltc2:checksum>
        <xltc2:hyperlink startIndex="0" length="25" url="voulatziraki.vt@gmail.com"/>
      </x:ext>
    </extLst>
  </threadedComment>
  <threadedComment ref="D23" dT="2025-11-07T09:29:21.94" personId="{F9953392-3108-48A1-B870-75AF8B0CA120}" id="{C5BE5172-8CB5-4A0B-B609-224C0AD00D1E}">
    <text>ΕΧΕΙ ΣΤΑΜΑΤΗΣΕΙ ΚΑΙ ΘΑ ΤΗΝ ΑΦΗΣΟΥΜΕ ΝΑ ΜΕΙΝΕΙ ΣΤΟ ΤΕΛΟΣ ΑΠΌ ΑΠΟΥΣΙΕΣ ΔΙΟΤΙ ΔΕΝ ΕΙΧΕ ΠΑΡΕΙ ΑΠΟΦΑΣΗ.</text>
  </threadedComment>
  <threadedComment ref="F23" dT="2026-02-05T11:10:17.66" personId="{F9953392-3108-48A1-B870-75AF8B0CA120}" id="{E6AD0C7E-EA24-4A95-86F1-5F18C5E595B5}">
    <text>xaralaeva30@yahoo.com</text>
    <extLst>
      <x:ext xmlns:xltc2="http://schemas.microsoft.com/office/spreadsheetml/2020/threadedcomments2" uri="{F7C98A9C-CBB3-438F-8F68-D28B6AF4A901}">
        <xltc2:checksum>2195540514</xltc2:checksum>
        <xltc2:hyperlink startIndex="0" length="21" url="xaralaeva30@yahoo.com"/>
      </x:ext>
    </extLst>
  </threadedComment>
  <threadedComment ref="AH23" dT="2026-02-06T12:13:26.69" personId="{F9953392-3108-48A1-B870-75AF8B0CA120}" id="{0718E65E-B941-4B1F-9BD2-525DB2BF8F67}">
    <text>m.fygetaki@gmail.com</text>
    <extLst>
      <x:ext xmlns:xltc2="http://schemas.microsoft.com/office/spreadsheetml/2020/threadedcomments2" uri="{F7C98A9C-CBB3-438F-8F68-D28B6AF4A901}">
        <xltc2:checksum>3268924277</xltc2:checksum>
        <xltc2:hyperlink startIndex="0" length="20" url="m.fygetaki@gmail.com"/>
      </x:ext>
    </extLst>
  </threadedComment>
  <threadedComment ref="AH24" dT="2026-02-06T12:23:03.08" personId="{F9953392-3108-48A1-B870-75AF8B0CA120}" id="{6E2441CF-D00F-4B40-8D15-1868D5337CB2}">
    <text>manbouch@yahoo.com</text>
    <extLst>
      <x:ext xmlns:xltc2="http://schemas.microsoft.com/office/spreadsheetml/2020/threadedcomments2" uri="{F7C98A9C-CBB3-438F-8F68-D28B6AF4A901}">
        <xltc2:checksum>33976139</xltc2:checksum>
        <xltc2:hyperlink startIndex="0" length="18" url="manbouch@yahoo.com"/>
      </x:ext>
    </extLst>
  </threadedComment>
  <threadedComment ref="AH25" dT="2026-02-06T12:13:01.49" personId="{F9953392-3108-48A1-B870-75AF8B0CA120}" id="{A01A2508-6175-4CD6-9CDF-BFE7C6E38F0A}">
    <text xml:space="preserve"> eleftheriatzanaki@gmail.com</text>
    <extLst>
      <x:ext xmlns:xltc2="http://schemas.microsoft.com/office/spreadsheetml/2020/threadedcomments2" uri="{F7C98A9C-CBB3-438F-8F68-D28B6AF4A901}">
        <xltc2:checksum>1126446090</xltc2:checksum>
        <xltc2:hyperlink startIndex="1" length="27" url="eleftheriatzanaki@gmail.com"/>
      </x:ext>
    </extLst>
  </threadedComment>
  <threadedComment ref="AO25" dT="2026-01-13T08:44:47.73" personId="{F9953392-3108-48A1-B870-75AF8B0CA120}" id="{421233A7-EE98-48F3-8CEA-E7C5514F70F1}">
    <text>ΚΑΝΟΝΙΣΑΜΕ ΜΕ ΤΗΝ ΤΖΑΝΑΚΗ ΝΑ ΒΑΛΕΙ 15 ΩΡΕΣ ΤΟΝ ΙΑΝΟΥΑΡΙΟ ΑΝΤΙΣ 20 ΠΟΥ ΕΒΑΛΕ, ΔΙΟΤΙ ΤΟΝ ΔΕΚΕΜΒΡΙΟ ΕΒΑΛΕ 20 ΩΡΕΣ ΑΝΤΙΣ 15 ΩΡΕΣ ΠΟΥ ΕΠΡΕΠΕ ΝΑ ΒΑΛΕΙ</text>
  </threadedComment>
  <threadedComment ref="BN25" dT="2025-09-01T09:15:30.10" personId="{F9953392-3108-48A1-B870-75AF8B0CA120}" id="{1AFE87E8-EA10-44F9-8295-AF283E5312B5}">
    <text>6946110462 ΤΗΛΕΦΩΝΟ ΜΗΤΕΡΑΣ</text>
  </threadedComment>
  <threadedComment ref="D31" dT="2025-11-10T11:05:49.82" personId="{F9953392-3108-48A1-B870-75AF8B0CA120}" id="{AC2DA7A0-5316-4EC8-B013-43E7329FDE14}">
    <text>ΔΕΝ ΜΠΟΡΕΙ ΝΑ ΣΥΝΕΧΙΣΕΙ Η ΣΤΡΑΤΑΚΗ ΓΙΑΤΙ ΤΟ ΠΡΟΓΡΑΜΜΑ ΤΗΣ ΔΕΝ ΕΊΝΑΙ ΌΠΩΣ ΥΠΟΛΟΓΙΖΕ, ΚΡΑΤΑΜΕ ΠΡΟΚΑΤΑΒΟΛΗ ΚΑΙ ΒΛΕΠΟΥΜΕ ΑΝ ΘΑ ΣΥΝΕΧΙΣΕΙ ΓΙΑ ΑΡΓΟΤΕΡΑ, ΆΛΛΟ Ή ΠΑΡΑ ΆΛΛΟ ΕΤΟΣ.</text>
  </threadedComment>
  <threadedComment ref="F31" dT="2025-11-13T10:26:14.60" personId="{F9953392-3108-48A1-B870-75AF8B0CA120}" id="{13DD60A9-36EF-47F2-81CD-1AA5BDA43A8F}">
    <text>mariastrataki9111984@gmail.com</text>
    <extLst>
      <x:ext xmlns:xltc2="http://schemas.microsoft.com/office/spreadsheetml/2020/threadedcomments2" uri="{F7C98A9C-CBB3-438F-8F68-D28B6AF4A901}">
        <xltc2:checksum>197434583</xltc2:checksum>
        <xltc2:hyperlink startIndex="0" length="30" url="mariastrataki9111984@gmail.com"/>
      </x:ext>
    </extLst>
  </threadedComment>
  <threadedComment ref="BK31" dT="2025-09-24T12:03:42.83" personId="{F9953392-3108-48A1-B870-75AF8B0CA120}" id="{EBA466AD-BA5A-469B-949E-7AD4E06BC786}">
    <text>ΔΕΝ ΕΧΕΙ ΠΛΗΡΩΣΕΙ ΑΚΟΜΑ… ΕΓΓΡΑΦΗ</text>
  </threadedComment>
  <threadedComment ref="D34" dT="2025-11-07T10:16:44.92" personId="{F9953392-3108-48A1-B870-75AF8B0CA120}" id="{D7AEE8E0-DEB2-49BD-B5A0-A9CA02F2B104}">
    <text>ΕΊΝΑΙ ΠΥΡΟΣΒΕΣΤΗΣ ΚΑΙ ΠΟΛΛΕΣ ΦΟΡΕΣ ΕΧΕΙ ΥΠΗΡΕΣΙΑ ΚΑΙ ΓΙΑ ΑΥΤΌ ΔΕΝ ΠΡΟΛΑΒΕΝΕΙ ΝΑ ΜΠΕΙ ΝΑ ΠΑΡΑΚΟΛΟΥΘΗΣΕΙ.</text>
  </threadedComment>
  <threadedComment ref="D35" dT="2025-12-17T08:56:48.79" personId="{F9953392-3108-48A1-B870-75AF8B0CA120}" id="{9B53525A-FBC5-4D95-AD7C-9B1089959388}">
    <text>ΜΑΣ ΕΧΟΥΝ ΕΝΗΜΕΡΩΣΕΙ ΟΙ ΚΑΘΗΓΗΤΡΙΕΣ ΠΩΣ ΕΊΝΑΙ ΣΤΟ ΕΛΑΙΟΥΡΓΙΟ ΚΑΙ ΔΕΝ ΘΑ ΜΠΟΡΕΣΕΙ ΝΑ ΠΑΡΑΚΟΛΟΥΘΕΙ ΑΛΛΑ ΕΧΕΙ ΔΥΝΑΤΟΤΗΤΕΣ ΟΠΟΤΕ ΕΊΝΑΙ ΕΝΤΑΞΕΙ ΚΑΙ Ας ΜΗΝ ΑΠΑΝΤΑΕΙ ΣΕ EMAIL ΚΑΙ ΤΗΛΕΦΩΝΑ</text>
  </threadedComment>
  <threadedComment ref="F35" dT="2026-02-11T08:06:21.25" personId="{F9953392-3108-48A1-B870-75AF8B0CA120}" id="{637C7269-3E89-4973-8A99-CCC9B51B6648}">
    <text>dimokratis11@gmail.com</text>
    <extLst>
      <x:ext xmlns:xltc2="http://schemas.microsoft.com/office/spreadsheetml/2020/threadedcomments2" uri="{F7C98A9C-CBB3-438F-8F68-D28B6AF4A901}">
        <xltc2:checksum>3901885243</xltc2:checksum>
        <xltc2:hyperlink startIndex="0" length="22" url="dimokratis11@gmail.com"/>
      </x:ext>
    </extLst>
  </threadedComment>
  <threadedComment ref="BK36" dT="2025-09-24T12:03:42.83" personId="{F9953392-3108-48A1-B870-75AF8B0CA120}" id="{8DF00113-6763-4B0A-84CC-80668E133BEE}">
    <text>ΔΕΝ ΕΧΕΙ ΠΛΗΡΩΣΕΙ ΑΚΟΜΑ… ΕΓΓΡΑΦΗ</text>
  </threadedComment>
  <threadedComment ref="D39" dT="2025-10-30T05:21:41.67" personId="{F9953392-3108-48A1-B870-75AF8B0CA120}" id="{C5CAE7A4-AFCE-4ACB-BA41-7DD776A79F6E}">
    <text>ΜΑΣ ΕΧΕΙ ΕΝΗΜΕΡΩΣΕΙ ΠΩΣ ΘΑ ΛΕΙΠΕΙ ΕΩΣ 11/11 ΓΙΑ ΕΚΤΑΚΤΕΣ ΔΟΥΛΕΙΕΣ ΕΚΤΟΣ ΗΡΑΚΛΕΙΟΥ ΚΑΙ ΔΕΝ ΘΑ ΜΠΟΡΕΙ ΝΑ ΠΑΡΑΚΟΛΟΥΘΕΙ</text>
  </threadedComment>
  <threadedComment ref="BN39" dT="2025-10-09T09:58:52.33" personId="{F9953392-3108-48A1-B870-75AF8B0CA120}" id="{8319E132-1EB7-451D-948F-E18C59BE77C7}">
    <text>2891032608</text>
  </threadedComment>
  <threadedComment ref="D48" dT="2025-12-04T13:57:24.00" personId="{F9953392-3108-48A1-B870-75AF8B0CA120}" id="{F7A4F8AD-95AB-4F84-ACFF-A9E7C272BB56}">
    <text>ΘΑ ΚΑΝΕΙ ΕΓΧΕΙΡΗΣΗ ΓΙΑ ΚΑΚΟ ΛΟΓΟ ΚΑΙ ΘΑ ΔΙΚΑΙΟΛΟΓΗΘΟΥΝ ΟΙ ΑΠΟΥΣΙΕΣ</text>
  </threadedComment>
  <threadedComment ref="G52" dT="2026-01-12T11:27:06.02" personId="{F9953392-3108-48A1-B870-75AF8B0CA120}" id="{3C50D292-7A15-4A23-9C97-F0D6C20FA9E9}">
    <text>6936130997 ΣΜΑΡΑΓΔΗ ΣΤΕΛΛΑ ΜΑΜΑ ΧΡΗΣΤΑΚΗΣ ΜΑΡΙΛΕΝΑ</text>
  </threadedComment>
  <threadedComment ref="G53" dT="2026-01-12T11:27:06.02" personId="{F9953392-3108-48A1-B870-75AF8B0CA120}" id="{81C9CD74-C8B0-4214-8F15-2E03CEE94A29}">
    <text>6936130997 ΣΜΑΡΑΓΔΗ ΣΤΕΛΛΑ ΜΑΜΑ ΧΡΗΣΤΑΚΗΣ ΜΑΡΙΛΕΝΑ</text>
  </threadedComment>
  <threadedComment ref="D56" dT="2025-12-23T08:18:52.80" personId="{F9953392-3108-48A1-B870-75AF8B0CA120}" id="{D982C810-0E81-4823-98CD-C058CF0CE185}">
    <text>ΔΕΝ ΜΠΟΡΕΙ ΝΑ ΕΡΧΕΤΑΙ ΠΑΝΤΑ ΓΙΑΤΙ ΔΟΥΛΕΥΕΙ ΌΜΩΣ ΕΧΕΙ ΕΙΔΟΠΟΙΕΙΣΕΙ</text>
  </threadedComment>
  <threadedComment ref="D57" dT="2025-12-02T14:45:07.17" personId="{F9953392-3108-48A1-B870-75AF8B0CA120}" id="{100A01FC-1F9B-4FD0-80F1-EF321E62A4C5}">
    <text>ΘΑ ΜΕΙΝΕΙ ΑΛΛΑ ΗΤΑΝ ΑΡΡΩΣΤΗ ΚΑΙ ΓΙΑ ΜΙΑ ΕΒΔΟΜΑΔΑ ΕΠΙΣΗΣ ΕΝΗΜΕΡΩΣΕ 08-12/12/2025 ΌΤΙ ΔΕΝ ΘΑ ΜΠΟΡΕΣΕΙ ΝΑ ΕΡΧΕΤΑΙ</text>
  </threadedComment>
  <threadedComment ref="D63" dT="2025-12-16T08:15:45.97" personId="{F9953392-3108-48A1-B870-75AF8B0CA120}" id="{9BDE52E2-426F-443B-8BA4-4CBFB160210D}">
    <text>ΕΊΝΑΙ ΣΤΗΝ ΑΘΗΝΑ 15-19/12/2025 ΟΠΟΤΕ ΔΙΚΑΙΟΛΟΓΗΜΕΝΕΣ ΟΙ ΑΠΟΥΣΙΕΣ</text>
  </threadedComment>
  <threadedComment ref="D69" dT="2025-11-21T09:19:49.31" personId="{F9953392-3108-48A1-B870-75AF8B0CA120}" id="{E7ED2275-BE19-463B-B9CE-AF6E9C78A44F}">
    <text>ΜΕ ΕΙΧΕ ΕΝΗΜΕΡΩΣΕΙ ΣΤΙΣ ΑΡΧΕΣ ΌΤΙ ΔΟΥΛΕΥΕ ΓΙΑ ΑΥΤΌ ΔΕΝ ΜΠΟΡΟΥΣΕ ΝΑ ΕΡΘΕΙ ΌΜΩΣ ΤΟ ΣΥΝΕΧΙΖΕΙ...ΤΟΝ ΚΑΛΩ ΜΟΥ ΕΙΠΕ ΠΩΣ ΔΕΝ ΕΧΕΙ ΜΕΤΑΦΟΡΙΚΟ ΚΑΙ ΠΩΣ ΘΑ ΕΡΧΕΤΑΙ ΑΠΌ ΕΔΏ ΚΑΙ ΠΕΡΑ ΚΑΝΟΝΙΚΑ...ΟΜΩΣ ΠΑΛΙ ΚΑΝΕΙ ΤΑ ΙΔΙΑ</text>
  </threadedComment>
  <threadedComment ref="D71" dT="2025-12-19T11:09:37.62" personId="{F9953392-3108-48A1-B870-75AF8B0CA120}" id="{0FA39DB3-21A8-4838-B31C-DCEC1D62B1EF}">
    <text>ΜΑΣ ΕΧΕΙ ΕΝΗΜΕΡΩΣΕΙ ΠΩΣ ΔΟΥΛΕΥΕΙ ΚΑΙ ΕΡΧΕΤΑΙ ΟΠΟΤΕ ΠΡΟΛΑΒΕΝΕΙ, ΑΛΛΑ ΚΑΝΕΙ ΠΟΛΛΕΣ ΚΑΙ ΔΙΑΦΟΡΕΤΙΚΕΣ ΕΡΓΑΣΙΕΣ</text>
  </threadedComment>
  <threadedComment ref="D72" dT="2025-11-21T09:23:50.03" personId="{F9953392-3108-48A1-B870-75AF8B0CA120}" id="{C446B20B-68F8-4BAB-AC65-99B5C2B9FB3A}">
    <text>ΔΟΥΛΕΥΕ ΣΤΙΣ ΑΡΧΕΣ ΚΑΙ ΓΙΑ ΑΥΤΌ ΔΕΝ ΕΡΧΟΤΑΝ ΚΑΙ ΜΕ ΕΙΧΕ ΕΝΗΜΕΡΩΣΕΙ</text>
  </threadedComment>
  <threadedComment ref="C89" dT="2025-05-16T08:57:20.25" personId="{F9953392-3108-48A1-B870-75AF8B0CA120}" id="{CBC261FB-1FE2-4CD8-B6DD-197FAF43EAA1}">
    <text>ΕΧΕΙ ΣΤΑΜΑΤΗΣΕΙ</text>
  </threadedComment>
  <threadedComment ref="C104" dT="2025-05-16T08:57:31.27" personId="{F9953392-3108-48A1-B870-75AF8B0CA120}" id="{DAD7439C-D56B-478C-953E-18FD1FC17822}">
    <text>ΕΧΕΙ ΣΤΑΜΑΤΗΣΕΙ</text>
  </threadedComment>
  <threadedComment ref="C105" dT="2025-05-16T08:57:36.80" personId="{F9953392-3108-48A1-B870-75AF8B0CA120}" id="{21AC80CB-BA40-4EA6-AC9B-EC6193791E58}">
    <text>ΕΧΕΙ ΣΤΑΜΑΤΗΣΕΙ</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docs.google.com/forms/d/1KR5rHuEoU45OI0MOowae4yZmhL58nxI1ElN6NEFUrY4/edit"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mailto:maroulisnikos2030@gmail.com" TargetMode="External"/><Relationship Id="rId13" Type="http://schemas.openxmlformats.org/officeDocument/2006/relationships/vmlDrawing" Target="../drawings/vmlDrawing3.vml"/><Relationship Id="rId3" Type="http://schemas.openxmlformats.org/officeDocument/2006/relationships/hyperlink" Target="mailto:manioudisantonis@gmail.com" TargetMode="External"/><Relationship Id="rId7" Type="http://schemas.openxmlformats.org/officeDocument/2006/relationships/hyperlink" Target="mailto:maroulisnikos2030@gmail.com" TargetMode="External"/><Relationship Id="rId12" Type="http://schemas.openxmlformats.org/officeDocument/2006/relationships/printerSettings" Target="../printerSettings/printerSettings3.bin"/><Relationship Id="rId2" Type="http://schemas.openxmlformats.org/officeDocument/2006/relationships/hyperlink" Target="mailto:PLATONAS62@GMAIL.COM" TargetMode="External"/><Relationship Id="rId16" Type="http://schemas.microsoft.com/office/2017/10/relationships/threadedComment" Target="../threadedComments/threadedComment3.xml"/><Relationship Id="rId1" Type="http://schemas.openxmlformats.org/officeDocument/2006/relationships/hyperlink" Target="mailto:chalkiadakismarios@gmail.com" TargetMode="External"/><Relationship Id="rId6" Type="http://schemas.openxmlformats.org/officeDocument/2006/relationships/hyperlink" Target="mailto:marilenaagg@gmail.com" TargetMode="External"/><Relationship Id="rId11" Type="http://schemas.openxmlformats.org/officeDocument/2006/relationships/hyperlink" Target="mailto:tsarlisof@gmail.com" TargetMode="External"/><Relationship Id="rId5" Type="http://schemas.openxmlformats.org/officeDocument/2006/relationships/hyperlink" Target="mailto:boudonasaggelos@gmail.com" TargetMode="External"/><Relationship Id="rId15" Type="http://schemas.openxmlformats.org/officeDocument/2006/relationships/comments" Target="../comments3.xml"/><Relationship Id="rId10" Type="http://schemas.openxmlformats.org/officeDocument/2006/relationships/hyperlink" Target="mailto:kkalyba42@gmail.com" TargetMode="External"/><Relationship Id="rId4" Type="http://schemas.openxmlformats.org/officeDocument/2006/relationships/hyperlink" Target="mailto:highemo2@gmail.com" TargetMode="External"/><Relationship Id="rId9" Type="http://schemas.openxmlformats.org/officeDocument/2006/relationships/hyperlink" Target="mailto:kallirroi78@gmail.com" TargetMode="External"/><Relationship Id="rId1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6" Type="http://schemas.openxmlformats.org/officeDocument/2006/relationships/hyperlink" Target="mailto:mixalismarakis2005@gmail.com" TargetMode="External"/><Relationship Id="rId21" Type="http://schemas.openxmlformats.org/officeDocument/2006/relationships/hyperlink" Target="mailto:vikiparasiri@gmail.com" TargetMode="External"/><Relationship Id="rId42" Type="http://schemas.openxmlformats.org/officeDocument/2006/relationships/hyperlink" Target="mailto:giorgosblachakes994@gmail.com" TargetMode="External"/><Relationship Id="rId47" Type="http://schemas.openxmlformats.org/officeDocument/2006/relationships/hyperlink" Target="mailto:koumchristos@gmail.com" TargetMode="External"/><Relationship Id="rId63" Type="http://schemas.openxmlformats.org/officeDocument/2006/relationships/hyperlink" Target="mailto:kendristakek@gmail.com" TargetMode="External"/><Relationship Id="rId68" Type="http://schemas.openxmlformats.org/officeDocument/2006/relationships/hyperlink" Target="mailto:mikasava96@gmail.com" TargetMode="External"/><Relationship Id="rId84" Type="http://schemas.openxmlformats.org/officeDocument/2006/relationships/hyperlink" Target="mailto:fotvas98@gmail.com" TargetMode="External"/><Relationship Id="rId89" Type="http://schemas.openxmlformats.org/officeDocument/2006/relationships/hyperlink" Target="mailto:sgeorgantonaki@gmail.com" TargetMode="External"/><Relationship Id="rId16" Type="http://schemas.openxmlformats.org/officeDocument/2006/relationships/hyperlink" Target="mailto:ptrypaki@yahoo.gr" TargetMode="External"/><Relationship Id="rId11" Type="http://schemas.openxmlformats.org/officeDocument/2006/relationships/hyperlink" Target="mailto:thbitzou@gmail.com" TargetMode="External"/><Relationship Id="rId32" Type="http://schemas.openxmlformats.org/officeDocument/2006/relationships/hyperlink" Target="mailto:selithomasgiorgos@gmail.com" TargetMode="External"/><Relationship Id="rId37" Type="http://schemas.openxmlformats.org/officeDocument/2006/relationships/hyperlink" Target="mailto:cris_takis@windowslive.com" TargetMode="External"/><Relationship Id="rId53" Type="http://schemas.openxmlformats.org/officeDocument/2006/relationships/hyperlink" Target="mailto:tsikandilakisn@gmail.com" TargetMode="External"/><Relationship Id="rId58" Type="http://schemas.openxmlformats.org/officeDocument/2006/relationships/hyperlink" Target="mailto:gianneskoutsogiannakes@gmail.com" TargetMode="External"/><Relationship Id="rId74" Type="http://schemas.openxmlformats.org/officeDocument/2006/relationships/hyperlink" Target="mailto:malliotxenia@gmail.com" TargetMode="External"/><Relationship Id="rId79" Type="http://schemas.openxmlformats.org/officeDocument/2006/relationships/hyperlink" Target="mailto:stellafragkiadaki23@gmail.com" TargetMode="External"/><Relationship Id="rId102" Type="http://schemas.openxmlformats.org/officeDocument/2006/relationships/hyperlink" Target="mailto:askoumpakis20@gmail.com" TargetMode="External"/><Relationship Id="rId5" Type="http://schemas.openxmlformats.org/officeDocument/2006/relationships/hyperlink" Target="mailto:koundouraki@katartisi.gr" TargetMode="External"/><Relationship Id="rId90" Type="http://schemas.openxmlformats.org/officeDocument/2006/relationships/hyperlink" Target="mailto:malliotxenia@gmail.com" TargetMode="External"/><Relationship Id="rId95" Type="http://schemas.openxmlformats.org/officeDocument/2006/relationships/hyperlink" Target="mailto:manolakakimaria@yahoo.gr" TargetMode="External"/><Relationship Id="rId22" Type="http://schemas.openxmlformats.org/officeDocument/2006/relationships/hyperlink" Target="mailto:marinafounargiotaki10@gmail.com" TargetMode="External"/><Relationship Id="rId27" Type="http://schemas.openxmlformats.org/officeDocument/2006/relationships/hyperlink" Target="mailto:basomad@gmail.com" TargetMode="External"/><Relationship Id="rId43" Type="http://schemas.openxmlformats.org/officeDocument/2006/relationships/hyperlink" Target="mailto:astrinakimaria12@gmail.com" TargetMode="External"/><Relationship Id="rId48" Type="http://schemas.openxmlformats.org/officeDocument/2006/relationships/hyperlink" Target="mailto:aleksgreqi@gmail.com" TargetMode="External"/><Relationship Id="rId64" Type="http://schemas.openxmlformats.org/officeDocument/2006/relationships/hyperlink" Target="mailto:repdebbie@gmail.com" TargetMode="External"/><Relationship Id="rId69" Type="http://schemas.openxmlformats.org/officeDocument/2006/relationships/hyperlink" Target="mailto:alyratzakis@gmail.com" TargetMode="External"/><Relationship Id="rId80" Type="http://schemas.openxmlformats.org/officeDocument/2006/relationships/hyperlink" Target="mailto:raphaelaierapetritake@gmail.com" TargetMode="External"/><Relationship Id="rId85" Type="http://schemas.openxmlformats.org/officeDocument/2006/relationships/hyperlink" Target="mailto:mariaarf02@gmail.com" TargetMode="External"/><Relationship Id="rId12" Type="http://schemas.openxmlformats.org/officeDocument/2006/relationships/hyperlink" Target="mailto:babis.chaniotakis@gmail.com" TargetMode="External"/><Relationship Id="rId17" Type="http://schemas.openxmlformats.org/officeDocument/2006/relationships/hyperlink" Target="mailto:kirlakismarios@gmail.com" TargetMode="External"/><Relationship Id="rId33" Type="http://schemas.openxmlformats.org/officeDocument/2006/relationships/hyperlink" Target="mailto:perakisg@gmail.com" TargetMode="External"/><Relationship Id="rId38" Type="http://schemas.openxmlformats.org/officeDocument/2006/relationships/hyperlink" Target="mailto:sitormarina@gmail.com" TargetMode="External"/><Relationship Id="rId59" Type="http://schemas.openxmlformats.org/officeDocument/2006/relationships/hyperlink" Target="mailto:iwona55@windowslive.com" TargetMode="External"/><Relationship Id="rId103" Type="http://schemas.openxmlformats.org/officeDocument/2006/relationships/printerSettings" Target="../printerSettings/printerSettings4.bin"/><Relationship Id="rId20" Type="http://schemas.openxmlformats.org/officeDocument/2006/relationships/hyperlink" Target="mailto:eleftheriatzanaki@gmail.com" TargetMode="External"/><Relationship Id="rId41" Type="http://schemas.openxmlformats.org/officeDocument/2006/relationships/hyperlink" Target="mailto:carpinteria00@gmail.com" TargetMode="External"/><Relationship Id="rId54" Type="http://schemas.openxmlformats.org/officeDocument/2006/relationships/hyperlink" Target="mailto:chtrigoni@gmail.com" TargetMode="External"/><Relationship Id="rId62" Type="http://schemas.openxmlformats.org/officeDocument/2006/relationships/hyperlink" Target="mailto:ehainaki@gmail.com" TargetMode="External"/><Relationship Id="rId70" Type="http://schemas.openxmlformats.org/officeDocument/2006/relationships/hyperlink" Target="mailto:cchatzideve@gmail.com" TargetMode="External"/><Relationship Id="rId75" Type="http://schemas.openxmlformats.org/officeDocument/2006/relationships/hyperlink" Target="mailto:michaleskypraios492@gmail.com" TargetMode="External"/><Relationship Id="rId83" Type="http://schemas.openxmlformats.org/officeDocument/2006/relationships/hyperlink" Target="mailto:nikoszaxarakhs96@yahoo.gr" TargetMode="External"/><Relationship Id="rId88" Type="http://schemas.openxmlformats.org/officeDocument/2006/relationships/hyperlink" Target="mailto:giwrgosskordulhs@gmail.com" TargetMode="External"/><Relationship Id="rId91" Type="http://schemas.openxmlformats.org/officeDocument/2006/relationships/hyperlink" Target="mailto:michaleskypraios492@gmail.com" TargetMode="External"/><Relationship Id="rId96" Type="http://schemas.openxmlformats.org/officeDocument/2006/relationships/hyperlink" Target="mailto:antonis.stamatakis2@yahoo.com" TargetMode="External"/><Relationship Id="rId1" Type="http://schemas.openxmlformats.org/officeDocument/2006/relationships/hyperlink" Target="mailto:repdebbie@gmail.com" TargetMode="External"/><Relationship Id="rId6" Type="http://schemas.openxmlformats.org/officeDocument/2006/relationships/hyperlink" Target="mailto:cchatzideve@gmail.com" TargetMode="External"/><Relationship Id="rId15" Type="http://schemas.openxmlformats.org/officeDocument/2006/relationships/hyperlink" Target="mailto:neonakimar@yahoo.gr" TargetMode="External"/><Relationship Id="rId23" Type="http://schemas.openxmlformats.org/officeDocument/2006/relationships/hyperlink" Target="mailto:tsafantakisd@gmail.com" TargetMode="External"/><Relationship Id="rId28" Type="http://schemas.openxmlformats.org/officeDocument/2006/relationships/hyperlink" Target="mailto:Demetreslitses@gmail.com" TargetMode="External"/><Relationship Id="rId36" Type="http://schemas.openxmlformats.org/officeDocument/2006/relationships/hyperlink" Target="mailto:annakotridou@yahoo.gr" TargetMode="External"/><Relationship Id="rId49" Type="http://schemas.openxmlformats.org/officeDocument/2006/relationships/hyperlink" Target="mailto:kaplanisgiwrgos1@gmail.com,%20" TargetMode="External"/><Relationship Id="rId57" Type="http://schemas.openxmlformats.org/officeDocument/2006/relationships/hyperlink" Target="mailto:charitosmanioudakes78@gmail.com" TargetMode="External"/><Relationship Id="rId106" Type="http://schemas.microsoft.com/office/2017/10/relationships/threadedComment" Target="../threadedComments/threadedComment4.xml"/><Relationship Id="rId10" Type="http://schemas.openxmlformats.org/officeDocument/2006/relationships/hyperlink" Target="mailto:repdebbie@gmail.com" TargetMode="External"/><Relationship Id="rId31" Type="http://schemas.openxmlformats.org/officeDocument/2006/relationships/hyperlink" Target="mailto:manolesspantidakes@gmail.com" TargetMode="External"/><Relationship Id="rId44" Type="http://schemas.openxmlformats.org/officeDocument/2006/relationships/hyperlink" Target="mailto:aretakikassia@gmail.com" TargetMode="External"/><Relationship Id="rId52" Type="http://schemas.openxmlformats.org/officeDocument/2006/relationships/hyperlink" Target="mailto:manolisfioretzis21@yahoo.gr" TargetMode="External"/><Relationship Id="rId60" Type="http://schemas.openxmlformats.org/officeDocument/2006/relationships/hyperlink" Target="mailto:anasta.nicole@gmail.com" TargetMode="External"/><Relationship Id="rId65" Type="http://schemas.openxmlformats.org/officeDocument/2006/relationships/hyperlink" Target="mailto:tsakirelis@gmail.com" TargetMode="External"/><Relationship Id="rId73" Type="http://schemas.openxmlformats.org/officeDocument/2006/relationships/hyperlink" Target="mailto:sgeorgantonaki@gmail.com" TargetMode="External"/><Relationship Id="rId78" Type="http://schemas.openxmlformats.org/officeDocument/2006/relationships/hyperlink" Target="mailto:giannisellinikakis511@gmail.com" TargetMode="External"/><Relationship Id="rId81" Type="http://schemas.openxmlformats.org/officeDocument/2006/relationships/hyperlink" Target="mailto:antellmar@yahoo.gr" TargetMode="External"/><Relationship Id="rId86" Type="http://schemas.openxmlformats.org/officeDocument/2006/relationships/hyperlink" Target="mailto:apostolakiana18@gmail.com" TargetMode="External"/><Relationship Id="rId94" Type="http://schemas.openxmlformats.org/officeDocument/2006/relationships/hyperlink" Target="mailto:giannisellinikakis511@gmail.com" TargetMode="External"/><Relationship Id="rId99" Type="http://schemas.openxmlformats.org/officeDocument/2006/relationships/hyperlink" Target="mailto:mariamaragkaki@yahoo.gr" TargetMode="External"/><Relationship Id="rId101" Type="http://schemas.openxmlformats.org/officeDocument/2006/relationships/hyperlink" Target="mailto:christodoulakesgiorgos57@gmail.com" TargetMode="External"/><Relationship Id="rId4" Type="http://schemas.openxmlformats.org/officeDocument/2006/relationships/hyperlink" Target="mailto:ni.anagnostaki@gmail.com" TargetMode="External"/><Relationship Id="rId9" Type="http://schemas.openxmlformats.org/officeDocument/2006/relationships/hyperlink" Target="mailto:nioniosvog@hotmail.com" TargetMode="External"/><Relationship Id="rId13" Type="http://schemas.openxmlformats.org/officeDocument/2006/relationships/hyperlink" Target="mailto:koundouraki@katartisi.gr" TargetMode="External"/><Relationship Id="rId18" Type="http://schemas.openxmlformats.org/officeDocument/2006/relationships/hyperlink" Target="mailto:sofiacharapple@gmail.com" TargetMode="External"/><Relationship Id="rId39" Type="http://schemas.openxmlformats.org/officeDocument/2006/relationships/hyperlink" Target="mailto:gogosakou@gmail.com" TargetMode="External"/><Relationship Id="rId34" Type="http://schemas.openxmlformats.org/officeDocument/2006/relationships/hyperlink" Target="mailto:maria_papadmm@yahoo.gr" TargetMode="External"/><Relationship Id="rId50" Type="http://schemas.openxmlformats.org/officeDocument/2006/relationships/hyperlink" Target="mailto:konstantinosgaba@gmail.com" TargetMode="External"/><Relationship Id="rId55" Type="http://schemas.openxmlformats.org/officeDocument/2006/relationships/hyperlink" Target="mailto:papadakimar44@gmail.com" TargetMode="External"/><Relationship Id="rId76" Type="http://schemas.openxmlformats.org/officeDocument/2006/relationships/hyperlink" Target="mailto:stauroskoun@hotmail.com" TargetMode="External"/><Relationship Id="rId97" Type="http://schemas.openxmlformats.org/officeDocument/2006/relationships/hyperlink" Target="mailto:rania.stamatakiiii@gmail.com" TargetMode="External"/><Relationship Id="rId104" Type="http://schemas.openxmlformats.org/officeDocument/2006/relationships/vmlDrawing" Target="../drawings/vmlDrawing4.vml"/><Relationship Id="rId7" Type="http://schemas.openxmlformats.org/officeDocument/2006/relationships/hyperlink" Target="mailto:mikasava96@gmail.com" TargetMode="External"/><Relationship Id="rId71" Type="http://schemas.openxmlformats.org/officeDocument/2006/relationships/hyperlink" Target="mailto:eleftheriatzanaki@gmail.com" TargetMode="External"/><Relationship Id="rId92" Type="http://schemas.openxmlformats.org/officeDocument/2006/relationships/hyperlink" Target="mailto:stauroskoun@hotmail.com" TargetMode="External"/><Relationship Id="rId2" Type="http://schemas.openxmlformats.org/officeDocument/2006/relationships/hyperlink" Target="mailto:tsakirelis@gmail.com" TargetMode="External"/><Relationship Id="rId29" Type="http://schemas.openxmlformats.org/officeDocument/2006/relationships/hyperlink" Target="mailto:nazefecanji@gmail.com" TargetMode="External"/><Relationship Id="rId24" Type="http://schemas.openxmlformats.org/officeDocument/2006/relationships/hyperlink" Target="mailto:tataris2@yahoo.gr" TargetMode="External"/><Relationship Id="rId40" Type="http://schemas.openxmlformats.org/officeDocument/2006/relationships/hyperlink" Target="mailto:kukulaki.f.g.a.a@gmail.com" TargetMode="External"/><Relationship Id="rId45" Type="http://schemas.openxmlformats.org/officeDocument/2006/relationships/hyperlink" Target="mailto:r_androulaki@yahoo.gr" TargetMode="External"/><Relationship Id="rId66" Type="http://schemas.openxmlformats.org/officeDocument/2006/relationships/hyperlink" Target="mailto:mikasava96@gmail.com" TargetMode="External"/><Relationship Id="rId87" Type="http://schemas.openxmlformats.org/officeDocument/2006/relationships/hyperlink" Target="mailto:georgia.sk1708@gmail.com" TargetMode="External"/><Relationship Id="rId61" Type="http://schemas.openxmlformats.org/officeDocument/2006/relationships/hyperlink" Target="mailto:eiriniperif@gmail.com" TargetMode="External"/><Relationship Id="rId82" Type="http://schemas.openxmlformats.org/officeDocument/2006/relationships/hyperlink" Target="mailto:farsaryvasiliky@gmail.com" TargetMode="External"/><Relationship Id="rId19" Type="http://schemas.openxmlformats.org/officeDocument/2006/relationships/hyperlink" Target="mailto:alyratzakis@gmail.com" TargetMode="External"/><Relationship Id="rId14" Type="http://schemas.openxmlformats.org/officeDocument/2006/relationships/hyperlink" Target="mailto:dpapadomanolakis@uniwa.gr" TargetMode="External"/><Relationship Id="rId30" Type="http://schemas.openxmlformats.org/officeDocument/2006/relationships/hyperlink" Target="mailto:tzortzakistella5@gmail.com" TargetMode="External"/><Relationship Id="rId35" Type="http://schemas.openxmlformats.org/officeDocument/2006/relationships/hyperlink" Target="mailto:eleni75maragkaki@gmail.com" TargetMode="External"/><Relationship Id="rId56" Type="http://schemas.openxmlformats.org/officeDocument/2006/relationships/hyperlink" Target="mailto:paulinamoysaki123@gmail.com" TargetMode="External"/><Relationship Id="rId77" Type="http://schemas.openxmlformats.org/officeDocument/2006/relationships/hyperlink" Target="mailto:makoumaki@gmail.com" TargetMode="External"/><Relationship Id="rId100" Type="http://schemas.openxmlformats.org/officeDocument/2006/relationships/hyperlink" Target="mailto:mikaelantemo@gmail.com" TargetMode="External"/><Relationship Id="rId105" Type="http://schemas.openxmlformats.org/officeDocument/2006/relationships/comments" Target="../comments4.xml"/><Relationship Id="rId8" Type="http://schemas.openxmlformats.org/officeDocument/2006/relationships/hyperlink" Target="mailto:info@zaxaroplasteiokoumakis.gr" TargetMode="External"/><Relationship Id="rId51" Type="http://schemas.openxmlformats.org/officeDocument/2006/relationships/hyperlink" Target="mailto:shamper2007@gmail.com" TargetMode="External"/><Relationship Id="rId72" Type="http://schemas.openxmlformats.org/officeDocument/2006/relationships/hyperlink" Target="mailto:giwrgosskordulhs@gmail.com" TargetMode="External"/><Relationship Id="rId93" Type="http://schemas.openxmlformats.org/officeDocument/2006/relationships/hyperlink" Target="mailto:makoumaki@gmail.com" TargetMode="External"/><Relationship Id="rId98" Type="http://schemas.openxmlformats.org/officeDocument/2006/relationships/hyperlink" Target="mailto:nantiasmirnaki@gmail.com" TargetMode="External"/><Relationship Id="rId3" Type="http://schemas.openxmlformats.org/officeDocument/2006/relationships/hyperlink" Target="mailto:mikasava96@gmail.com" TargetMode="External"/><Relationship Id="rId25" Type="http://schemas.openxmlformats.org/officeDocument/2006/relationships/hyperlink" Target="mailto:mmylonakis2004@gmail.com" TargetMode="External"/><Relationship Id="rId46" Type="http://schemas.openxmlformats.org/officeDocument/2006/relationships/hyperlink" Target="mailto:emmanuellarizou28@yahoo.com" TargetMode="External"/><Relationship Id="rId67" Type="http://schemas.openxmlformats.org/officeDocument/2006/relationships/hyperlink" Target="mailto:ni.anagnostaki@gmail.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mailto:gianneskoutsogiannakes@gmail.com" TargetMode="External"/><Relationship Id="rId21" Type="http://schemas.openxmlformats.org/officeDocument/2006/relationships/hyperlink" Target="mailto:georgia.sk1708@gmail.com" TargetMode="External"/><Relationship Id="rId42" Type="http://schemas.openxmlformats.org/officeDocument/2006/relationships/hyperlink" Target="mailto:antellmar@yahoo.gr" TargetMode="External"/><Relationship Id="rId47" Type="http://schemas.openxmlformats.org/officeDocument/2006/relationships/hyperlink" Target="mailto:thbitzou@gmail.com" TargetMode="External"/><Relationship Id="rId63" Type="http://schemas.openxmlformats.org/officeDocument/2006/relationships/hyperlink" Target="mailto:kirlakismarios@gmail.com" TargetMode="External"/><Relationship Id="rId68" Type="http://schemas.openxmlformats.org/officeDocument/2006/relationships/hyperlink" Target="mailto:tsakirelis@gmail.com" TargetMode="External"/><Relationship Id="rId16" Type="http://schemas.openxmlformats.org/officeDocument/2006/relationships/hyperlink" Target="mailto:koumchristos@gmail.com" TargetMode="External"/><Relationship Id="rId11" Type="http://schemas.openxmlformats.org/officeDocument/2006/relationships/hyperlink" Target="mailto:malliotxenia@gmail.com" TargetMode="External"/><Relationship Id="rId24" Type="http://schemas.openxmlformats.org/officeDocument/2006/relationships/hyperlink" Target="mailto:anasta.nicole@gmail.com" TargetMode="External"/><Relationship Id="rId32" Type="http://schemas.openxmlformats.org/officeDocument/2006/relationships/hyperlink" Target="mailto:rania.stamatakiiii@gmail.com" TargetMode="External"/><Relationship Id="rId37" Type="http://schemas.openxmlformats.org/officeDocument/2006/relationships/hyperlink" Target="mailto:nikoszaxarakhs96@yahoo.gr" TargetMode="External"/><Relationship Id="rId40" Type="http://schemas.openxmlformats.org/officeDocument/2006/relationships/hyperlink" Target="mailto:mariaarf02@gmail.com" TargetMode="External"/><Relationship Id="rId45" Type="http://schemas.openxmlformats.org/officeDocument/2006/relationships/hyperlink" Target="mailto:aleksgreqi@gmail.com" TargetMode="External"/><Relationship Id="rId53" Type="http://schemas.openxmlformats.org/officeDocument/2006/relationships/hyperlink" Target="mailto:dpapadomanolakis@uniwa.gr" TargetMode="External"/><Relationship Id="rId58" Type="http://schemas.openxmlformats.org/officeDocument/2006/relationships/hyperlink" Target="mailto:info@zaxaroplasteiokoumakis.gr" TargetMode="External"/><Relationship Id="rId66" Type="http://schemas.openxmlformats.org/officeDocument/2006/relationships/hyperlink" Target="mailto:fpapafragaki@gmail.com" TargetMode="External"/><Relationship Id="rId74" Type="http://schemas.openxmlformats.org/officeDocument/2006/relationships/hyperlink" Target="mailto:katharak@katartisi.gr" TargetMode="External"/><Relationship Id="rId5" Type="http://schemas.openxmlformats.org/officeDocument/2006/relationships/hyperlink" Target="mailto:kendristakek@gmail.com" TargetMode="External"/><Relationship Id="rId61" Type="http://schemas.openxmlformats.org/officeDocument/2006/relationships/hyperlink" Target="mailto:m.fygetaki@gmail.com" TargetMode="External"/><Relationship Id="rId19" Type="http://schemas.openxmlformats.org/officeDocument/2006/relationships/hyperlink" Target="mailto:shamper2007@gmail.com" TargetMode="External"/><Relationship Id="rId14" Type="http://schemas.openxmlformats.org/officeDocument/2006/relationships/hyperlink" Target="mailto:vasiliskarantz@gmail.com" TargetMode="External"/><Relationship Id="rId22" Type="http://schemas.openxmlformats.org/officeDocument/2006/relationships/hyperlink" Target="mailto:kaplanisgiwrgos1@gmail.com" TargetMode="External"/><Relationship Id="rId27" Type="http://schemas.openxmlformats.org/officeDocument/2006/relationships/hyperlink" Target="mailto:galateiant@gmail.com" TargetMode="External"/><Relationship Id="rId30" Type="http://schemas.openxmlformats.org/officeDocument/2006/relationships/hyperlink" Target="mailto:chtrigoni@gmail.com" TargetMode="External"/><Relationship Id="rId35" Type="http://schemas.openxmlformats.org/officeDocument/2006/relationships/hyperlink" Target="mailto:manolakakimaria@yahoo.gr" TargetMode="External"/><Relationship Id="rId43" Type="http://schemas.openxmlformats.org/officeDocument/2006/relationships/hyperlink" Target="mailto:tzanidama@yahoo.gr" TargetMode="External"/><Relationship Id="rId48" Type="http://schemas.openxmlformats.org/officeDocument/2006/relationships/hyperlink" Target="mailto:manbouch@yahoo.com" TargetMode="External"/><Relationship Id="rId56" Type="http://schemas.openxmlformats.org/officeDocument/2006/relationships/hyperlink" Target="mailto:sofiacharapple@gmail.com" TargetMode="External"/><Relationship Id="rId64" Type="http://schemas.openxmlformats.org/officeDocument/2006/relationships/hyperlink" Target="mailto:neonakimar@yahoo.gr" TargetMode="External"/><Relationship Id="rId69" Type="http://schemas.openxmlformats.org/officeDocument/2006/relationships/hyperlink" Target="mailto:repdebbie@gmail.com" TargetMode="External"/><Relationship Id="rId77" Type="http://schemas.openxmlformats.org/officeDocument/2006/relationships/hyperlink" Target="mailto:petropoulou@katartisi.gr" TargetMode="External"/><Relationship Id="rId8" Type="http://schemas.openxmlformats.org/officeDocument/2006/relationships/hyperlink" Target="mailto:makoumaki@gmail.com" TargetMode="External"/><Relationship Id="rId51" Type="http://schemas.openxmlformats.org/officeDocument/2006/relationships/hyperlink" Target="mailto:cchatzideve@gmail.com" TargetMode="External"/><Relationship Id="rId72" Type="http://schemas.openxmlformats.org/officeDocument/2006/relationships/hyperlink" Target="mailto:zaxarenialiou@gmail.com" TargetMode="External"/><Relationship Id="rId3" Type="http://schemas.openxmlformats.org/officeDocument/2006/relationships/hyperlink" Target="mailto:tsikandilakisn@gmail.com" TargetMode="External"/><Relationship Id="rId12" Type="http://schemas.openxmlformats.org/officeDocument/2006/relationships/hyperlink" Target="mailto:ehainaki@gmail.com" TargetMode="External"/><Relationship Id="rId17" Type="http://schemas.openxmlformats.org/officeDocument/2006/relationships/hyperlink" Target="mailto:sgeorgantonaki@gmail.com" TargetMode="External"/><Relationship Id="rId25" Type="http://schemas.openxmlformats.org/officeDocument/2006/relationships/hyperlink" Target="mailto:iwona55@windowslive.com" TargetMode="External"/><Relationship Id="rId33" Type="http://schemas.openxmlformats.org/officeDocument/2006/relationships/hyperlink" Target="mailto:nantiasmirnaki@gmail.com" TargetMode="External"/><Relationship Id="rId38" Type="http://schemas.openxmlformats.org/officeDocument/2006/relationships/hyperlink" Target="mailto:el.georgioudaki@gmail.com" TargetMode="External"/><Relationship Id="rId46" Type="http://schemas.openxmlformats.org/officeDocument/2006/relationships/hyperlink" Target="mailto:emmanouellarizou28@yahoo.com" TargetMode="External"/><Relationship Id="rId59" Type="http://schemas.openxmlformats.org/officeDocument/2006/relationships/hyperlink" Target="mailto:babis.chaniotakis@gmail.com" TargetMode="External"/><Relationship Id="rId67" Type="http://schemas.openxmlformats.org/officeDocument/2006/relationships/hyperlink" Target="mailto:alyratzakis@gmail.com" TargetMode="External"/><Relationship Id="rId20" Type="http://schemas.openxmlformats.org/officeDocument/2006/relationships/hyperlink" Target="mailto:farsaryvasiliky@gmail.com" TargetMode="External"/><Relationship Id="rId41" Type="http://schemas.openxmlformats.org/officeDocument/2006/relationships/hyperlink" Target="mailto:apostolakiana18@gmail.com" TargetMode="External"/><Relationship Id="rId54" Type="http://schemas.openxmlformats.org/officeDocument/2006/relationships/hyperlink" Target="mailto:koundouraki@katartisi.gr" TargetMode="External"/><Relationship Id="rId62" Type="http://schemas.openxmlformats.org/officeDocument/2006/relationships/hyperlink" Target="mailto:dfisarakis@gmail.com" TargetMode="External"/><Relationship Id="rId70" Type="http://schemas.openxmlformats.org/officeDocument/2006/relationships/hyperlink" Target="mailto:styliaras11@gmail.com" TargetMode="External"/><Relationship Id="rId75" Type="http://schemas.openxmlformats.org/officeDocument/2006/relationships/hyperlink" Target="mailto:michelaki@katartisi.gr" TargetMode="External"/><Relationship Id="rId1" Type="http://schemas.openxmlformats.org/officeDocument/2006/relationships/hyperlink" Target="mailto:georgiaveloglou05@gmail.com" TargetMode="External"/><Relationship Id="rId6" Type="http://schemas.openxmlformats.org/officeDocument/2006/relationships/hyperlink" Target="mailto:merinakalafati33@gmail.com" TargetMode="External"/><Relationship Id="rId15" Type="http://schemas.openxmlformats.org/officeDocument/2006/relationships/hyperlink" Target="mailto:papadakimar44@gmail.com" TargetMode="External"/><Relationship Id="rId23" Type="http://schemas.openxmlformats.org/officeDocument/2006/relationships/hyperlink" Target="mailto:konstantinaman07@gmail.com" TargetMode="External"/><Relationship Id="rId28" Type="http://schemas.openxmlformats.org/officeDocument/2006/relationships/hyperlink" Target="mailto:parasirieirini2007@gmail.com" TargetMode="External"/><Relationship Id="rId36" Type="http://schemas.openxmlformats.org/officeDocument/2006/relationships/hyperlink" Target="mailto:stellafragkiadaki23@gmail.com" TargetMode="External"/><Relationship Id="rId49" Type="http://schemas.openxmlformats.org/officeDocument/2006/relationships/hyperlink" Target="mailto:mikasava96@gmail.com" TargetMode="External"/><Relationship Id="rId57" Type="http://schemas.openxmlformats.org/officeDocument/2006/relationships/hyperlink" Target="mailto:nioniosvog@hotmail.com" TargetMode="External"/><Relationship Id="rId10" Type="http://schemas.openxmlformats.org/officeDocument/2006/relationships/hyperlink" Target="mailto:michaleskypraios492@gmail.com" TargetMode="External"/><Relationship Id="rId31" Type="http://schemas.openxmlformats.org/officeDocument/2006/relationships/hyperlink" Target="mailto:antonis.stamatakis2@yahoo.com" TargetMode="External"/><Relationship Id="rId44" Type="http://schemas.openxmlformats.org/officeDocument/2006/relationships/hyperlink" Target="mailto:konstantinosgaba@gmail.com" TargetMode="External"/><Relationship Id="rId52" Type="http://schemas.openxmlformats.org/officeDocument/2006/relationships/hyperlink" Target="mailto:elenhlyratzakh@gmail.com" TargetMode="External"/><Relationship Id="rId60" Type="http://schemas.openxmlformats.org/officeDocument/2006/relationships/hyperlink" Target="mailto:ptrypaki@yahoo.gr" TargetMode="External"/><Relationship Id="rId65" Type="http://schemas.openxmlformats.org/officeDocument/2006/relationships/hyperlink" Target="mailto:samolistavroula19@gmail.com" TargetMode="External"/><Relationship Id="rId73" Type="http://schemas.openxmlformats.org/officeDocument/2006/relationships/hyperlink" Target="https://eclass-isaek.katartisi.gr/" TargetMode="External"/><Relationship Id="rId4" Type="http://schemas.openxmlformats.org/officeDocument/2006/relationships/hyperlink" Target="mailto:raphaelaierapetritake@gmail.com" TargetMode="External"/><Relationship Id="rId9" Type="http://schemas.openxmlformats.org/officeDocument/2006/relationships/hyperlink" Target="mailto:stauroskoun@hotmail.com" TargetMode="External"/><Relationship Id="rId13" Type="http://schemas.openxmlformats.org/officeDocument/2006/relationships/hyperlink" Target="mailto:eiriniperif@gmail.com" TargetMode="External"/><Relationship Id="rId18" Type="http://schemas.openxmlformats.org/officeDocument/2006/relationships/hyperlink" Target="mailto:manolisfioretzis21@yahoo.gr" TargetMode="External"/><Relationship Id="rId39" Type="http://schemas.openxmlformats.org/officeDocument/2006/relationships/hyperlink" Target="mailto:fotvas98@gmail.com" TargetMode="External"/><Relationship Id="rId34" Type="http://schemas.openxmlformats.org/officeDocument/2006/relationships/hyperlink" Target="mailto:mariamaragkaki@yahoo.gr" TargetMode="External"/><Relationship Id="rId50" Type="http://schemas.openxmlformats.org/officeDocument/2006/relationships/hyperlink" Target="mailto:elenskordou@gmail.com" TargetMode="External"/><Relationship Id="rId55" Type="http://schemas.openxmlformats.org/officeDocument/2006/relationships/hyperlink" Target="mailto:ni.anagnostaki@gmail.com" TargetMode="External"/><Relationship Id="rId76" Type="http://schemas.openxmlformats.org/officeDocument/2006/relationships/hyperlink" Target="mailto:nikolopoulou@katartisi.gr" TargetMode="External"/><Relationship Id="rId7" Type="http://schemas.openxmlformats.org/officeDocument/2006/relationships/hyperlink" Target="mailto:giannisellinikakis511@gmail.com" TargetMode="External"/><Relationship Id="rId71" Type="http://schemas.openxmlformats.org/officeDocument/2006/relationships/hyperlink" Target="mailto:christakim2007@gmail.com" TargetMode="External"/><Relationship Id="rId2" Type="http://schemas.openxmlformats.org/officeDocument/2006/relationships/hyperlink" Target="mailto:giwrgosskordulhs@gmail.com" TargetMode="External"/><Relationship Id="rId29" Type="http://schemas.openxmlformats.org/officeDocument/2006/relationships/hyperlink" Target="mailto:paulinamoysaki123@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petropoulou@katartisi.g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training.sellingplatformconnect.amadeus.com/login/?event=LOGIN_LOGOUT&amp;OCTX=SKL" TargetMode="External"/><Relationship Id="rId13" Type="http://schemas.openxmlformats.org/officeDocument/2006/relationships/hyperlink" Target="https://www.training.sellingplatformconnect.amadeus.com/login/?event=LOGIN_LOGOUT&amp;OCTX=SKL" TargetMode="External"/><Relationship Id="rId3" Type="http://schemas.openxmlformats.org/officeDocument/2006/relationships/hyperlink" Target="mailto:nantiasmirnaki@gmail.com" TargetMode="External"/><Relationship Id="rId7" Type="http://schemas.openxmlformats.org/officeDocument/2006/relationships/hyperlink" Target="mailto:m.fygetaki@gmail.com" TargetMode="External"/><Relationship Id="rId12" Type="http://schemas.openxmlformats.org/officeDocument/2006/relationships/hyperlink" Target="https://www.training.sellingplatformconnect.amadeus.com/login/?event=LOGIN_LOGOUT&amp;OCTX=SKL" TargetMode="External"/><Relationship Id="rId2" Type="http://schemas.openxmlformats.org/officeDocument/2006/relationships/hyperlink" Target="mailto:mariamaragkaki@yahoo.gr" TargetMode="External"/><Relationship Id="rId1" Type="http://schemas.openxmlformats.org/officeDocument/2006/relationships/hyperlink" Target="mailto:manolakakimaria@yahoo.gr" TargetMode="External"/><Relationship Id="rId6" Type="http://schemas.openxmlformats.org/officeDocument/2006/relationships/hyperlink" Target="mailto:kendristakek@gmail.com" TargetMode="External"/><Relationship Id="rId11" Type="http://schemas.openxmlformats.org/officeDocument/2006/relationships/hyperlink" Target="https://www.training.sellingplatformconnect.amadeus.com/login/?event=LOGIN_LOGOUT&amp;OCTX=SKL" TargetMode="External"/><Relationship Id="rId5" Type="http://schemas.openxmlformats.org/officeDocument/2006/relationships/hyperlink" Target="mailto:antonis.stamatakis2@yahoo.com" TargetMode="External"/><Relationship Id="rId10" Type="http://schemas.openxmlformats.org/officeDocument/2006/relationships/hyperlink" Target="https://www.training.sellingplatformconnect.amadeus.com/login/?event=LOGIN_LOGOUT&amp;OCTX=SKL" TargetMode="External"/><Relationship Id="rId4" Type="http://schemas.openxmlformats.org/officeDocument/2006/relationships/hyperlink" Target="mailto:rania.stamatakiiii@gmail.com" TargetMode="External"/><Relationship Id="rId9" Type="http://schemas.openxmlformats.org/officeDocument/2006/relationships/hyperlink" Target="https://www.training.sellingplatformconnect.amadeus.com/login/?event=LOGIN_LOGOUT&amp;OCTX=SKL" TargetMode="External"/><Relationship Id="rId14" Type="http://schemas.openxmlformats.org/officeDocument/2006/relationships/hyperlink" Target="https://www.training.sellingplatformconnect.amadeus.com/login/?event=LOGIN_LOGOUT&amp;OCTX=SK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socialbuildersgr@gmail.com" TargetMode="External"/><Relationship Id="rId13" Type="http://schemas.openxmlformats.org/officeDocument/2006/relationships/hyperlink" Target="mailto:ddp@mills.gr" TargetMode="External"/><Relationship Id="rId18" Type="http://schemas.openxmlformats.org/officeDocument/2006/relationships/hyperlink" Target="mailto:papasxoi@gmail.com" TargetMode="External"/><Relationship Id="rId3" Type="http://schemas.openxmlformats.org/officeDocument/2006/relationships/hyperlink" Target="mailto:info@kapsalakis.gr" TargetMode="External"/><Relationship Id="rId21" Type="http://schemas.openxmlformats.org/officeDocument/2006/relationships/hyperlink" Target="mailto:info@sww.gr" TargetMode="External"/><Relationship Id="rId7" Type="http://schemas.openxmlformats.org/officeDocument/2006/relationships/hyperlink" Target="mailto:ekotanidi@minedu.gov.gr" TargetMode="External"/><Relationship Id="rId12" Type="http://schemas.openxmlformats.org/officeDocument/2006/relationships/hyperlink" Target="mailto:info@koronisa.gr" TargetMode="External"/><Relationship Id="rId17" Type="http://schemas.openxmlformats.org/officeDocument/2006/relationships/hyperlink" Target="mailto:sales@enopolio.gr" TargetMode="External"/><Relationship Id="rId25" Type="http://schemas.microsoft.com/office/2017/10/relationships/threadedComment" Target="../threadedComments/threadedComment5.xml"/><Relationship Id="rId2" Type="http://schemas.openxmlformats.org/officeDocument/2006/relationships/hyperlink" Target="mailto:sifrisgeo@gmail.com" TargetMode="External"/><Relationship Id="rId16" Type="http://schemas.openxmlformats.org/officeDocument/2006/relationships/hyperlink" Target="mailto:kvafeiadis@puratos.com" TargetMode="External"/><Relationship Id="rId20" Type="http://schemas.openxmlformats.org/officeDocument/2006/relationships/hyperlink" Target="mailto:accounts@kalimerafrouta.gr" TargetMode="External"/><Relationship Id="rId1" Type="http://schemas.openxmlformats.org/officeDocument/2006/relationships/hyperlink" Target="mailto:drakosmar@gmail.com" TargetMode="External"/><Relationship Id="rId6" Type="http://schemas.openxmlformats.org/officeDocument/2006/relationships/hyperlink" Target="mailto:luxuscleaning13@gmail.com%20%20%206992327304" TargetMode="External"/><Relationship Id="rId11" Type="http://schemas.openxmlformats.org/officeDocument/2006/relationships/hyperlink" Target="mailto:info@stathakis-market.gr" TargetMode="External"/><Relationship Id="rId24" Type="http://schemas.openxmlformats.org/officeDocument/2006/relationships/comments" Target="../comments5.xml"/><Relationship Id="rId5" Type="http://schemas.openxmlformats.org/officeDocument/2006/relationships/hyperlink" Target="mailto:geo.tavern@gmail.com" TargetMode="External"/><Relationship Id="rId15" Type="http://schemas.openxmlformats.org/officeDocument/2006/relationships/hyperlink" Target="mailto:vidakis@vidakis.gr" TargetMode="External"/><Relationship Id="rId23" Type="http://schemas.openxmlformats.org/officeDocument/2006/relationships/vmlDrawing" Target="../drawings/vmlDrawing5.vml"/><Relationship Id="rId10" Type="http://schemas.openxmlformats.org/officeDocument/2006/relationships/hyperlink" Target="mailto:orders@kaloudakis.com" TargetMode="External"/><Relationship Id="rId19" Type="http://schemas.openxmlformats.org/officeDocument/2006/relationships/hyperlink" Target="mailto:panakakis.emm@gmail.com" TargetMode="External"/><Relationship Id="rId4" Type="http://schemas.openxmlformats.org/officeDocument/2006/relationships/hyperlink" Target="mailto:sbritzolakis@gmail.com" TargetMode="External"/><Relationship Id="rId9" Type="http://schemas.openxmlformats.org/officeDocument/2006/relationships/hyperlink" Target="mailto:info@socialbuilders.gr" TargetMode="External"/><Relationship Id="rId14" Type="http://schemas.openxmlformats.org/officeDocument/2006/relationships/hyperlink" Target="mailto:parlamas@gmail.com" TargetMode="External"/><Relationship Id="rId22" Type="http://schemas.openxmlformats.org/officeDocument/2006/relationships/hyperlink" Target="mailto:androulakis@hot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iek.katartisi.gr/eidikotite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eggrafes.en-oiko.com/" TargetMode="External"/><Relationship Id="rId18" Type="http://schemas.openxmlformats.org/officeDocument/2006/relationships/hyperlink" Target="https://pedagogycenter.gr/" TargetMode="External"/><Relationship Id="rId26" Type="http://schemas.openxmlformats.org/officeDocument/2006/relationships/hyperlink" Target="mailto:thbitzou@gmail.com" TargetMode="External"/><Relationship Id="rId3" Type="http://schemas.openxmlformats.org/officeDocument/2006/relationships/hyperlink" Target="https://www.frontistiri.gr/" TargetMode="External"/><Relationship Id="rId21" Type="http://schemas.openxmlformats.org/officeDocument/2006/relationships/hyperlink" Target="https://www.theoria-praxi.gr/" TargetMode="External"/><Relationship Id="rId34" Type="http://schemas.microsoft.com/office/2017/10/relationships/threadedComment" Target="../threadedComments/threadedComment6.xml"/><Relationship Id="rId7" Type="http://schemas.openxmlformats.org/officeDocument/2006/relationships/hyperlink" Target="https://frontistiriokyklos.edu.gr/" TargetMode="External"/><Relationship Id="rId12" Type="http://schemas.openxmlformats.org/officeDocument/2006/relationships/hyperlink" Target="http://www.mathainw.gr/" TargetMode="External"/><Relationship Id="rId17" Type="http://schemas.openxmlformats.org/officeDocument/2006/relationships/hyperlink" Target="https://www.poukamisas.gr/" TargetMode="External"/><Relationship Id="rId25" Type="http://schemas.openxmlformats.org/officeDocument/2006/relationships/hyperlink" Target="mailto:kirlakismarios@gmail.com" TargetMode="External"/><Relationship Id="rId33" Type="http://schemas.openxmlformats.org/officeDocument/2006/relationships/comments" Target="../comments6.xml"/><Relationship Id="rId2" Type="http://schemas.openxmlformats.org/officeDocument/2006/relationships/hyperlink" Target="https://www.mathimatikosnous.gr/" TargetMode="External"/><Relationship Id="rId16" Type="http://schemas.openxmlformats.org/officeDocument/2006/relationships/hyperlink" Target="https://www.epilogh.edu.gr/" TargetMode="External"/><Relationship Id="rId20" Type="http://schemas.openxmlformats.org/officeDocument/2006/relationships/hyperlink" Target="https://www.horizontes.gr/" TargetMode="External"/><Relationship Id="rId29" Type="http://schemas.openxmlformats.org/officeDocument/2006/relationships/hyperlink" Target="mailto:mixalismarakis2005@gmail.com" TargetMode="External"/><Relationship Id="rId1" Type="http://schemas.openxmlformats.org/officeDocument/2006/relationships/hyperlink" Target="https://www.diakrotima.gr/" TargetMode="External"/><Relationship Id="rId6" Type="http://schemas.openxmlformats.org/officeDocument/2006/relationships/hyperlink" Target="https://themelio-her.gr/" TargetMode="External"/><Relationship Id="rId11" Type="http://schemas.openxmlformats.org/officeDocument/2006/relationships/hyperlink" Target="https://oloklirosi.gr/" TargetMode="External"/><Relationship Id="rId24" Type="http://schemas.openxmlformats.org/officeDocument/2006/relationships/hyperlink" Target="mailto:info@zaxaroplasteiokoumakis.gr" TargetMode="External"/><Relationship Id="rId32" Type="http://schemas.openxmlformats.org/officeDocument/2006/relationships/vmlDrawing" Target="../drawings/vmlDrawing6.vml"/><Relationship Id="rId5" Type="http://schemas.openxmlformats.org/officeDocument/2006/relationships/hyperlink" Target="https://methodos-edu.gr/" TargetMode="External"/><Relationship Id="rId15" Type="http://schemas.openxmlformats.org/officeDocument/2006/relationships/hyperlink" Target="https://idiaiteron.gr/" TargetMode="External"/><Relationship Id="rId23" Type="http://schemas.openxmlformats.org/officeDocument/2006/relationships/hyperlink" Target="mailto:sofiacharapple@gmail.com" TargetMode="External"/><Relationship Id="rId28" Type="http://schemas.openxmlformats.org/officeDocument/2006/relationships/hyperlink" Target="mailto:basomad@gmail.com" TargetMode="External"/><Relationship Id="rId10" Type="http://schemas.openxmlformats.org/officeDocument/2006/relationships/hyperlink" Target="https://www.mathiteion.gr/" TargetMode="External"/><Relationship Id="rId19" Type="http://schemas.openxmlformats.org/officeDocument/2006/relationships/hyperlink" Target="https://domiedu.gr/" TargetMode="External"/><Relationship Id="rId31" Type="http://schemas.openxmlformats.org/officeDocument/2006/relationships/hyperlink" Target="mailto:ptrypaki@yahoo.gr" TargetMode="External"/><Relationship Id="rId4" Type="http://schemas.openxmlformats.org/officeDocument/2006/relationships/hyperlink" Target="https://www.pyr.gr/" TargetMode="External"/><Relationship Id="rId9" Type="http://schemas.openxmlformats.org/officeDocument/2006/relationships/hyperlink" Target="https://www.pedioepityxias.gr/" TargetMode="External"/><Relationship Id="rId14" Type="http://schemas.openxmlformats.org/officeDocument/2006/relationships/hyperlink" Target="https://www.orosimo.gr/site/index.php" TargetMode="External"/><Relationship Id="rId22" Type="http://schemas.openxmlformats.org/officeDocument/2006/relationships/hyperlink" Target="https://www.sxima.fro.gr/" TargetMode="External"/><Relationship Id="rId27" Type="http://schemas.openxmlformats.org/officeDocument/2006/relationships/hyperlink" Target="mailto:elenhlyratzakh@gmail.com" TargetMode="External"/><Relationship Id="rId30" Type="http://schemas.openxmlformats.org/officeDocument/2006/relationships/hyperlink" Target="mailto:dpapadomanolakis@uniwa.gr" TargetMode="External"/><Relationship Id="rId8" Type="http://schemas.openxmlformats.org/officeDocument/2006/relationships/hyperlink" Target="https://thetiko.edu.gr/"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6" Type="http://schemas.openxmlformats.org/officeDocument/2006/relationships/hyperlink" Target="mailto:pleftheriotou@minedu.gov.grteipo%20@minedu.gov.gr" TargetMode="External"/><Relationship Id="rId21" Type="http://schemas.openxmlformats.org/officeDocument/2006/relationships/hyperlink" Target="mailto:apantazi@minedu.gov.gr" TargetMode="External"/><Relationship Id="rId42" Type="http://schemas.openxmlformats.org/officeDocument/2006/relationships/hyperlink" Target="mailto:vasiliki.mavragani@minedu.gov.gr" TargetMode="External"/><Relationship Id="rId47" Type="http://schemas.openxmlformats.org/officeDocument/2006/relationships/hyperlink" Target="mailto:ameletiou@minedu.gov.gr" TargetMode="External"/><Relationship Id="rId63" Type="http://schemas.openxmlformats.org/officeDocument/2006/relationships/hyperlink" Target="mailto:ispiliopoulos@minedu.gov.gr" TargetMode="External"/><Relationship Id="rId68" Type="http://schemas.openxmlformats.org/officeDocument/2006/relationships/hyperlink" Target="mailto:mkarsioti@minedu.gov.gr" TargetMode="External"/><Relationship Id="rId2" Type="http://schemas.openxmlformats.org/officeDocument/2006/relationships/hyperlink" Target="mailto:kthanopoulos@minedu.gov.gr" TargetMode="External"/><Relationship Id="rId16" Type="http://schemas.openxmlformats.org/officeDocument/2006/relationships/hyperlink" Target="mailto:eagalopoulou@minedu.gov.gr" TargetMode="External"/><Relationship Id="rId29" Type="http://schemas.openxmlformats.org/officeDocument/2006/relationships/hyperlink" Target="mailto:edarzenta@minedu.gov.gr" TargetMode="External"/><Relationship Id="rId11" Type="http://schemas.openxmlformats.org/officeDocument/2006/relationships/hyperlink" Target="mailto:rstamatopoulou@minedu.gov.gr" TargetMode="External"/><Relationship Id="rId24" Type="http://schemas.openxmlformats.org/officeDocument/2006/relationships/hyperlink" Target="mailto:ampaksevani@minedu.gov.gr" TargetMode="External"/><Relationship Id="rId32" Type="http://schemas.openxmlformats.org/officeDocument/2006/relationships/hyperlink" Target="mailto:chvlachou@minedu.gov.gr" TargetMode="External"/><Relationship Id="rId37" Type="http://schemas.openxmlformats.org/officeDocument/2006/relationships/hyperlink" Target="mailto:ilompotesi@minedu.gov.gr" TargetMode="External"/><Relationship Id="rId40" Type="http://schemas.openxmlformats.org/officeDocument/2006/relationships/hyperlink" Target="mailto:izafeiri@minedu.gov.gr" TargetMode="External"/><Relationship Id="rId45" Type="http://schemas.openxmlformats.org/officeDocument/2006/relationships/hyperlink" Target="mailto:vchatzispyrou@minedu.gov.gr" TargetMode="External"/><Relationship Id="rId53" Type="http://schemas.openxmlformats.org/officeDocument/2006/relationships/hyperlink" Target="mailto:kkalathas@minedu.gov.gr" TargetMode="External"/><Relationship Id="rId58" Type="http://schemas.openxmlformats.org/officeDocument/2006/relationships/hyperlink" Target="mailto:ovarthali@minedu.gov.gr" TargetMode="External"/><Relationship Id="rId66" Type="http://schemas.openxmlformats.org/officeDocument/2006/relationships/hyperlink" Target="mailto:eadam@minedu.gov.gr" TargetMode="External"/><Relationship Id="rId74" Type="http://schemas.openxmlformats.org/officeDocument/2006/relationships/vmlDrawing" Target="../drawings/vmlDrawing7.vml"/><Relationship Id="rId5" Type="http://schemas.openxmlformats.org/officeDocument/2006/relationships/hyperlink" Target="mailto:msygrou@minedu.gov.gr" TargetMode="External"/><Relationship Id="rId61" Type="http://schemas.openxmlformats.org/officeDocument/2006/relationships/hyperlink" Target="mailto:emelissa@minedu.gov.gr" TargetMode="External"/><Relationship Id="rId19" Type="http://schemas.openxmlformats.org/officeDocument/2006/relationships/hyperlink" Target="mailto:smousama@minedu.gov.gr" TargetMode="External"/><Relationship Id="rId14" Type="http://schemas.openxmlformats.org/officeDocument/2006/relationships/hyperlink" Target="mailto:ichachla@minedu.gov.gr" TargetMode="External"/><Relationship Id="rId22" Type="http://schemas.openxmlformats.org/officeDocument/2006/relationships/hyperlink" Target="mailto:nsotiropoulou@minedu.gov.gr" TargetMode="External"/><Relationship Id="rId27" Type="http://schemas.openxmlformats.org/officeDocument/2006/relationships/hyperlink" Target="mailto:pandreopoulou@minedu.gov.gr" TargetMode="External"/><Relationship Id="rId30" Type="http://schemas.openxmlformats.org/officeDocument/2006/relationships/hyperlink" Target="mailto:apapanikolopoulou@minedu.gov.gr" TargetMode="External"/><Relationship Id="rId35" Type="http://schemas.openxmlformats.org/officeDocument/2006/relationships/hyperlink" Target="mailto:fmpalagianni@minedu.gov.gr" TargetMode="External"/><Relationship Id="rId43" Type="http://schemas.openxmlformats.org/officeDocument/2006/relationships/hyperlink" Target="mailto:lmoutsiou@minedu.gov.gr" TargetMode="External"/><Relationship Id="rId48" Type="http://schemas.openxmlformats.org/officeDocument/2006/relationships/hyperlink" Target="mailto:ptzitzifa@minedu.gov.gr;" TargetMode="External"/><Relationship Id="rId56" Type="http://schemas.openxmlformats.org/officeDocument/2006/relationships/hyperlink" Target="mailto:isikas@minedu.gov.gr" TargetMode="External"/><Relationship Id="rId64" Type="http://schemas.openxmlformats.org/officeDocument/2006/relationships/hyperlink" Target="mailto:pchaimala@minedu.gov.gr" TargetMode="External"/><Relationship Id="rId69" Type="http://schemas.openxmlformats.org/officeDocument/2006/relationships/hyperlink" Target="mailto:ekarali@minedu.gov.gr" TargetMode="External"/><Relationship Id="rId8" Type="http://schemas.openxmlformats.org/officeDocument/2006/relationships/hyperlink" Target="mailto:evagelos.papakwnstantinou@minedu.gov.gr" TargetMode="External"/><Relationship Id="rId51" Type="http://schemas.openxmlformats.org/officeDocument/2006/relationships/hyperlink" Target="mailto:kkalatha@minedu.gov.gr" TargetMode="External"/><Relationship Id="rId72" Type="http://schemas.openxmlformats.org/officeDocument/2006/relationships/hyperlink" Target="mailto:elyratzopoulou@minedu.gov.gr" TargetMode="External"/><Relationship Id="rId3" Type="http://schemas.openxmlformats.org/officeDocument/2006/relationships/hyperlink" Target="mailto:spapadoliopoulou@minedu.gov.gr" TargetMode="External"/><Relationship Id="rId12" Type="http://schemas.openxmlformats.org/officeDocument/2006/relationships/hyperlink" Target="mailto:etsaousi@minedu.gov.gr" TargetMode="External"/><Relationship Id="rId17" Type="http://schemas.openxmlformats.org/officeDocument/2006/relationships/hyperlink" Target="mailto:fkatsou@minedu.gov.gr" TargetMode="External"/><Relationship Id="rId25" Type="http://schemas.openxmlformats.org/officeDocument/2006/relationships/hyperlink" Target="mailto:kkollia@minedu.gov.gr" TargetMode="External"/><Relationship Id="rId33" Type="http://schemas.openxmlformats.org/officeDocument/2006/relationships/hyperlink" Target="mailto:kzafiropoulos@minedu.gov.gr" TargetMode="External"/><Relationship Id="rId38" Type="http://schemas.openxmlformats.org/officeDocument/2006/relationships/hyperlink" Target="mailto:okaratzia@minedu.gov.gr" TargetMode="External"/><Relationship Id="rId46" Type="http://schemas.openxmlformats.org/officeDocument/2006/relationships/hyperlink" Target="mailto:snezi@minedu.gov.gr" TargetMode="External"/><Relationship Id="rId59" Type="http://schemas.openxmlformats.org/officeDocument/2006/relationships/hyperlink" Target="mailto:dchalkia@minedu.gov.gr" TargetMode="External"/><Relationship Id="rId67" Type="http://schemas.openxmlformats.org/officeDocument/2006/relationships/hyperlink" Target="mailto:acharalampous@minedu.gov.gr" TargetMode="External"/><Relationship Id="rId20" Type="http://schemas.openxmlformats.org/officeDocument/2006/relationships/hyperlink" Target="mailto:apantazi@minedu.gov.gr" TargetMode="External"/><Relationship Id="rId41" Type="http://schemas.openxmlformats.org/officeDocument/2006/relationships/hyperlink" Target="mailto:spantelia@minedu.gov.gr" TargetMode="External"/><Relationship Id="rId54" Type="http://schemas.openxmlformats.org/officeDocument/2006/relationships/hyperlink" Target="mailto:amastrogiannis@minedu.gov.gr;" TargetMode="External"/><Relationship Id="rId62" Type="http://schemas.openxmlformats.org/officeDocument/2006/relationships/hyperlink" Target="mailto:vmpoltsi@minedu.gov.gr;" TargetMode="External"/><Relationship Id="rId70" Type="http://schemas.openxmlformats.org/officeDocument/2006/relationships/hyperlink" Target="mailto:chmartidis@minedu.gov.gr" TargetMode="External"/><Relationship Id="rId75" Type="http://schemas.openxmlformats.org/officeDocument/2006/relationships/comments" Target="../comments7.xml"/><Relationship Id="rId1" Type="http://schemas.openxmlformats.org/officeDocument/2006/relationships/hyperlink" Target="mailto:okafetzopoulou@minedu.gov.gr" TargetMode="External"/><Relationship Id="rId6" Type="http://schemas.openxmlformats.org/officeDocument/2006/relationships/hyperlink" Target="mailto:mvakondiou@minedu.gov.gr" TargetMode="External"/><Relationship Id="rId15" Type="http://schemas.openxmlformats.org/officeDocument/2006/relationships/hyperlink" Target="mailto:vpapakonstantinou@minedu.gov.gr" TargetMode="External"/><Relationship Id="rId23" Type="http://schemas.openxmlformats.org/officeDocument/2006/relationships/hyperlink" Target="mailto:mpriovolou@minedu.gov.gr" TargetMode="External"/><Relationship Id="rId28" Type="http://schemas.openxmlformats.org/officeDocument/2006/relationships/hyperlink" Target="mailto:vkaravitis@minedu.gov.gr" TargetMode="External"/><Relationship Id="rId36" Type="http://schemas.openxmlformats.org/officeDocument/2006/relationships/hyperlink" Target="mailto:evardaki@minedu.gov.gr" TargetMode="External"/><Relationship Id="rId49" Type="http://schemas.openxmlformats.org/officeDocument/2006/relationships/hyperlink" Target="mailto:dchalkia@minedu.gov.gr" TargetMode="External"/><Relationship Id="rId57" Type="http://schemas.openxmlformats.org/officeDocument/2006/relationships/hyperlink" Target="mailto:chstampelou@minedu.gov.gr" TargetMode="External"/><Relationship Id="rId10" Type="http://schemas.openxmlformats.org/officeDocument/2006/relationships/hyperlink" Target="mailto:dmouzakis@minedu.gov.greken%20@minedu.gov.gr" TargetMode="External"/><Relationship Id="rId31" Type="http://schemas.openxmlformats.org/officeDocument/2006/relationships/hyperlink" Target="mailto:empraki@minedu.gov.gr" TargetMode="External"/><Relationship Id="rId44" Type="http://schemas.openxmlformats.org/officeDocument/2006/relationships/hyperlink" Target="mailto:kmikeli@minedu.gov.gr" TargetMode="External"/><Relationship Id="rId52" Type="http://schemas.openxmlformats.org/officeDocument/2006/relationships/hyperlink" Target="mailto:ekarnava@minedu.gov.gr;" TargetMode="External"/><Relationship Id="rId60" Type="http://schemas.openxmlformats.org/officeDocument/2006/relationships/hyperlink" Target="mailto:egolia@minedu.gov.gr" TargetMode="External"/><Relationship Id="rId65" Type="http://schemas.openxmlformats.org/officeDocument/2006/relationships/hyperlink" Target="mailto:konstapsath@minedu.gov.gr" TargetMode="External"/><Relationship Id="rId73" Type="http://schemas.openxmlformats.org/officeDocument/2006/relationships/printerSettings" Target="../printerSettings/printerSettings8.bin"/><Relationship Id="rId4" Type="http://schemas.openxmlformats.org/officeDocument/2006/relationships/hyperlink" Target="mailto:epanta@minedu.gov.gr" TargetMode="External"/><Relationship Id="rId9" Type="http://schemas.openxmlformats.org/officeDocument/2006/relationships/hyperlink" Target="mailto:astavroulaki@minedu.gov.gr" TargetMode="External"/><Relationship Id="rId13" Type="http://schemas.openxmlformats.org/officeDocument/2006/relationships/hyperlink" Target="mailto:skalokerinou@minedu.gov.gr" TargetMode="External"/><Relationship Id="rId18" Type="http://schemas.openxmlformats.org/officeDocument/2006/relationships/hyperlink" Target="mailto:ekotanidi@minedu.gov.gr" TargetMode="External"/><Relationship Id="rId39" Type="http://schemas.openxmlformats.org/officeDocument/2006/relationships/hyperlink" Target="mailto:dtsamani@minedu.gov.gr" TargetMode="External"/><Relationship Id="rId34" Type="http://schemas.openxmlformats.org/officeDocument/2006/relationships/hyperlink" Target="mailto:eadam@minedu.gov.gr" TargetMode="External"/><Relationship Id="rId50" Type="http://schemas.openxmlformats.org/officeDocument/2006/relationships/hyperlink" Target="mailto:mtzani@minedu.gov.gr;" TargetMode="External"/><Relationship Id="rId55" Type="http://schemas.openxmlformats.org/officeDocument/2006/relationships/hyperlink" Target="mailto:kpapardelis@minedu.gov.gr" TargetMode="External"/><Relationship Id="rId76" Type="http://schemas.microsoft.com/office/2017/10/relationships/threadedComment" Target="../threadedComments/threadedComment7.xml"/><Relationship Id="rId7" Type="http://schemas.openxmlformats.org/officeDocument/2006/relationships/hyperlink" Target="mailto:ndaskalakis@minedu.gov.gr" TargetMode="External"/><Relationship Id="rId71" Type="http://schemas.openxmlformats.org/officeDocument/2006/relationships/hyperlink" Target="mailto:ssklirou@minedu.gov.gr" TargetMode="External"/></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6" Type="http://schemas.openxmlformats.org/officeDocument/2006/relationships/hyperlink" Target="mailto:carpinteria00@gmail.com" TargetMode="External"/><Relationship Id="rId21" Type="http://schemas.openxmlformats.org/officeDocument/2006/relationships/hyperlink" Target="mailto:errikazaha@yahoo.gr" TargetMode="External"/><Relationship Id="rId42" Type="http://schemas.openxmlformats.org/officeDocument/2006/relationships/hyperlink" Target="mailto:annakotridou@yahoo.gr" TargetMode="External"/><Relationship Id="rId47" Type="http://schemas.openxmlformats.org/officeDocument/2006/relationships/hyperlink" Target="mailto:manolesspantidakes@gmail.com" TargetMode="External"/><Relationship Id="rId63" Type="http://schemas.openxmlformats.org/officeDocument/2006/relationships/hyperlink" Target="mailto:mariamaragkaki@yahoo.gr" TargetMode="External"/><Relationship Id="rId68" Type="http://schemas.openxmlformats.org/officeDocument/2006/relationships/hyperlink" Target="mailto:manolakakimaria@yahoo.gr" TargetMode="External"/><Relationship Id="rId16" Type="http://schemas.openxmlformats.org/officeDocument/2006/relationships/hyperlink" Target="mailto:info@zaxaroplasteiokoumakis.gr" TargetMode="External"/><Relationship Id="rId11" Type="http://schemas.openxmlformats.org/officeDocument/2006/relationships/hyperlink" Target="mailto:manbouch@yahoo.com" TargetMode="External"/><Relationship Id="rId32" Type="http://schemas.openxmlformats.org/officeDocument/2006/relationships/hyperlink" Target="mailto:antellmar@yahoo.gr" TargetMode="External"/><Relationship Id="rId37" Type="http://schemas.openxmlformats.org/officeDocument/2006/relationships/hyperlink" Target="mailto:sofia.krous@gmail.com" TargetMode="External"/><Relationship Id="rId53" Type="http://schemas.openxmlformats.org/officeDocument/2006/relationships/hyperlink" Target="mailto:michaleskypraios492@gmail.com" TargetMode="External"/><Relationship Id="rId58" Type="http://schemas.openxmlformats.org/officeDocument/2006/relationships/hyperlink" Target="mailto:mixalismarakis2005@gmail.com" TargetMode="External"/><Relationship Id="rId74" Type="http://schemas.openxmlformats.org/officeDocument/2006/relationships/hyperlink" Target="mailto:vikiparasiri@gmail.com" TargetMode="External"/><Relationship Id="rId79" Type="http://schemas.openxmlformats.org/officeDocument/2006/relationships/hyperlink" Target="mailto:selithomasgiorgos@gmail.com" TargetMode="External"/><Relationship Id="rId5" Type="http://schemas.openxmlformats.org/officeDocument/2006/relationships/hyperlink" Target="mailto:toniapetroulaki2010@gmail.com" TargetMode="External"/><Relationship Id="rId61" Type="http://schemas.openxmlformats.org/officeDocument/2006/relationships/hyperlink" Target="mailto:tsafantakisd@gmail.com" TargetMode="External"/><Relationship Id="rId82" Type="http://schemas.openxmlformats.org/officeDocument/2006/relationships/comments" Target="../comments8.xml"/><Relationship Id="rId19" Type="http://schemas.openxmlformats.org/officeDocument/2006/relationships/hyperlink" Target="mailto:sofiacharapple@gmail.com" TargetMode="External"/><Relationship Id="rId14" Type="http://schemas.openxmlformats.org/officeDocument/2006/relationships/hyperlink" Target="mailto:ptrypaki@yahoo.gr" TargetMode="External"/><Relationship Id="rId22" Type="http://schemas.openxmlformats.org/officeDocument/2006/relationships/hyperlink" Target="mailto:kalomich@outlook.com" TargetMode="External"/><Relationship Id="rId27" Type="http://schemas.openxmlformats.org/officeDocument/2006/relationships/hyperlink" Target="mailto:kukulaki.f.g.a.a@gmail.com" TargetMode="External"/><Relationship Id="rId30" Type="http://schemas.openxmlformats.org/officeDocument/2006/relationships/hyperlink" Target="mailto:cris_takis@windowslive.com" TargetMode="External"/><Relationship Id="rId35" Type="http://schemas.openxmlformats.org/officeDocument/2006/relationships/hyperlink" Target="mailto:fotvas98@gmail.com" TargetMode="External"/><Relationship Id="rId43" Type="http://schemas.openxmlformats.org/officeDocument/2006/relationships/hyperlink" Target="mailto:eleni75maragkaki@gmail.com" TargetMode="External"/><Relationship Id="rId48" Type="http://schemas.openxmlformats.org/officeDocument/2006/relationships/hyperlink" Target="mailto:tzortzakistella5@gmail.com" TargetMode="External"/><Relationship Id="rId56" Type="http://schemas.openxmlformats.org/officeDocument/2006/relationships/hyperlink" Target="mailto:Demetreslitses@gmail.com" TargetMode="External"/><Relationship Id="rId64" Type="http://schemas.openxmlformats.org/officeDocument/2006/relationships/hyperlink" Target="mailto:rania.stamatakiiii@gmail.com" TargetMode="External"/><Relationship Id="rId69" Type="http://schemas.openxmlformats.org/officeDocument/2006/relationships/hyperlink" Target="mailto:vikiparasiri@gmail.com" TargetMode="External"/><Relationship Id="rId77" Type="http://schemas.openxmlformats.org/officeDocument/2006/relationships/hyperlink" Target="mailto:sitormarina@gmail.com" TargetMode="External"/><Relationship Id="rId8" Type="http://schemas.openxmlformats.org/officeDocument/2006/relationships/hyperlink" Target="mailto:repdebbie@gmail.com" TargetMode="External"/><Relationship Id="rId51" Type="http://schemas.openxmlformats.org/officeDocument/2006/relationships/hyperlink" Target="mailto:makoumaki@gmail.com" TargetMode="External"/><Relationship Id="rId72" Type="http://schemas.openxmlformats.org/officeDocument/2006/relationships/hyperlink" Target="mailto:nantiasmirnaki@gmail.com" TargetMode="External"/><Relationship Id="rId80" Type="http://schemas.openxmlformats.org/officeDocument/2006/relationships/hyperlink" Target="mailto:carpinteria00@gmail.com" TargetMode="External"/><Relationship Id="rId3" Type="http://schemas.openxmlformats.org/officeDocument/2006/relationships/hyperlink" Target="mailto:cchatzideve@gmail.com" TargetMode="External"/><Relationship Id="rId12" Type="http://schemas.openxmlformats.org/officeDocument/2006/relationships/hyperlink" Target="mailto:thbitzou@gmail.com" TargetMode="External"/><Relationship Id="rId17" Type="http://schemas.openxmlformats.org/officeDocument/2006/relationships/hyperlink" Target="mailto:stephaniekonidaki@yahoo.gr" TargetMode="External"/><Relationship Id="rId25" Type="http://schemas.openxmlformats.org/officeDocument/2006/relationships/hyperlink" Target="mailto:giorgosblachakes994@gmail.com" TargetMode="External"/><Relationship Id="rId33" Type="http://schemas.openxmlformats.org/officeDocument/2006/relationships/hyperlink" Target="mailto:apostolakiana18@gmail.com" TargetMode="External"/><Relationship Id="rId38" Type="http://schemas.openxmlformats.org/officeDocument/2006/relationships/hyperlink" Target="mailto:eugeniapetrogiannaki15@gmail.com" TargetMode="External"/><Relationship Id="rId46" Type="http://schemas.openxmlformats.org/officeDocument/2006/relationships/hyperlink" Target="mailto:selithomasgiorgos@gmail.com" TargetMode="External"/><Relationship Id="rId59" Type="http://schemas.openxmlformats.org/officeDocument/2006/relationships/hyperlink" Target="mailto:mmylonakis2004@gmail.com" TargetMode="External"/><Relationship Id="rId67" Type="http://schemas.openxmlformats.org/officeDocument/2006/relationships/hyperlink" Target="mailto:el.georgioudaki@gmail.com" TargetMode="External"/><Relationship Id="rId20" Type="http://schemas.openxmlformats.org/officeDocument/2006/relationships/hyperlink" Target="mailto:georgeadamis1@gmail.com" TargetMode="External"/><Relationship Id="rId41" Type="http://schemas.openxmlformats.org/officeDocument/2006/relationships/hyperlink" Target="mailto:xaralaeva30@yahoo.com" TargetMode="External"/><Relationship Id="rId54" Type="http://schemas.openxmlformats.org/officeDocument/2006/relationships/hyperlink" Target="mailto:malliotxenia@gmail.com" TargetMode="External"/><Relationship Id="rId62" Type="http://schemas.openxmlformats.org/officeDocument/2006/relationships/hyperlink" Target="mailto:marinafounargiotaki10@gmail.com" TargetMode="External"/><Relationship Id="rId70" Type="http://schemas.openxmlformats.org/officeDocument/2006/relationships/hyperlink" Target="mailto:cris_takis@windowslive.com" TargetMode="External"/><Relationship Id="rId75" Type="http://schemas.openxmlformats.org/officeDocument/2006/relationships/hyperlink" Target="mailto:gogosakou@gmail.com" TargetMode="External"/><Relationship Id="rId83" Type="http://schemas.microsoft.com/office/2017/10/relationships/threadedComment" Target="../threadedComments/threadedComment8.xml"/><Relationship Id="rId1" Type="http://schemas.openxmlformats.org/officeDocument/2006/relationships/hyperlink" Target="mailto:dpapadomanolakis@uniwa.gr" TargetMode="External"/><Relationship Id="rId6" Type="http://schemas.openxmlformats.org/officeDocument/2006/relationships/hyperlink" Target="mailto:elenskordou@gmail.com" TargetMode="External"/><Relationship Id="rId15" Type="http://schemas.openxmlformats.org/officeDocument/2006/relationships/hyperlink" Target="mailto:kirlakismarios@gmail.com" TargetMode="External"/><Relationship Id="rId23" Type="http://schemas.openxmlformats.org/officeDocument/2006/relationships/hyperlink" Target="mailto:aretakikassia@gmail.com" TargetMode="External"/><Relationship Id="rId28" Type="http://schemas.openxmlformats.org/officeDocument/2006/relationships/hyperlink" Target="mailto:gogosakou@gmail.com" TargetMode="External"/><Relationship Id="rId36" Type="http://schemas.openxmlformats.org/officeDocument/2006/relationships/hyperlink" Target="mailto:nikoszaxarakhs96@yahoo.gr" TargetMode="External"/><Relationship Id="rId49" Type="http://schemas.openxmlformats.org/officeDocument/2006/relationships/hyperlink" Target="mailto:annakotridou@yahoo.gr" TargetMode="External"/><Relationship Id="rId57" Type="http://schemas.openxmlformats.org/officeDocument/2006/relationships/hyperlink" Target="mailto:basomad@gmail.com" TargetMode="External"/><Relationship Id="rId10" Type="http://schemas.openxmlformats.org/officeDocument/2006/relationships/hyperlink" Target="mailto:moisakisgiannis@gmail.com" TargetMode="External"/><Relationship Id="rId31" Type="http://schemas.openxmlformats.org/officeDocument/2006/relationships/hyperlink" Target="mailto:sofia1129@yahoo.gr" TargetMode="External"/><Relationship Id="rId44" Type="http://schemas.openxmlformats.org/officeDocument/2006/relationships/hyperlink" Target="mailto:maria_papadmm@yahoo.gr" TargetMode="External"/><Relationship Id="rId52" Type="http://schemas.openxmlformats.org/officeDocument/2006/relationships/hyperlink" Target="mailto:stauroskoun@hotmail.com" TargetMode="External"/><Relationship Id="rId60" Type="http://schemas.openxmlformats.org/officeDocument/2006/relationships/hyperlink" Target="mailto:tataris2@yahoo.gr" TargetMode="External"/><Relationship Id="rId65" Type="http://schemas.openxmlformats.org/officeDocument/2006/relationships/hyperlink" Target="mailto:nantiasmirnaki@gmail.com" TargetMode="External"/><Relationship Id="rId73" Type="http://schemas.openxmlformats.org/officeDocument/2006/relationships/hyperlink" Target="mailto:michaleskypraios492@gmail.com" TargetMode="External"/><Relationship Id="rId78" Type="http://schemas.openxmlformats.org/officeDocument/2006/relationships/hyperlink" Target="mailto:maria_papadmm@yahoo.gr" TargetMode="External"/><Relationship Id="rId81" Type="http://schemas.openxmlformats.org/officeDocument/2006/relationships/vmlDrawing" Target="../drawings/vmlDrawing8.vml"/><Relationship Id="rId4" Type="http://schemas.openxmlformats.org/officeDocument/2006/relationships/hyperlink" Target="mailto:dfisarakis@gmail.com" TargetMode="External"/><Relationship Id="rId9" Type="http://schemas.openxmlformats.org/officeDocument/2006/relationships/hyperlink" Target="mailto:neonakimar@yahoo.gr" TargetMode="External"/><Relationship Id="rId13" Type="http://schemas.openxmlformats.org/officeDocument/2006/relationships/hyperlink" Target="mailto:dtsakal@yahoo.gr" TargetMode="External"/><Relationship Id="rId18" Type="http://schemas.openxmlformats.org/officeDocument/2006/relationships/hyperlink" Target="mailto:nioniosvog@hotmail.com" TargetMode="External"/><Relationship Id="rId39" Type="http://schemas.openxmlformats.org/officeDocument/2006/relationships/hyperlink" Target="mailto:stampouli_a@windowslive.com" TargetMode="External"/><Relationship Id="rId34" Type="http://schemas.openxmlformats.org/officeDocument/2006/relationships/hyperlink" Target="mailto:mariaarf02@gmail.com" TargetMode="External"/><Relationship Id="rId50" Type="http://schemas.openxmlformats.org/officeDocument/2006/relationships/hyperlink" Target="mailto:giannisellinikakis511@gmail.com" TargetMode="External"/><Relationship Id="rId55" Type="http://schemas.openxmlformats.org/officeDocument/2006/relationships/hyperlink" Target="mailto:nazefecanji@gmail.com" TargetMode="External"/><Relationship Id="rId76" Type="http://schemas.openxmlformats.org/officeDocument/2006/relationships/hyperlink" Target="mailto:marinafounargiotaki10@gmail.com" TargetMode="External"/><Relationship Id="rId7" Type="http://schemas.openxmlformats.org/officeDocument/2006/relationships/hyperlink" Target="mailto:mikasava96@gmail.com" TargetMode="External"/><Relationship Id="rId71" Type="http://schemas.openxmlformats.org/officeDocument/2006/relationships/hyperlink" Target="mailto:giorgosblachakes994@gmail.com" TargetMode="External"/><Relationship Id="rId2" Type="http://schemas.openxmlformats.org/officeDocument/2006/relationships/hyperlink" Target="mailto:elenhlyratzakh@gmail.com" TargetMode="External"/><Relationship Id="rId29" Type="http://schemas.openxmlformats.org/officeDocument/2006/relationships/hyperlink" Target="mailto:sitormarina@gmail.com" TargetMode="External"/><Relationship Id="rId24" Type="http://schemas.openxmlformats.org/officeDocument/2006/relationships/hyperlink" Target="mailto:astrinakimaria12@gmail.com" TargetMode="External"/><Relationship Id="rId40" Type="http://schemas.openxmlformats.org/officeDocument/2006/relationships/hyperlink" Target="mailto:stellafragkiadaki23@gmail.com" TargetMode="External"/><Relationship Id="rId45" Type="http://schemas.openxmlformats.org/officeDocument/2006/relationships/hyperlink" Target="mailto:perakisg@gmail.com" TargetMode="External"/><Relationship Id="rId66" Type="http://schemas.openxmlformats.org/officeDocument/2006/relationships/hyperlink" Target="mailto:antonis.stamatakis2@yahoo.com"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mailto:sofia1129@yahoo.gr" TargetMode="External"/><Relationship Id="rId21" Type="http://schemas.openxmlformats.org/officeDocument/2006/relationships/hyperlink" Target="mailto:vikiparasiri@gmail.com" TargetMode="External"/><Relationship Id="rId42" Type="http://schemas.openxmlformats.org/officeDocument/2006/relationships/hyperlink" Target="mailto:giorgosblachakes994@gmail.com" TargetMode="External"/><Relationship Id="rId63" Type="http://schemas.openxmlformats.org/officeDocument/2006/relationships/hyperlink" Target="mailto:michaleskypraios492@gmail.com" TargetMode="External"/><Relationship Id="rId84" Type="http://schemas.openxmlformats.org/officeDocument/2006/relationships/hyperlink" Target="mailto:iwona55@windowslive.com" TargetMode="External"/><Relationship Id="rId138" Type="http://schemas.openxmlformats.org/officeDocument/2006/relationships/hyperlink" Target="mailto:manolakakimaria@yahoo.gr" TargetMode="External"/><Relationship Id="rId159" Type="http://schemas.openxmlformats.org/officeDocument/2006/relationships/hyperlink" Target="mailto:giwrgosskordulhs@gmail.com" TargetMode="External"/><Relationship Id="rId170" Type="http://schemas.openxmlformats.org/officeDocument/2006/relationships/table" Target="../tables/table6.xml"/><Relationship Id="rId107" Type="http://schemas.openxmlformats.org/officeDocument/2006/relationships/hyperlink" Target="mailto:georgia.sk1708@gmail.com" TargetMode="External"/><Relationship Id="rId11" Type="http://schemas.openxmlformats.org/officeDocument/2006/relationships/hyperlink" Target="mailto:thbitzou@gmail.com" TargetMode="External"/><Relationship Id="rId32" Type="http://schemas.openxmlformats.org/officeDocument/2006/relationships/hyperlink" Target="mailto:selithomasgiorgos@gmail.com" TargetMode="External"/><Relationship Id="rId53" Type="http://schemas.openxmlformats.org/officeDocument/2006/relationships/hyperlink" Target="mailto:georgiaveloglou05@gmail.com" TargetMode="External"/><Relationship Id="rId74" Type="http://schemas.openxmlformats.org/officeDocument/2006/relationships/hyperlink" Target="mailto:rania.stamatakiiii@gmail.com" TargetMode="External"/><Relationship Id="rId128" Type="http://schemas.openxmlformats.org/officeDocument/2006/relationships/hyperlink" Target="mailto:xaralaeva30@yahoo.com" TargetMode="External"/><Relationship Id="rId149" Type="http://schemas.openxmlformats.org/officeDocument/2006/relationships/hyperlink" Target="mailto:mikasava96@gmail.com" TargetMode="External"/><Relationship Id="rId5" Type="http://schemas.openxmlformats.org/officeDocument/2006/relationships/hyperlink" Target="mailto:koundouraki@katartisi.gr" TargetMode="External"/><Relationship Id="rId95" Type="http://schemas.openxmlformats.org/officeDocument/2006/relationships/hyperlink" Target="mailto:merinakalafati33@gmail.com" TargetMode="External"/><Relationship Id="rId160" Type="http://schemas.openxmlformats.org/officeDocument/2006/relationships/hyperlink" Target="mailto:m.fygetaki@gmail.com" TargetMode="External"/><Relationship Id="rId22" Type="http://schemas.openxmlformats.org/officeDocument/2006/relationships/hyperlink" Target="mailto:marinafounargiotaki10@gmail.com" TargetMode="External"/><Relationship Id="rId43" Type="http://schemas.openxmlformats.org/officeDocument/2006/relationships/hyperlink" Target="mailto:astrinakimaria12@gmail.com" TargetMode="External"/><Relationship Id="rId64" Type="http://schemas.openxmlformats.org/officeDocument/2006/relationships/hyperlink" Target="mailto:stauroskoun@hotmail.com" TargetMode="External"/><Relationship Id="rId118" Type="http://schemas.openxmlformats.org/officeDocument/2006/relationships/hyperlink" Target="mailto:antellmar@yahoo.gr" TargetMode="External"/><Relationship Id="rId139" Type="http://schemas.openxmlformats.org/officeDocument/2006/relationships/hyperlink" Target="mailto:vasiliskarantz@gmail.com" TargetMode="External"/><Relationship Id="rId85" Type="http://schemas.openxmlformats.org/officeDocument/2006/relationships/hyperlink" Target="mailto:anasta.nicole@gmail.com" TargetMode="External"/><Relationship Id="rId150" Type="http://schemas.openxmlformats.org/officeDocument/2006/relationships/hyperlink" Target="mailto:elenskordou@gmail.com" TargetMode="External"/><Relationship Id="rId171" Type="http://schemas.openxmlformats.org/officeDocument/2006/relationships/comments" Target="../comments9.xml"/><Relationship Id="rId12" Type="http://schemas.openxmlformats.org/officeDocument/2006/relationships/hyperlink" Target="mailto:babis.chaniotakis@gmail.com" TargetMode="External"/><Relationship Id="rId33" Type="http://schemas.openxmlformats.org/officeDocument/2006/relationships/hyperlink" Target="mailto:perakisg@gmail.com" TargetMode="External"/><Relationship Id="rId108" Type="http://schemas.openxmlformats.org/officeDocument/2006/relationships/hyperlink" Target="mailto:farsaryvasiliky@gmail.com" TargetMode="External"/><Relationship Id="rId129" Type="http://schemas.openxmlformats.org/officeDocument/2006/relationships/hyperlink" Target="mailto:giannisellinikakis511@gmail.com" TargetMode="External"/><Relationship Id="rId54" Type="http://schemas.openxmlformats.org/officeDocument/2006/relationships/hyperlink" Target="mailto:koumchristos@gmail.com" TargetMode="External"/><Relationship Id="rId70" Type="http://schemas.openxmlformats.org/officeDocument/2006/relationships/hyperlink" Target="mailto:konstantinaman07@gmail.com" TargetMode="External"/><Relationship Id="rId75" Type="http://schemas.openxmlformats.org/officeDocument/2006/relationships/hyperlink" Target="mailto:nantiasmirnaki@gmail.com" TargetMode="External"/><Relationship Id="rId91" Type="http://schemas.openxmlformats.org/officeDocument/2006/relationships/hyperlink" Target="mailto:fotvas98@gmail.com" TargetMode="External"/><Relationship Id="rId96" Type="http://schemas.openxmlformats.org/officeDocument/2006/relationships/hyperlink" Target="mailto:chtrigoni@gmail.com" TargetMode="External"/><Relationship Id="rId140" Type="http://schemas.openxmlformats.org/officeDocument/2006/relationships/hyperlink" Target="mailto:eiriniperif@gmail.com" TargetMode="External"/><Relationship Id="rId145" Type="http://schemas.openxmlformats.org/officeDocument/2006/relationships/hyperlink" Target="mailto:ptrypaki@yahoo.gr" TargetMode="External"/><Relationship Id="rId161" Type="http://schemas.openxmlformats.org/officeDocument/2006/relationships/hyperlink" Target="mailto:kendristakek@gmail.com" TargetMode="External"/><Relationship Id="rId166" Type="http://schemas.openxmlformats.org/officeDocument/2006/relationships/printerSettings" Target="../printerSettings/printerSettings10.bin"/><Relationship Id="rId1" Type="http://schemas.openxmlformats.org/officeDocument/2006/relationships/hyperlink" Target="mailto:repdebbie@gmail.com" TargetMode="External"/><Relationship Id="rId6" Type="http://schemas.openxmlformats.org/officeDocument/2006/relationships/hyperlink" Target="mailto:cchatzideve@gmail.com" TargetMode="External"/><Relationship Id="rId23" Type="http://schemas.openxmlformats.org/officeDocument/2006/relationships/hyperlink" Target="mailto:tsafantakisd@gmail.com" TargetMode="External"/><Relationship Id="rId28" Type="http://schemas.openxmlformats.org/officeDocument/2006/relationships/hyperlink" Target="mailto:Demetreslitses@gmail.com" TargetMode="External"/><Relationship Id="rId49" Type="http://schemas.openxmlformats.org/officeDocument/2006/relationships/hyperlink" Target="mailto:raphaelaierapetritake@gmail.com" TargetMode="External"/><Relationship Id="rId114" Type="http://schemas.openxmlformats.org/officeDocument/2006/relationships/hyperlink" Target="mailto:dimokratis11@gmail.com" TargetMode="External"/><Relationship Id="rId119" Type="http://schemas.openxmlformats.org/officeDocument/2006/relationships/hyperlink" Target="mailto:apostolakiana18@gmail.com" TargetMode="External"/><Relationship Id="rId44" Type="http://schemas.openxmlformats.org/officeDocument/2006/relationships/hyperlink" Target="mailto:aretakikassia@gmail.com" TargetMode="External"/><Relationship Id="rId60" Type="http://schemas.openxmlformats.org/officeDocument/2006/relationships/hyperlink" Target="mailto:giwrgosskordulhs@gmail.com" TargetMode="External"/><Relationship Id="rId65" Type="http://schemas.openxmlformats.org/officeDocument/2006/relationships/hyperlink" Target="mailto:makoumaki@gmail.com" TargetMode="External"/><Relationship Id="rId81" Type="http://schemas.openxmlformats.org/officeDocument/2006/relationships/hyperlink" Target="mailto:paulinamoysaki123@gmail.com" TargetMode="External"/><Relationship Id="rId86" Type="http://schemas.openxmlformats.org/officeDocument/2006/relationships/hyperlink" Target="mailto:eiriniperif@gmail.com" TargetMode="External"/><Relationship Id="rId130" Type="http://schemas.openxmlformats.org/officeDocument/2006/relationships/hyperlink" Target="mailto:makoumaki@gmail.com" TargetMode="External"/><Relationship Id="rId135" Type="http://schemas.openxmlformats.org/officeDocument/2006/relationships/hyperlink" Target="mailto:rania.stamatakiiii@gmail.com" TargetMode="External"/><Relationship Id="rId151" Type="http://schemas.openxmlformats.org/officeDocument/2006/relationships/hyperlink" Target="mailto:dfisarakis@gmail.com" TargetMode="External"/><Relationship Id="rId156" Type="http://schemas.openxmlformats.org/officeDocument/2006/relationships/hyperlink" Target="mailto:babis.chaniotakis@gmail.com" TargetMode="External"/><Relationship Id="rId172" Type="http://schemas.microsoft.com/office/2017/10/relationships/threadedComment" Target="../threadedComments/threadedComment9.xml"/><Relationship Id="rId13" Type="http://schemas.openxmlformats.org/officeDocument/2006/relationships/hyperlink" Target="mailto:koundouraki@katartisi.gr" TargetMode="External"/><Relationship Id="rId18" Type="http://schemas.openxmlformats.org/officeDocument/2006/relationships/hyperlink" Target="mailto:sofiacharapple@gmail.com" TargetMode="External"/><Relationship Id="rId39" Type="http://schemas.openxmlformats.org/officeDocument/2006/relationships/hyperlink" Target="mailto:gogosakou@gmail.com" TargetMode="External"/><Relationship Id="rId109" Type="http://schemas.openxmlformats.org/officeDocument/2006/relationships/hyperlink" Target="mailto:shamper2007@gmail.com" TargetMode="External"/><Relationship Id="rId34" Type="http://schemas.openxmlformats.org/officeDocument/2006/relationships/hyperlink" Target="mailto:maria_papadmm@yahoo.gr" TargetMode="External"/><Relationship Id="rId50" Type="http://schemas.openxmlformats.org/officeDocument/2006/relationships/hyperlink" Target="mailto:antellmar@yahoo.gr" TargetMode="External"/><Relationship Id="rId55" Type="http://schemas.openxmlformats.org/officeDocument/2006/relationships/hyperlink" Target="mailto:aleksgreqi@gmail.com" TargetMode="External"/><Relationship Id="rId76" Type="http://schemas.openxmlformats.org/officeDocument/2006/relationships/hyperlink" Target="mailto:mariamaragkaki@yahoo.gr" TargetMode="External"/><Relationship Id="rId97" Type="http://schemas.openxmlformats.org/officeDocument/2006/relationships/hyperlink" Target="mailto:tsikandilakisn@gmail.com" TargetMode="External"/><Relationship Id="rId104" Type="http://schemas.openxmlformats.org/officeDocument/2006/relationships/hyperlink" Target="mailto:konstantinaman07@gmail.com" TargetMode="External"/><Relationship Id="rId120" Type="http://schemas.openxmlformats.org/officeDocument/2006/relationships/hyperlink" Target="mailto:mariaarf02@gmail.com" TargetMode="External"/><Relationship Id="rId125" Type="http://schemas.openxmlformats.org/officeDocument/2006/relationships/hyperlink" Target="mailto:el.georgioudaki@gmail.com" TargetMode="External"/><Relationship Id="rId141" Type="http://schemas.openxmlformats.org/officeDocument/2006/relationships/hyperlink" Target="mailto:sofiacharapple@gmail.com" TargetMode="External"/><Relationship Id="rId146" Type="http://schemas.openxmlformats.org/officeDocument/2006/relationships/hyperlink" Target="mailto:thbitzou@gmail.com" TargetMode="External"/><Relationship Id="rId167" Type="http://schemas.openxmlformats.org/officeDocument/2006/relationships/vmlDrawing" Target="../drawings/vmlDrawing9.vml"/><Relationship Id="rId7" Type="http://schemas.openxmlformats.org/officeDocument/2006/relationships/hyperlink" Target="mailto:mikasava96@gmail.com" TargetMode="External"/><Relationship Id="rId71" Type="http://schemas.openxmlformats.org/officeDocument/2006/relationships/hyperlink" Target="mailto:iriniandrianaki@gmail.com" TargetMode="External"/><Relationship Id="rId92" Type="http://schemas.openxmlformats.org/officeDocument/2006/relationships/hyperlink" Target="mailto:mariaarf02@gmail.com" TargetMode="External"/><Relationship Id="rId162" Type="http://schemas.openxmlformats.org/officeDocument/2006/relationships/hyperlink" Target="mailto:iriniandrianaki@gmail.com" TargetMode="External"/><Relationship Id="rId2" Type="http://schemas.openxmlformats.org/officeDocument/2006/relationships/hyperlink" Target="mailto:tsakirelis@gmail.com" TargetMode="External"/><Relationship Id="rId29" Type="http://schemas.openxmlformats.org/officeDocument/2006/relationships/hyperlink" Target="mailto:nazefecanji@gmail.com" TargetMode="External"/><Relationship Id="rId24" Type="http://schemas.openxmlformats.org/officeDocument/2006/relationships/hyperlink" Target="mailto:tataris2@yahoo.gr" TargetMode="External"/><Relationship Id="rId40" Type="http://schemas.openxmlformats.org/officeDocument/2006/relationships/hyperlink" Target="mailto:kukulaki.f.g.a.a@gmail.com" TargetMode="External"/><Relationship Id="rId45" Type="http://schemas.openxmlformats.org/officeDocument/2006/relationships/hyperlink" Target="mailto:r_androulaki@yahoo.gr" TargetMode="External"/><Relationship Id="rId66" Type="http://schemas.openxmlformats.org/officeDocument/2006/relationships/hyperlink" Target="mailto:giannisellinikakis511@gmail.com" TargetMode="External"/><Relationship Id="rId87" Type="http://schemas.openxmlformats.org/officeDocument/2006/relationships/hyperlink" Target="mailto:ehainaki@gmail.com" TargetMode="External"/><Relationship Id="rId110" Type="http://schemas.openxmlformats.org/officeDocument/2006/relationships/hyperlink" Target="mailto:manolisfioretzis21@yahoo.gr" TargetMode="External"/><Relationship Id="rId115" Type="http://schemas.openxmlformats.org/officeDocument/2006/relationships/hyperlink" Target="mailto:konstantinosgaba@gmail.com" TargetMode="External"/><Relationship Id="rId131" Type="http://schemas.openxmlformats.org/officeDocument/2006/relationships/hyperlink" Target="mailto:stauroskoun@hotmail.com" TargetMode="External"/><Relationship Id="rId136" Type="http://schemas.openxmlformats.org/officeDocument/2006/relationships/hyperlink" Target="mailto:nantiasmirnaki@gmail.com" TargetMode="External"/><Relationship Id="rId157" Type="http://schemas.openxmlformats.org/officeDocument/2006/relationships/hyperlink" Target="mailto:ni.anagnostaki@gmail.com" TargetMode="External"/><Relationship Id="rId61" Type="http://schemas.openxmlformats.org/officeDocument/2006/relationships/hyperlink" Target="mailto:sgeorgantonaki@gmail.com" TargetMode="External"/><Relationship Id="rId82" Type="http://schemas.openxmlformats.org/officeDocument/2006/relationships/hyperlink" Target="mailto:charitosmanioudakes78@gmail.com" TargetMode="External"/><Relationship Id="rId152" Type="http://schemas.openxmlformats.org/officeDocument/2006/relationships/hyperlink" Target="mailto:cchatzideve@gmail.com" TargetMode="External"/><Relationship Id="rId19" Type="http://schemas.openxmlformats.org/officeDocument/2006/relationships/hyperlink" Target="mailto:alyratzakis@gmail.com" TargetMode="External"/><Relationship Id="rId14" Type="http://schemas.openxmlformats.org/officeDocument/2006/relationships/hyperlink" Target="mailto:dpapadomanolakis@uniwa.gr" TargetMode="External"/><Relationship Id="rId30" Type="http://schemas.openxmlformats.org/officeDocument/2006/relationships/hyperlink" Target="mailto:tzortzakistella5@gmail.com" TargetMode="External"/><Relationship Id="rId35" Type="http://schemas.openxmlformats.org/officeDocument/2006/relationships/hyperlink" Target="mailto:eleni75maragkaki@gmail.com" TargetMode="External"/><Relationship Id="rId56" Type="http://schemas.openxmlformats.org/officeDocument/2006/relationships/hyperlink" Target="mailto:kaplanisgiwrgos1@gmail.com,%20" TargetMode="External"/><Relationship Id="rId77" Type="http://schemas.openxmlformats.org/officeDocument/2006/relationships/hyperlink" Target="mailto:manolisfioretzis21@yahoo.gr" TargetMode="External"/><Relationship Id="rId100" Type="http://schemas.openxmlformats.org/officeDocument/2006/relationships/hyperlink" Target="mailto:galateiant@gmail.com" TargetMode="External"/><Relationship Id="rId105" Type="http://schemas.openxmlformats.org/officeDocument/2006/relationships/hyperlink" Target="mailto:kaplanisgiwrgos1@gmail.com" TargetMode="External"/><Relationship Id="rId126" Type="http://schemas.openxmlformats.org/officeDocument/2006/relationships/hyperlink" Target="mailto:stampouli_a@windowslive.com" TargetMode="External"/><Relationship Id="rId147" Type="http://schemas.openxmlformats.org/officeDocument/2006/relationships/hyperlink" Target="mailto:manbouch@yahoo.com" TargetMode="External"/><Relationship Id="rId168" Type="http://schemas.openxmlformats.org/officeDocument/2006/relationships/table" Target="../tables/table4.xml"/><Relationship Id="rId8" Type="http://schemas.openxmlformats.org/officeDocument/2006/relationships/hyperlink" Target="mailto:info@zaxaroplasteiokoumakis.gr" TargetMode="External"/><Relationship Id="rId51" Type="http://schemas.openxmlformats.org/officeDocument/2006/relationships/hyperlink" Target="mailto:emmanuellarizou28@yahoo.com" TargetMode="External"/><Relationship Id="rId72" Type="http://schemas.openxmlformats.org/officeDocument/2006/relationships/hyperlink" Target="mailto:merinakalafati33@gmail.com" TargetMode="External"/><Relationship Id="rId93" Type="http://schemas.openxmlformats.org/officeDocument/2006/relationships/hyperlink" Target="mailto:apostolakiana18@gmail.com" TargetMode="External"/><Relationship Id="rId98" Type="http://schemas.openxmlformats.org/officeDocument/2006/relationships/hyperlink" Target="mailto:paulinamoysaki123@gmail.com" TargetMode="External"/><Relationship Id="rId121" Type="http://schemas.openxmlformats.org/officeDocument/2006/relationships/hyperlink" Target="mailto:fotvas98@gmail.com" TargetMode="External"/><Relationship Id="rId142" Type="http://schemas.openxmlformats.org/officeDocument/2006/relationships/hyperlink" Target="mailto:nioniosvog@hotmail.com" TargetMode="External"/><Relationship Id="rId163" Type="http://schemas.openxmlformats.org/officeDocument/2006/relationships/hyperlink" Target="mailto:mariastrataki9111984@gmail.com" TargetMode="External"/><Relationship Id="rId3" Type="http://schemas.openxmlformats.org/officeDocument/2006/relationships/hyperlink" Target="mailto:mikasava96@gmail.com" TargetMode="External"/><Relationship Id="rId25" Type="http://schemas.openxmlformats.org/officeDocument/2006/relationships/hyperlink" Target="mailto:mmylonakis2004@gmail.com" TargetMode="External"/><Relationship Id="rId46" Type="http://schemas.openxmlformats.org/officeDocument/2006/relationships/hyperlink" Target="mailto:christakim2007@gmail.com" TargetMode="External"/><Relationship Id="rId67" Type="http://schemas.openxmlformats.org/officeDocument/2006/relationships/hyperlink" Target="mailto:zaxarenialiou@gmail.com" TargetMode="External"/><Relationship Id="rId116" Type="http://schemas.openxmlformats.org/officeDocument/2006/relationships/hyperlink" Target="mailto:papadakimar44@gmail.com" TargetMode="External"/><Relationship Id="rId137" Type="http://schemas.openxmlformats.org/officeDocument/2006/relationships/hyperlink" Target="mailto:antonis.stamatakis2@yahoo.com" TargetMode="External"/><Relationship Id="rId158" Type="http://schemas.openxmlformats.org/officeDocument/2006/relationships/hyperlink" Target="mailto:ehainaki@gmail.com" TargetMode="External"/><Relationship Id="rId20" Type="http://schemas.openxmlformats.org/officeDocument/2006/relationships/hyperlink" Target="mailto:eleftheriatzanaki@gmail.com" TargetMode="External"/><Relationship Id="rId41" Type="http://schemas.openxmlformats.org/officeDocument/2006/relationships/hyperlink" Target="mailto:carpinteria00@gmail.com" TargetMode="External"/><Relationship Id="rId62" Type="http://schemas.openxmlformats.org/officeDocument/2006/relationships/hyperlink" Target="mailto:malliotxenia@gmail.com" TargetMode="External"/><Relationship Id="rId83" Type="http://schemas.openxmlformats.org/officeDocument/2006/relationships/hyperlink" Target="mailto:gianneskoutsogiannakes@gmail.com" TargetMode="External"/><Relationship Id="rId88" Type="http://schemas.openxmlformats.org/officeDocument/2006/relationships/hyperlink" Target="mailto:kendristakek@gmail.com" TargetMode="External"/><Relationship Id="rId111" Type="http://schemas.openxmlformats.org/officeDocument/2006/relationships/hyperlink" Target="mailto:desppras@gmail.com" TargetMode="External"/><Relationship Id="rId132" Type="http://schemas.openxmlformats.org/officeDocument/2006/relationships/hyperlink" Target="mailto:michaleskypraios492@gmail.com" TargetMode="External"/><Relationship Id="rId153" Type="http://schemas.openxmlformats.org/officeDocument/2006/relationships/hyperlink" Target="mailto:elenhlyratzakh@gmail.com" TargetMode="External"/><Relationship Id="rId15" Type="http://schemas.openxmlformats.org/officeDocument/2006/relationships/hyperlink" Target="mailto:neonakimar@yahoo.gr" TargetMode="External"/><Relationship Id="rId36" Type="http://schemas.openxmlformats.org/officeDocument/2006/relationships/hyperlink" Target="mailto:annakotridou@yahoo.gr" TargetMode="External"/><Relationship Id="rId57" Type="http://schemas.openxmlformats.org/officeDocument/2006/relationships/hyperlink" Target="mailto:konstantinosgaba@gmail.com" TargetMode="External"/><Relationship Id="rId106" Type="http://schemas.openxmlformats.org/officeDocument/2006/relationships/hyperlink" Target="mailto:styliaras11@gmail.com" TargetMode="External"/><Relationship Id="rId127" Type="http://schemas.openxmlformats.org/officeDocument/2006/relationships/hyperlink" Target="mailto:stellafragkiadaki23@gmail.com" TargetMode="External"/><Relationship Id="rId10" Type="http://schemas.openxmlformats.org/officeDocument/2006/relationships/hyperlink" Target="mailto:repdebbie@gmail.com" TargetMode="External"/><Relationship Id="rId31" Type="http://schemas.openxmlformats.org/officeDocument/2006/relationships/hyperlink" Target="mailto:manolesspantidakes@gmail.com" TargetMode="External"/><Relationship Id="rId52" Type="http://schemas.openxmlformats.org/officeDocument/2006/relationships/hyperlink" Target="mailto:farsaryvasiliky@gmail.com" TargetMode="External"/><Relationship Id="rId73" Type="http://schemas.openxmlformats.org/officeDocument/2006/relationships/hyperlink" Target="mailto:antonis.stamatakis2@yahoo.com" TargetMode="External"/><Relationship Id="rId78" Type="http://schemas.openxmlformats.org/officeDocument/2006/relationships/hyperlink" Target="mailto:tsikandilakisn@gmail.com" TargetMode="External"/><Relationship Id="rId94" Type="http://schemas.openxmlformats.org/officeDocument/2006/relationships/hyperlink" Target="mailto:christakim2007@gmail.com" TargetMode="External"/><Relationship Id="rId99" Type="http://schemas.openxmlformats.org/officeDocument/2006/relationships/hyperlink" Target="mailto:parasirieirini2007@gmail.com,%20g" TargetMode="External"/><Relationship Id="rId101" Type="http://schemas.openxmlformats.org/officeDocument/2006/relationships/hyperlink" Target="mailto:gianneskoutsogiannakes@gmail.com" TargetMode="External"/><Relationship Id="rId122" Type="http://schemas.openxmlformats.org/officeDocument/2006/relationships/hyperlink" Target="mailto:nikoszaxarakhs96@yahoo.gr" TargetMode="External"/><Relationship Id="rId143" Type="http://schemas.openxmlformats.org/officeDocument/2006/relationships/hyperlink" Target="mailto:info@zaxaroplasteiokoumakis.gr" TargetMode="External"/><Relationship Id="rId148" Type="http://schemas.openxmlformats.org/officeDocument/2006/relationships/hyperlink" Target="mailto:neonakimar@yahoo.gr" TargetMode="External"/><Relationship Id="rId164" Type="http://schemas.openxmlformats.org/officeDocument/2006/relationships/hyperlink" Target="mailto:aleksgreqi@gmail.com" TargetMode="External"/><Relationship Id="rId169" Type="http://schemas.openxmlformats.org/officeDocument/2006/relationships/table" Target="../tables/table5.xml"/><Relationship Id="rId4" Type="http://schemas.openxmlformats.org/officeDocument/2006/relationships/hyperlink" Target="mailto:ni.anagnostaki@gmail.com" TargetMode="External"/><Relationship Id="rId9" Type="http://schemas.openxmlformats.org/officeDocument/2006/relationships/hyperlink" Target="mailto:nioniosvog@hotmail.com" TargetMode="External"/><Relationship Id="rId26" Type="http://schemas.openxmlformats.org/officeDocument/2006/relationships/hyperlink" Target="mailto:mixalismarakis2005@gmail.com" TargetMode="External"/><Relationship Id="rId47" Type="http://schemas.openxmlformats.org/officeDocument/2006/relationships/hyperlink" Target="mailto:stellafragkiadaki23@gmail.com" TargetMode="External"/><Relationship Id="rId68" Type="http://schemas.openxmlformats.org/officeDocument/2006/relationships/hyperlink" Target="mailto:tzanidama@yahoo.gr" TargetMode="External"/><Relationship Id="rId89" Type="http://schemas.openxmlformats.org/officeDocument/2006/relationships/hyperlink" Target="mailto:el.georgioudaki@gmail.com" TargetMode="External"/><Relationship Id="rId112" Type="http://schemas.openxmlformats.org/officeDocument/2006/relationships/hyperlink" Target="mailto:sgeorgantonaki@gmail.com" TargetMode="External"/><Relationship Id="rId133" Type="http://schemas.openxmlformats.org/officeDocument/2006/relationships/hyperlink" Target="mailto:malliotxenia@gmail.com" TargetMode="External"/><Relationship Id="rId154" Type="http://schemas.openxmlformats.org/officeDocument/2006/relationships/hyperlink" Target="mailto:dpapadomanolakis@uniwa.gr" TargetMode="External"/><Relationship Id="rId16" Type="http://schemas.openxmlformats.org/officeDocument/2006/relationships/hyperlink" Target="mailto:ptrypaki@yahoo.gr" TargetMode="External"/><Relationship Id="rId37" Type="http://schemas.openxmlformats.org/officeDocument/2006/relationships/hyperlink" Target="mailto:cris_takis@windowslive.com" TargetMode="External"/><Relationship Id="rId58" Type="http://schemas.openxmlformats.org/officeDocument/2006/relationships/hyperlink" Target="mailto:shamper2007@gmail.com" TargetMode="External"/><Relationship Id="rId79" Type="http://schemas.openxmlformats.org/officeDocument/2006/relationships/hyperlink" Target="mailto:chtrigoni@gmail.com" TargetMode="External"/><Relationship Id="rId102" Type="http://schemas.openxmlformats.org/officeDocument/2006/relationships/hyperlink" Target="mailto:iwona55@windowslive.com" TargetMode="External"/><Relationship Id="rId123" Type="http://schemas.openxmlformats.org/officeDocument/2006/relationships/hyperlink" Target="mailto:sofia.krous@gmail.com" TargetMode="External"/><Relationship Id="rId144" Type="http://schemas.openxmlformats.org/officeDocument/2006/relationships/hyperlink" Target="mailto:kirlakismarios@gmail.com" TargetMode="External"/><Relationship Id="rId90" Type="http://schemas.openxmlformats.org/officeDocument/2006/relationships/hyperlink" Target="mailto:nikoszaxarakhs96@yahoo.gr" TargetMode="External"/><Relationship Id="rId165" Type="http://schemas.openxmlformats.org/officeDocument/2006/relationships/hyperlink" Target="mailto:georgiaveloglou05@gmail.com" TargetMode="External"/><Relationship Id="rId27" Type="http://schemas.openxmlformats.org/officeDocument/2006/relationships/hyperlink" Target="mailto:basomad@gmail.com" TargetMode="External"/><Relationship Id="rId48" Type="http://schemas.openxmlformats.org/officeDocument/2006/relationships/hyperlink" Target="mailto:manolakakimaria@yahoo.gr" TargetMode="External"/><Relationship Id="rId69" Type="http://schemas.openxmlformats.org/officeDocument/2006/relationships/hyperlink" Target="mailto:galateiant@gmail.com" TargetMode="External"/><Relationship Id="rId113" Type="http://schemas.openxmlformats.org/officeDocument/2006/relationships/hyperlink" Target="mailto:koumchristos@gmail.com" TargetMode="External"/><Relationship Id="rId134" Type="http://schemas.openxmlformats.org/officeDocument/2006/relationships/hyperlink" Target="mailto:mariamaragkaki@yahoo.gr" TargetMode="External"/><Relationship Id="rId80" Type="http://schemas.openxmlformats.org/officeDocument/2006/relationships/hyperlink" Target="mailto:papadakimar44@gmail.com" TargetMode="External"/><Relationship Id="rId155" Type="http://schemas.openxmlformats.org/officeDocument/2006/relationships/hyperlink" Target="mailto:koundouraki@katartisi.gr" TargetMode="External"/><Relationship Id="rId17" Type="http://schemas.openxmlformats.org/officeDocument/2006/relationships/hyperlink" Target="mailto:kirlakismarios@gmail.com" TargetMode="External"/><Relationship Id="rId38" Type="http://schemas.openxmlformats.org/officeDocument/2006/relationships/hyperlink" Target="mailto:sitormarina@gmail.com" TargetMode="External"/><Relationship Id="rId59" Type="http://schemas.openxmlformats.org/officeDocument/2006/relationships/hyperlink" Target="mailto:georgia.sk1708@gmail.com" TargetMode="External"/><Relationship Id="rId103" Type="http://schemas.openxmlformats.org/officeDocument/2006/relationships/hyperlink" Target="mailto:anasta.nicole@gmail.com" TargetMode="External"/><Relationship Id="rId124" Type="http://schemas.openxmlformats.org/officeDocument/2006/relationships/hyperlink" Target="mailto:eugeniapetrogiannaki1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5717-0CAA-424E-825A-7A3D0F8112B7}">
  <dimension ref="A1:G733"/>
  <sheetViews>
    <sheetView topLeftCell="A158" zoomScale="84" zoomScaleNormal="84" workbookViewId="0">
      <selection activeCell="K276" sqref="K276"/>
    </sheetView>
  </sheetViews>
  <sheetFormatPr defaultRowHeight="15"/>
  <cols>
    <col min="1" max="1" width="34.7109375" style="82" customWidth="1"/>
    <col min="2" max="2" width="20" style="3" customWidth="1"/>
    <col min="3" max="3" width="20.140625" style="3" bestFit="1" customWidth="1"/>
    <col min="4" max="4" width="16.7109375" style="3" bestFit="1" customWidth="1"/>
    <col min="7" max="7" width="54.85546875" style="979" customWidth="1"/>
  </cols>
  <sheetData>
    <row r="1" spans="1:7">
      <c r="A1" s="334" t="s">
        <v>3730</v>
      </c>
      <c r="B1" s="186" t="s">
        <v>3256</v>
      </c>
      <c r="C1" s="186" t="s">
        <v>3257</v>
      </c>
      <c r="D1" s="334" t="s">
        <v>3263</v>
      </c>
      <c r="G1" s="1135" t="s">
        <v>3591</v>
      </c>
    </row>
    <row r="2" spans="1:7">
      <c r="A2" s="2" t="s">
        <v>1154</v>
      </c>
      <c r="B2" s="3">
        <v>10</v>
      </c>
      <c r="C2" s="3">
        <v>9</v>
      </c>
      <c r="D2" s="2">
        <v>9</v>
      </c>
      <c r="G2" s="1135"/>
    </row>
    <row r="3" spans="1:7">
      <c r="A3" s="2" t="s">
        <v>2678</v>
      </c>
      <c r="B3" s="136">
        <v>9</v>
      </c>
      <c r="C3" s="136">
        <v>10</v>
      </c>
      <c r="D3" s="2">
        <v>10</v>
      </c>
      <c r="G3" s="1135"/>
    </row>
    <row r="4" spans="1:7" ht="30">
      <c r="A4" s="2" t="s">
        <v>1187</v>
      </c>
      <c r="B4" s="136">
        <v>10</v>
      </c>
      <c r="C4" s="136">
        <v>8</v>
      </c>
      <c r="D4" s="2">
        <v>8</v>
      </c>
      <c r="G4" s="1135"/>
    </row>
    <row r="5" spans="1:7" ht="30">
      <c r="A5" s="2" t="s">
        <v>1161</v>
      </c>
      <c r="B5" s="136">
        <v>10</v>
      </c>
      <c r="C5" s="136">
        <v>8</v>
      </c>
      <c r="D5" s="2">
        <v>8</v>
      </c>
      <c r="G5" s="1135"/>
    </row>
    <row r="6" spans="1:7">
      <c r="A6" s="2" t="s">
        <v>1144</v>
      </c>
      <c r="B6" s="136">
        <v>10</v>
      </c>
      <c r="C6" s="136">
        <v>10</v>
      </c>
      <c r="D6" s="2">
        <v>10</v>
      </c>
      <c r="G6" s="1135"/>
    </row>
    <row r="7" spans="1:7" ht="30">
      <c r="A7" s="2" t="s">
        <v>1192</v>
      </c>
      <c r="B7" s="3">
        <v>10</v>
      </c>
      <c r="C7" s="3">
        <v>9</v>
      </c>
      <c r="D7" s="2">
        <v>9</v>
      </c>
      <c r="G7" s="1135"/>
    </row>
    <row r="8" spans="1:7">
      <c r="A8" s="2" t="s">
        <v>3486</v>
      </c>
      <c r="B8" s="136">
        <v>7</v>
      </c>
      <c r="C8" s="3">
        <v>9</v>
      </c>
      <c r="D8" s="2">
        <v>9</v>
      </c>
      <c r="G8" s="1135"/>
    </row>
    <row r="9" spans="1:7">
      <c r="A9" s="2"/>
      <c r="D9" s="2"/>
      <c r="G9" s="1135"/>
    </row>
    <row r="10" spans="1:7">
      <c r="A10" s="334" t="s">
        <v>3258</v>
      </c>
      <c r="B10" s="186" t="s">
        <v>3256</v>
      </c>
      <c r="C10" s="186" t="s">
        <v>3257</v>
      </c>
      <c r="D10" s="334" t="s">
        <v>3263</v>
      </c>
      <c r="G10" s="1135"/>
    </row>
    <row r="11" spans="1:7">
      <c r="A11" s="2" t="s">
        <v>1154</v>
      </c>
      <c r="B11" s="3">
        <v>8</v>
      </c>
      <c r="C11" s="3">
        <v>8</v>
      </c>
      <c r="D11" s="2">
        <v>8</v>
      </c>
      <c r="G11" s="1135"/>
    </row>
    <row r="12" spans="1:7">
      <c r="A12" s="2" t="s">
        <v>2678</v>
      </c>
      <c r="B12" s="3">
        <v>6</v>
      </c>
      <c r="C12" s="3">
        <v>10</v>
      </c>
      <c r="D12" s="2">
        <v>9</v>
      </c>
      <c r="G12" s="1135"/>
    </row>
    <row r="13" spans="1:7" ht="30">
      <c r="A13" s="2" t="s">
        <v>1187</v>
      </c>
      <c r="B13" s="3">
        <v>9</v>
      </c>
      <c r="C13" s="3">
        <v>10</v>
      </c>
      <c r="D13" s="2">
        <v>10</v>
      </c>
      <c r="G13" s="1135"/>
    </row>
    <row r="14" spans="1:7" ht="30">
      <c r="A14" s="2" t="s">
        <v>1161</v>
      </c>
      <c r="B14" s="3">
        <v>10</v>
      </c>
      <c r="C14" s="3">
        <v>10</v>
      </c>
      <c r="D14" s="2">
        <v>10</v>
      </c>
      <c r="G14" s="1135"/>
    </row>
    <row r="15" spans="1:7">
      <c r="A15" s="2" t="s">
        <v>1144</v>
      </c>
      <c r="B15" s="3">
        <v>10</v>
      </c>
      <c r="C15" s="3">
        <v>9</v>
      </c>
      <c r="D15" s="2">
        <v>9</v>
      </c>
      <c r="G15" s="1135"/>
    </row>
    <row r="16" spans="1:7" ht="30">
      <c r="A16" s="2" t="s">
        <v>1192</v>
      </c>
      <c r="B16" s="3">
        <v>10</v>
      </c>
      <c r="C16" s="3">
        <v>9</v>
      </c>
      <c r="D16" s="2">
        <v>9</v>
      </c>
      <c r="G16" s="1135"/>
    </row>
    <row r="17" spans="1:7">
      <c r="A17" s="2" t="s">
        <v>3486</v>
      </c>
      <c r="B17" s="3">
        <v>7</v>
      </c>
      <c r="C17" s="3">
        <v>8</v>
      </c>
      <c r="D17" s="2">
        <v>8</v>
      </c>
      <c r="G17" s="1135"/>
    </row>
    <row r="18" spans="1:7">
      <c r="A18" s="2"/>
      <c r="D18" s="2"/>
      <c r="G18" s="1135"/>
    </row>
    <row r="19" spans="1:7">
      <c r="A19" s="334" t="s">
        <v>3259</v>
      </c>
      <c r="B19" s="186" t="s">
        <v>3256</v>
      </c>
      <c r="C19" s="186" t="s">
        <v>3257</v>
      </c>
      <c r="D19" s="334" t="s">
        <v>3263</v>
      </c>
      <c r="G19" s="1135"/>
    </row>
    <row r="20" spans="1:7">
      <c r="A20" s="2" t="s">
        <v>1154</v>
      </c>
      <c r="B20" s="3">
        <v>8</v>
      </c>
      <c r="C20" s="3">
        <v>6</v>
      </c>
      <c r="D20" s="2">
        <v>6</v>
      </c>
      <c r="G20" s="1135"/>
    </row>
    <row r="21" spans="1:7">
      <c r="A21" s="2" t="s">
        <v>2678</v>
      </c>
      <c r="B21" s="3">
        <v>6</v>
      </c>
      <c r="C21" s="3">
        <v>8</v>
      </c>
      <c r="D21" s="2">
        <v>8</v>
      </c>
      <c r="G21" s="1135"/>
    </row>
    <row r="22" spans="1:7" ht="30">
      <c r="A22" s="2" t="s">
        <v>1187</v>
      </c>
      <c r="B22" s="3">
        <v>8</v>
      </c>
      <c r="C22" s="3">
        <v>9</v>
      </c>
      <c r="D22" s="2">
        <v>9</v>
      </c>
      <c r="G22" s="1135"/>
    </row>
    <row r="23" spans="1:7" ht="30">
      <c r="A23" s="2" t="s">
        <v>1161</v>
      </c>
      <c r="B23" s="3">
        <v>10</v>
      </c>
      <c r="C23" s="3">
        <v>9</v>
      </c>
      <c r="D23" s="2">
        <v>9</v>
      </c>
      <c r="G23" s="1135"/>
    </row>
    <row r="24" spans="1:7">
      <c r="A24" s="2" t="s">
        <v>1144</v>
      </c>
      <c r="B24" s="3">
        <v>10</v>
      </c>
      <c r="C24" s="3">
        <v>7</v>
      </c>
      <c r="D24" s="2">
        <v>8</v>
      </c>
      <c r="G24" s="1135"/>
    </row>
    <row r="25" spans="1:7" ht="30">
      <c r="A25" s="2" t="s">
        <v>1192</v>
      </c>
      <c r="B25" s="3">
        <v>8</v>
      </c>
      <c r="C25" s="3">
        <v>7</v>
      </c>
      <c r="D25" s="2">
        <v>7</v>
      </c>
      <c r="G25" s="1135"/>
    </row>
    <row r="26" spans="1:7">
      <c r="A26" s="2" t="s">
        <v>3486</v>
      </c>
      <c r="B26" s="3">
        <v>10</v>
      </c>
      <c r="C26" s="3">
        <v>7</v>
      </c>
      <c r="D26" s="2">
        <v>8</v>
      </c>
      <c r="G26" s="1135"/>
    </row>
    <row r="27" spans="1:7">
      <c r="A27" s="2"/>
      <c r="D27" s="2"/>
      <c r="G27" s="1135"/>
    </row>
    <row r="28" spans="1:7">
      <c r="A28" s="334" t="s">
        <v>3260</v>
      </c>
      <c r="B28" s="186" t="s">
        <v>3256</v>
      </c>
      <c r="C28" s="186" t="s">
        <v>3257</v>
      </c>
      <c r="D28" s="334" t="s">
        <v>3263</v>
      </c>
      <c r="G28" s="1135"/>
    </row>
    <row r="29" spans="1:7">
      <c r="A29" s="2" t="s">
        <v>1154</v>
      </c>
      <c r="B29" s="3">
        <v>10</v>
      </c>
      <c r="C29" s="3">
        <v>9</v>
      </c>
      <c r="D29" s="2">
        <v>9</v>
      </c>
      <c r="G29" s="1135"/>
    </row>
    <row r="30" spans="1:7">
      <c r="A30" s="2" t="s">
        <v>2678</v>
      </c>
      <c r="B30" s="3">
        <v>8</v>
      </c>
      <c r="C30" s="3">
        <v>10</v>
      </c>
      <c r="D30" s="2">
        <v>10</v>
      </c>
      <c r="G30" s="1135"/>
    </row>
    <row r="31" spans="1:7" ht="30">
      <c r="A31" s="2" t="s">
        <v>1187</v>
      </c>
      <c r="B31" s="3">
        <v>10</v>
      </c>
      <c r="C31" s="3">
        <v>10</v>
      </c>
      <c r="D31" s="2">
        <v>10</v>
      </c>
      <c r="G31" s="1135"/>
    </row>
    <row r="32" spans="1:7" ht="30">
      <c r="A32" s="2" t="s">
        <v>1161</v>
      </c>
      <c r="B32" s="3">
        <v>10</v>
      </c>
      <c r="C32" s="3">
        <v>10</v>
      </c>
      <c r="D32" s="2">
        <v>10</v>
      </c>
      <c r="G32" s="1135"/>
    </row>
    <row r="33" spans="1:7">
      <c r="A33" s="2" t="s">
        <v>1144</v>
      </c>
      <c r="B33" s="3">
        <v>10</v>
      </c>
      <c r="C33" s="3">
        <v>10</v>
      </c>
      <c r="D33" s="2">
        <v>10</v>
      </c>
      <c r="G33" s="1135"/>
    </row>
    <row r="34" spans="1:7" ht="30">
      <c r="A34" s="2" t="s">
        <v>1192</v>
      </c>
      <c r="B34" s="3">
        <v>10</v>
      </c>
      <c r="C34" s="3">
        <v>10</v>
      </c>
      <c r="D34" s="2">
        <v>10</v>
      </c>
      <c r="G34" s="1135"/>
    </row>
    <row r="35" spans="1:7">
      <c r="A35" s="2" t="s">
        <v>3486</v>
      </c>
      <c r="B35" s="3">
        <v>10</v>
      </c>
      <c r="C35" s="3">
        <v>10</v>
      </c>
      <c r="D35" s="2">
        <v>10</v>
      </c>
      <c r="G35" s="1135"/>
    </row>
    <row r="36" spans="1:7">
      <c r="A36" s="2"/>
      <c r="D36" s="2"/>
      <c r="G36" s="1135"/>
    </row>
    <row r="37" spans="1:7">
      <c r="A37" s="2"/>
      <c r="D37" s="2"/>
      <c r="G37" s="1135"/>
    </row>
    <row r="38" spans="1:7">
      <c r="A38" s="334" t="s">
        <v>3261</v>
      </c>
      <c r="B38" s="186" t="s">
        <v>3256</v>
      </c>
      <c r="C38" s="186" t="s">
        <v>3257</v>
      </c>
      <c r="D38" s="334" t="s">
        <v>3263</v>
      </c>
      <c r="G38" s="1135"/>
    </row>
    <row r="39" spans="1:7">
      <c r="A39" s="2" t="s">
        <v>1154</v>
      </c>
      <c r="B39" s="3">
        <v>10</v>
      </c>
      <c r="C39" s="3">
        <v>10</v>
      </c>
      <c r="D39" s="2">
        <v>10</v>
      </c>
      <c r="G39" s="1135"/>
    </row>
    <row r="40" spans="1:7">
      <c r="A40" s="2" t="s">
        <v>2678</v>
      </c>
      <c r="B40" s="3">
        <v>9</v>
      </c>
      <c r="C40" s="3">
        <v>10</v>
      </c>
      <c r="D40" s="2">
        <v>10</v>
      </c>
      <c r="G40" s="1135"/>
    </row>
    <row r="41" spans="1:7" ht="30">
      <c r="A41" s="2" t="s">
        <v>1187</v>
      </c>
      <c r="B41" s="3">
        <v>10</v>
      </c>
      <c r="C41" s="3">
        <v>10</v>
      </c>
      <c r="D41" s="2">
        <v>10</v>
      </c>
      <c r="G41" s="1135"/>
    </row>
    <row r="42" spans="1:7" ht="30">
      <c r="A42" s="2" t="s">
        <v>1161</v>
      </c>
      <c r="B42" s="3">
        <v>10</v>
      </c>
      <c r="C42" s="3">
        <v>10</v>
      </c>
      <c r="D42" s="2">
        <v>10</v>
      </c>
      <c r="G42" s="1135"/>
    </row>
    <row r="43" spans="1:7">
      <c r="A43" s="2" t="s">
        <v>1144</v>
      </c>
      <c r="B43" s="3">
        <v>10</v>
      </c>
      <c r="C43" s="3">
        <v>10</v>
      </c>
      <c r="D43" s="2">
        <v>10</v>
      </c>
      <c r="G43" s="1135"/>
    </row>
    <row r="44" spans="1:7" ht="30">
      <c r="A44" s="2" t="s">
        <v>1192</v>
      </c>
      <c r="B44" s="3">
        <v>10</v>
      </c>
      <c r="C44" s="3">
        <v>9</v>
      </c>
      <c r="D44" s="2">
        <v>9</v>
      </c>
      <c r="G44" s="1135"/>
    </row>
    <row r="45" spans="1:7">
      <c r="A45" s="2" t="s">
        <v>3486</v>
      </c>
      <c r="B45" s="3">
        <v>10</v>
      </c>
      <c r="C45" s="3">
        <v>8</v>
      </c>
      <c r="D45" s="2">
        <v>8</v>
      </c>
      <c r="G45" s="1135"/>
    </row>
    <row r="46" spans="1:7">
      <c r="A46" s="2"/>
      <c r="D46" s="2"/>
    </row>
    <row r="47" spans="1:7">
      <c r="A47" s="334" t="s">
        <v>3264</v>
      </c>
      <c r="B47" s="186" t="s">
        <v>3256</v>
      </c>
      <c r="C47" s="186" t="s">
        <v>3257</v>
      </c>
      <c r="D47" s="334" t="s">
        <v>3263</v>
      </c>
      <c r="G47" s="1136" t="s">
        <v>3510</v>
      </c>
    </row>
    <row r="48" spans="1:7" ht="30">
      <c r="A48" s="2" t="s">
        <v>3487</v>
      </c>
      <c r="B48" s="3">
        <v>5</v>
      </c>
      <c r="C48" s="3">
        <v>9</v>
      </c>
      <c r="D48" s="2">
        <v>8</v>
      </c>
      <c r="G48" s="1136"/>
    </row>
    <row r="49" spans="1:7">
      <c r="A49" s="2" t="s">
        <v>1171</v>
      </c>
      <c r="B49" s="3">
        <v>7</v>
      </c>
      <c r="C49" s="3">
        <v>10</v>
      </c>
      <c r="D49" s="2">
        <v>9</v>
      </c>
      <c r="G49" s="1136"/>
    </row>
    <row r="50" spans="1:7">
      <c r="A50" s="2" t="s">
        <v>3364</v>
      </c>
      <c r="B50" s="136">
        <v>10</v>
      </c>
      <c r="C50" s="136">
        <v>10</v>
      </c>
      <c r="D50" s="2">
        <v>10</v>
      </c>
      <c r="G50" s="1136"/>
    </row>
    <row r="51" spans="1:7" ht="30">
      <c r="A51" s="2" t="s">
        <v>1181</v>
      </c>
      <c r="B51" s="3">
        <v>8</v>
      </c>
      <c r="C51" s="3">
        <v>8</v>
      </c>
      <c r="D51" s="2">
        <v>8</v>
      </c>
      <c r="G51" s="1136"/>
    </row>
    <row r="52" spans="1:7">
      <c r="A52" s="2" t="s">
        <v>1163</v>
      </c>
      <c r="B52" s="136">
        <v>8</v>
      </c>
      <c r="C52" s="136">
        <v>7</v>
      </c>
      <c r="D52" s="2">
        <v>7</v>
      </c>
      <c r="G52" s="1136"/>
    </row>
    <row r="53" spans="1:7">
      <c r="A53" s="2"/>
      <c r="D53" s="2"/>
      <c r="G53" s="1136"/>
    </row>
    <row r="54" spans="1:7">
      <c r="A54" s="334" t="s">
        <v>3265</v>
      </c>
      <c r="B54" s="186" t="s">
        <v>3256</v>
      </c>
      <c r="C54" s="186" t="s">
        <v>3257</v>
      </c>
      <c r="D54" s="334" t="s">
        <v>3263</v>
      </c>
      <c r="G54" s="1136"/>
    </row>
    <row r="55" spans="1:7" ht="30">
      <c r="A55" s="2" t="s">
        <v>3487</v>
      </c>
      <c r="B55" s="3">
        <v>9</v>
      </c>
      <c r="C55" s="3">
        <v>9</v>
      </c>
      <c r="D55" s="2">
        <v>9</v>
      </c>
      <c r="G55" s="1136"/>
    </row>
    <row r="56" spans="1:7">
      <c r="A56" s="2" t="s">
        <v>1171</v>
      </c>
      <c r="B56" s="3">
        <v>1</v>
      </c>
      <c r="C56" s="3">
        <v>9</v>
      </c>
      <c r="D56" s="2">
        <v>7</v>
      </c>
      <c r="G56" s="1136"/>
    </row>
    <row r="57" spans="1:7">
      <c r="A57" s="2" t="s">
        <v>3364</v>
      </c>
      <c r="B57" s="3">
        <v>7</v>
      </c>
      <c r="C57" s="3">
        <v>9</v>
      </c>
      <c r="D57" s="2">
        <v>9</v>
      </c>
      <c r="G57" s="1136"/>
    </row>
    <row r="58" spans="1:7" ht="30">
      <c r="A58" s="2" t="s">
        <v>1181</v>
      </c>
      <c r="B58" s="3">
        <v>8</v>
      </c>
      <c r="C58" s="3">
        <v>10</v>
      </c>
      <c r="D58" s="2">
        <v>10</v>
      </c>
      <c r="G58" s="1136"/>
    </row>
    <row r="59" spans="1:7">
      <c r="A59" s="2" t="s">
        <v>1163</v>
      </c>
      <c r="B59" s="3">
        <v>1</v>
      </c>
      <c r="C59" s="3">
        <v>7</v>
      </c>
      <c r="D59" s="2">
        <v>6</v>
      </c>
      <c r="G59" s="1136"/>
    </row>
    <row r="60" spans="1:7">
      <c r="A60" s="2"/>
      <c r="D60" s="2"/>
      <c r="G60" s="1136"/>
    </row>
    <row r="61" spans="1:7">
      <c r="A61" s="334" t="s">
        <v>3266</v>
      </c>
      <c r="B61" s="186" t="s">
        <v>3256</v>
      </c>
      <c r="C61" s="186" t="s">
        <v>3257</v>
      </c>
      <c r="D61" s="334" t="s">
        <v>3263</v>
      </c>
      <c r="G61" s="1136"/>
    </row>
    <row r="62" spans="1:7" ht="30">
      <c r="A62" s="2" t="s">
        <v>3487</v>
      </c>
      <c r="B62" s="3">
        <v>9</v>
      </c>
      <c r="C62" s="3">
        <v>9</v>
      </c>
      <c r="D62" s="2">
        <v>9</v>
      </c>
      <c r="G62" s="1136"/>
    </row>
    <row r="63" spans="1:7">
      <c r="A63" s="2" t="s">
        <v>1171</v>
      </c>
      <c r="B63" s="3">
        <v>9</v>
      </c>
      <c r="C63" s="3">
        <v>10</v>
      </c>
      <c r="D63" s="2">
        <v>10</v>
      </c>
      <c r="G63" s="1136"/>
    </row>
    <row r="64" spans="1:7">
      <c r="A64" s="2" t="s">
        <v>3364</v>
      </c>
      <c r="B64" s="3">
        <v>10</v>
      </c>
      <c r="C64" s="3">
        <v>10</v>
      </c>
      <c r="D64" s="2">
        <v>10</v>
      </c>
      <c r="G64" s="1136"/>
    </row>
    <row r="65" spans="1:7" ht="30">
      <c r="A65" s="2" t="s">
        <v>1181</v>
      </c>
      <c r="B65" s="3">
        <v>10</v>
      </c>
      <c r="C65" s="3">
        <v>9</v>
      </c>
      <c r="D65" s="2">
        <v>9</v>
      </c>
      <c r="G65" s="1136"/>
    </row>
    <row r="66" spans="1:7">
      <c r="A66" s="2" t="s">
        <v>1163</v>
      </c>
      <c r="B66" s="3">
        <v>10</v>
      </c>
      <c r="C66" s="3">
        <v>10</v>
      </c>
      <c r="D66" s="2">
        <v>10</v>
      </c>
      <c r="G66" s="1136"/>
    </row>
    <row r="67" spans="1:7">
      <c r="A67" s="2"/>
      <c r="D67" s="2"/>
      <c r="G67" s="1136"/>
    </row>
    <row r="68" spans="1:7">
      <c r="A68" s="334" t="s">
        <v>3267</v>
      </c>
      <c r="B68" s="186" t="s">
        <v>3256</v>
      </c>
      <c r="C68" s="186" t="s">
        <v>3257</v>
      </c>
      <c r="D68" s="334" t="s">
        <v>3263</v>
      </c>
      <c r="G68" s="1136"/>
    </row>
    <row r="69" spans="1:7" ht="30">
      <c r="A69" s="2" t="s">
        <v>3487</v>
      </c>
      <c r="B69" s="3">
        <v>10</v>
      </c>
      <c r="C69" s="3">
        <v>9</v>
      </c>
      <c r="D69" s="2">
        <v>9</v>
      </c>
      <c r="G69" s="1136"/>
    </row>
    <row r="70" spans="1:7">
      <c r="A70" s="2" t="s">
        <v>1171</v>
      </c>
      <c r="B70" s="3">
        <v>8</v>
      </c>
      <c r="C70" s="3">
        <v>10</v>
      </c>
      <c r="D70" s="2">
        <v>10</v>
      </c>
      <c r="G70" s="1136"/>
    </row>
    <row r="71" spans="1:7">
      <c r="A71" s="2" t="s">
        <v>3364</v>
      </c>
      <c r="B71" s="3">
        <v>10</v>
      </c>
      <c r="C71" s="3">
        <v>10</v>
      </c>
      <c r="D71" s="2">
        <v>10</v>
      </c>
      <c r="G71" s="1136"/>
    </row>
    <row r="72" spans="1:7" ht="30">
      <c r="A72" s="2" t="s">
        <v>1181</v>
      </c>
      <c r="B72" s="3">
        <v>9</v>
      </c>
      <c r="C72" s="3">
        <v>9</v>
      </c>
      <c r="D72" s="2">
        <v>9</v>
      </c>
      <c r="G72" s="1136"/>
    </row>
    <row r="73" spans="1:7">
      <c r="A73" s="2" t="s">
        <v>1163</v>
      </c>
      <c r="B73" s="3">
        <v>10</v>
      </c>
      <c r="C73" s="3">
        <v>10</v>
      </c>
      <c r="D73" s="2">
        <v>10</v>
      </c>
      <c r="G73" s="1136"/>
    </row>
    <row r="74" spans="1:7">
      <c r="A74" s="2"/>
      <c r="D74" s="2"/>
      <c r="G74" s="1136"/>
    </row>
    <row r="75" spans="1:7">
      <c r="A75" s="441" t="s">
        <v>3268</v>
      </c>
      <c r="B75" s="993" t="s">
        <v>3256</v>
      </c>
      <c r="C75" s="993" t="s">
        <v>3257</v>
      </c>
      <c r="D75" s="441" t="s">
        <v>3263</v>
      </c>
      <c r="G75" s="1136"/>
    </row>
    <row r="76" spans="1:7" ht="30">
      <c r="A76" s="992" t="s">
        <v>3487</v>
      </c>
      <c r="B76" s="366" t="s">
        <v>771</v>
      </c>
      <c r="C76" s="366" t="s">
        <v>771</v>
      </c>
      <c r="D76" s="992" t="s">
        <v>771</v>
      </c>
      <c r="G76" s="1136"/>
    </row>
    <row r="77" spans="1:7">
      <c r="A77" s="992" t="s">
        <v>1171</v>
      </c>
      <c r="B77" s="366" t="s">
        <v>771</v>
      </c>
      <c r="C77" s="366" t="s">
        <v>771</v>
      </c>
      <c r="D77" s="992" t="s">
        <v>771</v>
      </c>
      <c r="G77" s="1136"/>
    </row>
    <row r="78" spans="1:7">
      <c r="A78" s="992" t="s">
        <v>3364</v>
      </c>
      <c r="B78" s="366" t="s">
        <v>771</v>
      </c>
      <c r="C78" s="366" t="s">
        <v>771</v>
      </c>
      <c r="D78" s="992" t="s">
        <v>771</v>
      </c>
      <c r="G78" s="1136"/>
    </row>
    <row r="79" spans="1:7" ht="30">
      <c r="A79" s="992" t="s">
        <v>1181</v>
      </c>
      <c r="B79" s="366" t="s">
        <v>771</v>
      </c>
      <c r="C79" s="366" t="s">
        <v>771</v>
      </c>
      <c r="D79" s="992" t="s">
        <v>771</v>
      </c>
      <c r="G79" s="1136"/>
    </row>
    <row r="80" spans="1:7">
      <c r="A80" s="992" t="s">
        <v>1163</v>
      </c>
      <c r="B80" s="366" t="s">
        <v>771</v>
      </c>
      <c r="C80" s="366" t="s">
        <v>771</v>
      </c>
      <c r="D80" s="992" t="s">
        <v>771</v>
      </c>
      <c r="G80" s="1136"/>
    </row>
    <row r="81" spans="1:7">
      <c r="A81" s="2"/>
      <c r="D81" s="2"/>
      <c r="G81" s="1136"/>
    </row>
    <row r="82" spans="1:7" ht="30">
      <c r="A82" s="334" t="s">
        <v>3269</v>
      </c>
      <c r="B82" s="186" t="s">
        <v>3256</v>
      </c>
      <c r="C82" s="186" t="s">
        <v>3257</v>
      </c>
      <c r="D82" s="334" t="s">
        <v>3263</v>
      </c>
      <c r="G82" s="1136"/>
    </row>
    <row r="83" spans="1:7" ht="30">
      <c r="A83" s="2" t="s">
        <v>3487</v>
      </c>
      <c r="B83" s="3">
        <v>10</v>
      </c>
      <c r="C83" s="3">
        <v>10</v>
      </c>
      <c r="D83" s="2">
        <v>10</v>
      </c>
      <c r="G83" s="1136"/>
    </row>
    <row r="84" spans="1:7">
      <c r="A84" s="2" t="s">
        <v>1171</v>
      </c>
      <c r="B84" s="3">
        <v>9</v>
      </c>
      <c r="C84" s="3">
        <v>10</v>
      </c>
      <c r="D84" s="2">
        <v>10</v>
      </c>
      <c r="G84" s="1136"/>
    </row>
    <row r="85" spans="1:7">
      <c r="A85" s="2" t="s">
        <v>3364</v>
      </c>
      <c r="B85" s="3">
        <v>10</v>
      </c>
      <c r="C85" s="3">
        <v>9</v>
      </c>
      <c r="D85" s="2">
        <v>9</v>
      </c>
      <c r="G85" s="1136"/>
    </row>
    <row r="86" spans="1:7" ht="30">
      <c r="A86" s="2" t="s">
        <v>1181</v>
      </c>
      <c r="B86" s="3">
        <v>10</v>
      </c>
      <c r="C86" s="3">
        <v>10</v>
      </c>
      <c r="D86" s="2">
        <v>10</v>
      </c>
      <c r="G86" s="1136"/>
    </row>
    <row r="87" spans="1:7">
      <c r="A87" s="2" t="s">
        <v>1163</v>
      </c>
      <c r="B87" s="3">
        <v>10</v>
      </c>
      <c r="C87" s="3">
        <v>10</v>
      </c>
      <c r="D87" s="2">
        <v>10</v>
      </c>
      <c r="G87" s="1136"/>
    </row>
    <row r="88" spans="1:7">
      <c r="A88" s="2"/>
      <c r="D88" s="2"/>
      <c r="G88" s="1136"/>
    </row>
    <row r="89" spans="1:7">
      <c r="A89" s="334" t="s">
        <v>3270</v>
      </c>
      <c r="B89" s="186" t="s">
        <v>3256</v>
      </c>
      <c r="C89" s="186" t="s">
        <v>3257</v>
      </c>
      <c r="D89" s="334" t="s">
        <v>3263</v>
      </c>
      <c r="G89" s="1136"/>
    </row>
    <row r="90" spans="1:7" ht="30">
      <c r="A90" s="2" t="s">
        <v>3487</v>
      </c>
      <c r="B90" s="3">
        <v>10</v>
      </c>
      <c r="C90" s="3">
        <v>9</v>
      </c>
      <c r="D90" s="2">
        <v>9</v>
      </c>
      <c r="G90" s="1136"/>
    </row>
    <row r="91" spans="1:7">
      <c r="A91" s="2" t="s">
        <v>1171</v>
      </c>
      <c r="B91" s="3">
        <v>10</v>
      </c>
      <c r="C91" s="3">
        <v>10</v>
      </c>
      <c r="D91" s="2">
        <v>10</v>
      </c>
      <c r="G91" s="1136"/>
    </row>
    <row r="92" spans="1:7">
      <c r="A92" s="2" t="s">
        <v>3364</v>
      </c>
      <c r="B92" s="3">
        <v>10</v>
      </c>
      <c r="C92" s="3">
        <v>10</v>
      </c>
      <c r="D92" s="2">
        <v>10</v>
      </c>
      <c r="G92" s="1136"/>
    </row>
    <row r="93" spans="1:7" ht="30">
      <c r="A93" s="2" t="s">
        <v>1181</v>
      </c>
      <c r="B93" s="3">
        <v>10</v>
      </c>
      <c r="C93" s="3">
        <v>10</v>
      </c>
      <c r="D93" s="2">
        <v>10</v>
      </c>
      <c r="G93" s="1136"/>
    </row>
    <row r="94" spans="1:7">
      <c r="A94" s="2" t="s">
        <v>1163</v>
      </c>
      <c r="B94" s="3">
        <v>9</v>
      </c>
      <c r="C94" s="3">
        <v>9</v>
      </c>
      <c r="D94" s="2">
        <v>9</v>
      </c>
      <c r="G94" s="1136"/>
    </row>
    <row r="95" spans="1:7">
      <c r="A95" s="2"/>
      <c r="D95" s="2"/>
      <c r="G95" s="1136"/>
    </row>
    <row r="96" spans="1:7">
      <c r="A96" s="334" t="s">
        <v>818</v>
      </c>
      <c r="B96" s="186" t="s">
        <v>3256</v>
      </c>
      <c r="C96" s="186" t="s">
        <v>3257</v>
      </c>
      <c r="D96" s="334" t="s">
        <v>3263</v>
      </c>
      <c r="G96" s="1136"/>
    </row>
    <row r="97" spans="1:7" ht="30">
      <c r="A97" s="2" t="s">
        <v>3487</v>
      </c>
      <c r="B97" s="3">
        <v>9</v>
      </c>
      <c r="C97" s="3">
        <v>8</v>
      </c>
      <c r="D97" s="2">
        <v>8</v>
      </c>
      <c r="G97" s="1136"/>
    </row>
    <row r="98" spans="1:7">
      <c r="A98" s="2" t="s">
        <v>1171</v>
      </c>
      <c r="B98" s="3">
        <v>7</v>
      </c>
      <c r="C98" s="3">
        <v>9</v>
      </c>
      <c r="D98" s="2">
        <v>9</v>
      </c>
      <c r="G98" s="1136"/>
    </row>
    <row r="99" spans="1:7">
      <c r="A99" s="2" t="s">
        <v>3364</v>
      </c>
      <c r="B99" s="3">
        <v>10</v>
      </c>
      <c r="C99" s="3">
        <v>9</v>
      </c>
      <c r="D99" s="2">
        <v>9</v>
      </c>
      <c r="G99" s="1136"/>
    </row>
    <row r="100" spans="1:7" ht="30">
      <c r="A100" s="2" t="s">
        <v>1181</v>
      </c>
      <c r="B100" s="3">
        <v>9</v>
      </c>
      <c r="C100" s="3">
        <v>10</v>
      </c>
      <c r="D100" s="2">
        <v>10</v>
      </c>
      <c r="G100" s="1136"/>
    </row>
    <row r="101" spans="1:7">
      <c r="A101" s="2" t="s">
        <v>1163</v>
      </c>
      <c r="B101" s="3">
        <v>10</v>
      </c>
      <c r="C101" s="3">
        <v>10</v>
      </c>
      <c r="D101" s="2">
        <v>10</v>
      </c>
      <c r="G101" s="1136"/>
    </row>
    <row r="102" spans="1:7">
      <c r="A102" s="2"/>
      <c r="D102" s="2"/>
      <c r="G102" s="1136"/>
    </row>
    <row r="103" spans="1:7">
      <c r="A103" s="334" t="s">
        <v>3271</v>
      </c>
      <c r="B103" s="186" t="s">
        <v>3256</v>
      </c>
      <c r="C103" s="186" t="s">
        <v>3257</v>
      </c>
      <c r="D103" s="334" t="s">
        <v>3263</v>
      </c>
      <c r="G103" s="1136"/>
    </row>
    <row r="104" spans="1:7" ht="30">
      <c r="A104" s="2" t="s">
        <v>3487</v>
      </c>
      <c r="B104" s="3">
        <v>10</v>
      </c>
      <c r="C104" s="3">
        <v>9</v>
      </c>
      <c r="D104" s="2">
        <v>9</v>
      </c>
      <c r="G104" s="1136"/>
    </row>
    <row r="105" spans="1:7">
      <c r="A105" s="2" t="s">
        <v>1171</v>
      </c>
      <c r="B105" s="3">
        <v>8</v>
      </c>
      <c r="C105" s="3">
        <v>10</v>
      </c>
      <c r="D105" s="2">
        <v>10</v>
      </c>
      <c r="G105" s="1136"/>
    </row>
    <row r="106" spans="1:7">
      <c r="A106" s="2" t="s">
        <v>3364</v>
      </c>
      <c r="B106" s="3">
        <v>10</v>
      </c>
      <c r="C106" s="3">
        <v>10</v>
      </c>
      <c r="D106" s="2">
        <v>10</v>
      </c>
      <c r="G106" s="1136"/>
    </row>
    <row r="107" spans="1:7" ht="30">
      <c r="A107" s="2" t="s">
        <v>1181</v>
      </c>
      <c r="B107" s="3">
        <v>10</v>
      </c>
      <c r="C107" s="3">
        <v>10</v>
      </c>
      <c r="D107" s="2">
        <v>10</v>
      </c>
      <c r="G107" s="1136"/>
    </row>
    <row r="108" spans="1:7">
      <c r="A108" s="2" t="s">
        <v>1163</v>
      </c>
      <c r="B108" s="3">
        <v>9</v>
      </c>
      <c r="C108" s="3">
        <v>10</v>
      </c>
      <c r="D108" s="2">
        <v>10</v>
      </c>
      <c r="G108" s="1136"/>
    </row>
    <row r="109" spans="1:7">
      <c r="A109" s="2"/>
      <c r="D109" s="2"/>
    </row>
    <row r="110" spans="1:7">
      <c r="A110" s="334" t="s">
        <v>834</v>
      </c>
      <c r="B110" s="186" t="s">
        <v>3256</v>
      </c>
      <c r="C110" s="186" t="s">
        <v>3257</v>
      </c>
      <c r="D110" s="334" t="s">
        <v>3263</v>
      </c>
      <c r="G110" s="1137" t="s">
        <v>786</v>
      </c>
    </row>
    <row r="111" spans="1:7">
      <c r="A111" s="2" t="s">
        <v>1264</v>
      </c>
      <c r="B111" s="3">
        <v>1</v>
      </c>
      <c r="C111" s="3">
        <v>10</v>
      </c>
      <c r="D111" s="2">
        <v>8</v>
      </c>
      <c r="G111" s="1137"/>
    </row>
    <row r="112" spans="1:7" ht="30">
      <c r="A112" s="2" t="s">
        <v>1284</v>
      </c>
      <c r="B112" s="3">
        <v>1</v>
      </c>
      <c r="C112" s="3">
        <v>8</v>
      </c>
      <c r="D112" s="2">
        <v>7</v>
      </c>
      <c r="G112" s="1137"/>
    </row>
    <row r="113" spans="1:7" ht="30">
      <c r="A113" s="2" t="s">
        <v>1274</v>
      </c>
      <c r="B113" s="3">
        <v>7</v>
      </c>
      <c r="C113" s="3">
        <v>7</v>
      </c>
      <c r="D113" s="2">
        <v>7</v>
      </c>
      <c r="G113" s="1137"/>
    </row>
    <row r="114" spans="1:7">
      <c r="A114" s="2" t="s">
        <v>1279</v>
      </c>
      <c r="B114" s="3">
        <v>7</v>
      </c>
      <c r="C114" s="3">
        <v>9</v>
      </c>
      <c r="D114" s="2">
        <v>9</v>
      </c>
      <c r="G114" s="1137"/>
    </row>
    <row r="115" spans="1:7" ht="17.25">
      <c r="A115" s="838" t="s">
        <v>1269</v>
      </c>
      <c r="B115" s="3">
        <v>5</v>
      </c>
      <c r="C115" s="3">
        <v>5</v>
      </c>
      <c r="D115" s="2">
        <v>5</v>
      </c>
      <c r="G115" s="1137"/>
    </row>
    <row r="116" spans="1:7">
      <c r="A116" s="2" t="s">
        <v>3488</v>
      </c>
      <c r="B116" s="3">
        <v>6</v>
      </c>
      <c r="C116" s="3">
        <v>8</v>
      </c>
      <c r="D116" s="2">
        <v>8</v>
      </c>
      <c r="G116" s="1137"/>
    </row>
    <row r="117" spans="1:7">
      <c r="A117" s="2" t="s">
        <v>3489</v>
      </c>
      <c r="B117" s="3">
        <v>9</v>
      </c>
      <c r="C117" s="3">
        <v>9</v>
      </c>
      <c r="D117" s="2">
        <v>9</v>
      </c>
      <c r="G117" s="1137"/>
    </row>
    <row r="118" spans="1:7" ht="30">
      <c r="A118" s="2" t="s">
        <v>632</v>
      </c>
      <c r="B118" s="3">
        <v>1</v>
      </c>
      <c r="C118" s="3">
        <v>7</v>
      </c>
      <c r="D118" s="2">
        <v>6</v>
      </c>
      <c r="G118" s="1137"/>
    </row>
    <row r="119" spans="1:7">
      <c r="A119" s="2"/>
      <c r="D119" s="2"/>
      <c r="G119" s="1137"/>
    </row>
    <row r="120" spans="1:7" ht="30">
      <c r="A120" s="334" t="s">
        <v>3273</v>
      </c>
      <c r="B120" s="186" t="s">
        <v>3256</v>
      </c>
      <c r="C120" s="186" t="s">
        <v>3257</v>
      </c>
      <c r="D120" s="334" t="s">
        <v>3263</v>
      </c>
      <c r="G120" s="1137"/>
    </row>
    <row r="121" spans="1:7">
      <c r="A121" s="2" t="s">
        <v>1264</v>
      </c>
      <c r="B121" s="3">
        <v>7</v>
      </c>
      <c r="C121" s="3">
        <v>7</v>
      </c>
      <c r="D121" s="3">
        <v>7</v>
      </c>
      <c r="G121" s="1137"/>
    </row>
    <row r="122" spans="1:7" ht="30">
      <c r="A122" s="2" t="s">
        <v>1284</v>
      </c>
      <c r="B122" s="3">
        <v>9</v>
      </c>
      <c r="C122" s="3">
        <v>8</v>
      </c>
      <c r="D122" s="3">
        <v>8</v>
      </c>
      <c r="G122" s="1137"/>
    </row>
    <row r="123" spans="1:7" ht="30">
      <c r="A123" s="2" t="s">
        <v>1274</v>
      </c>
      <c r="B123" s="3">
        <v>8</v>
      </c>
      <c r="C123" s="3">
        <v>10</v>
      </c>
      <c r="D123" s="3">
        <v>10</v>
      </c>
      <c r="G123" s="1137"/>
    </row>
    <row r="124" spans="1:7">
      <c r="A124" s="2" t="s">
        <v>1279</v>
      </c>
      <c r="B124" s="3">
        <v>8</v>
      </c>
      <c r="C124" s="3">
        <v>9</v>
      </c>
      <c r="D124" s="3">
        <v>9</v>
      </c>
      <c r="G124" s="1137"/>
    </row>
    <row r="125" spans="1:7" ht="17.25">
      <c r="A125" s="838" t="s">
        <v>1269</v>
      </c>
      <c r="B125" s="3">
        <v>8</v>
      </c>
      <c r="C125" s="3">
        <v>8</v>
      </c>
      <c r="D125" s="3">
        <v>8</v>
      </c>
      <c r="G125" s="1137"/>
    </row>
    <row r="126" spans="1:7">
      <c r="A126" s="2" t="s">
        <v>3488</v>
      </c>
      <c r="B126" s="3">
        <v>8</v>
      </c>
      <c r="C126" s="3">
        <v>9</v>
      </c>
      <c r="D126" s="3">
        <v>9</v>
      </c>
      <c r="G126" s="1137"/>
    </row>
    <row r="127" spans="1:7">
      <c r="A127" s="2" t="s">
        <v>3489</v>
      </c>
      <c r="B127" s="3">
        <v>9</v>
      </c>
      <c r="C127" s="3">
        <v>10</v>
      </c>
      <c r="D127" s="3">
        <v>10</v>
      </c>
      <c r="G127" s="1137"/>
    </row>
    <row r="128" spans="1:7" ht="30">
      <c r="A128" s="2" t="s">
        <v>632</v>
      </c>
      <c r="B128" s="3">
        <v>8</v>
      </c>
      <c r="C128" s="3">
        <v>9</v>
      </c>
      <c r="D128" s="3">
        <v>9</v>
      </c>
      <c r="G128" s="1137"/>
    </row>
    <row r="129" spans="1:7">
      <c r="G129" s="1137"/>
    </row>
    <row r="130" spans="1:7">
      <c r="A130" s="334" t="s">
        <v>833</v>
      </c>
      <c r="B130" s="186" t="s">
        <v>3256</v>
      </c>
      <c r="C130" s="186" t="s">
        <v>3257</v>
      </c>
      <c r="D130" s="334" t="s">
        <v>3263</v>
      </c>
      <c r="G130" s="1137"/>
    </row>
    <row r="131" spans="1:7">
      <c r="A131" s="2" t="s">
        <v>1264</v>
      </c>
      <c r="B131" s="3">
        <v>4</v>
      </c>
      <c r="C131" s="3">
        <v>5</v>
      </c>
      <c r="D131" s="3">
        <v>5</v>
      </c>
      <c r="G131" s="1137"/>
    </row>
    <row r="132" spans="1:7" ht="30">
      <c r="A132" s="2" t="s">
        <v>1284</v>
      </c>
      <c r="B132" s="3">
        <v>9</v>
      </c>
      <c r="C132" s="3">
        <v>8</v>
      </c>
      <c r="D132" s="3">
        <v>8</v>
      </c>
      <c r="G132" s="1137"/>
    </row>
    <row r="133" spans="1:7" ht="30">
      <c r="A133" s="2" t="s">
        <v>1274</v>
      </c>
      <c r="B133" s="3">
        <v>6</v>
      </c>
      <c r="C133" s="3">
        <v>10</v>
      </c>
      <c r="D133" s="3">
        <v>9</v>
      </c>
      <c r="G133" s="1137"/>
    </row>
    <row r="134" spans="1:7">
      <c r="A134" s="2" t="s">
        <v>1279</v>
      </c>
      <c r="B134" s="3">
        <v>6</v>
      </c>
      <c r="C134" s="3">
        <v>9</v>
      </c>
      <c r="D134" s="3">
        <v>8</v>
      </c>
      <c r="G134" s="1137"/>
    </row>
    <row r="135" spans="1:7" ht="17.25">
      <c r="A135" s="838" t="s">
        <v>1269</v>
      </c>
      <c r="B135" s="3">
        <v>8</v>
      </c>
      <c r="C135" s="3">
        <v>8</v>
      </c>
      <c r="D135" s="3">
        <v>8</v>
      </c>
      <c r="G135" s="1137"/>
    </row>
    <row r="136" spans="1:7">
      <c r="A136" s="2" t="s">
        <v>3488</v>
      </c>
      <c r="B136" s="3">
        <v>7</v>
      </c>
      <c r="C136" s="3">
        <v>9</v>
      </c>
      <c r="D136" s="3">
        <v>9</v>
      </c>
      <c r="G136" s="1137"/>
    </row>
    <row r="137" spans="1:7">
      <c r="A137" s="2" t="s">
        <v>3489</v>
      </c>
      <c r="B137" s="3">
        <v>8</v>
      </c>
      <c r="C137" s="3">
        <v>10</v>
      </c>
      <c r="D137" s="3">
        <v>10</v>
      </c>
      <c r="G137" s="1137"/>
    </row>
    <row r="138" spans="1:7" ht="30">
      <c r="A138" s="2" t="s">
        <v>632</v>
      </c>
      <c r="B138" s="3">
        <v>9</v>
      </c>
      <c r="C138" s="3">
        <v>9</v>
      </c>
      <c r="D138" s="3">
        <v>9</v>
      </c>
      <c r="G138" s="1137"/>
    </row>
    <row r="139" spans="1:7">
      <c r="G139" s="1137"/>
    </row>
    <row r="140" spans="1:7">
      <c r="A140" s="334" t="s">
        <v>830</v>
      </c>
      <c r="B140" s="186" t="s">
        <v>3256</v>
      </c>
      <c r="C140" s="186" t="s">
        <v>3257</v>
      </c>
      <c r="D140" s="334" t="s">
        <v>3263</v>
      </c>
      <c r="G140" s="1137"/>
    </row>
    <row r="141" spans="1:7">
      <c r="A141" s="2" t="s">
        <v>1264</v>
      </c>
      <c r="B141" s="3">
        <v>10</v>
      </c>
      <c r="C141" s="3">
        <v>10</v>
      </c>
      <c r="D141" s="3">
        <v>10</v>
      </c>
      <c r="G141" s="1137"/>
    </row>
    <row r="142" spans="1:7" ht="30">
      <c r="A142" s="2" t="s">
        <v>1284</v>
      </c>
      <c r="B142" s="3">
        <v>9</v>
      </c>
      <c r="C142" s="3">
        <v>8</v>
      </c>
      <c r="D142" s="3">
        <v>8</v>
      </c>
      <c r="G142" s="1137"/>
    </row>
    <row r="143" spans="1:7" ht="30">
      <c r="A143" s="2" t="s">
        <v>1274</v>
      </c>
      <c r="B143" s="3">
        <v>10</v>
      </c>
      <c r="C143" s="3">
        <v>10</v>
      </c>
      <c r="D143" s="3">
        <v>10</v>
      </c>
      <c r="G143" s="1137"/>
    </row>
    <row r="144" spans="1:7">
      <c r="A144" s="2" t="s">
        <v>1279</v>
      </c>
      <c r="B144" s="3">
        <v>10</v>
      </c>
      <c r="C144" s="3">
        <v>10</v>
      </c>
      <c r="D144" s="3">
        <v>10</v>
      </c>
      <c r="G144" s="1137"/>
    </row>
    <row r="145" spans="1:7" ht="17.25">
      <c r="A145" s="838" t="s">
        <v>1269</v>
      </c>
      <c r="B145" s="3">
        <v>9</v>
      </c>
      <c r="C145" s="3">
        <v>9</v>
      </c>
      <c r="D145" s="3">
        <v>9</v>
      </c>
      <c r="G145" s="1137"/>
    </row>
    <row r="146" spans="1:7">
      <c r="A146" s="2" t="s">
        <v>3488</v>
      </c>
      <c r="B146" s="3">
        <v>10</v>
      </c>
      <c r="C146" s="3">
        <v>10</v>
      </c>
      <c r="D146" s="3">
        <v>10</v>
      </c>
      <c r="G146" s="1137"/>
    </row>
    <row r="147" spans="1:7">
      <c r="A147" s="2" t="s">
        <v>3489</v>
      </c>
      <c r="B147" s="3">
        <v>10</v>
      </c>
      <c r="C147" s="3">
        <v>10</v>
      </c>
      <c r="D147" s="3">
        <v>10</v>
      </c>
      <c r="G147" s="1137"/>
    </row>
    <row r="148" spans="1:7" ht="30">
      <c r="A148" s="2" t="s">
        <v>632</v>
      </c>
      <c r="B148" s="3">
        <v>9</v>
      </c>
      <c r="C148" s="3">
        <v>8</v>
      </c>
      <c r="D148" s="3">
        <v>8</v>
      </c>
      <c r="G148" s="1137"/>
    </row>
    <row r="149" spans="1:7">
      <c r="G149" s="1137"/>
    </row>
    <row r="150" spans="1:7">
      <c r="A150" s="334" t="s">
        <v>3491</v>
      </c>
      <c r="B150" s="186" t="s">
        <v>3256</v>
      </c>
      <c r="C150" s="186" t="s">
        <v>3257</v>
      </c>
      <c r="D150" s="334" t="s">
        <v>3263</v>
      </c>
      <c r="G150" s="1137"/>
    </row>
    <row r="151" spans="1:7">
      <c r="A151" s="2" t="s">
        <v>1264</v>
      </c>
      <c r="B151" s="3" t="s">
        <v>771</v>
      </c>
      <c r="C151" s="366">
        <v>4</v>
      </c>
      <c r="D151" s="994">
        <v>3</v>
      </c>
      <c r="G151" s="1137"/>
    </row>
    <row r="152" spans="1:7" ht="30">
      <c r="A152" s="2" t="s">
        <v>1284</v>
      </c>
      <c r="B152" s="3">
        <v>8</v>
      </c>
      <c r="C152" s="3">
        <v>9</v>
      </c>
      <c r="D152" s="3">
        <v>9</v>
      </c>
      <c r="G152" s="1137"/>
    </row>
    <row r="153" spans="1:7" ht="30">
      <c r="A153" s="2" t="s">
        <v>1274</v>
      </c>
      <c r="B153" s="3">
        <v>6</v>
      </c>
      <c r="C153" s="3">
        <v>9</v>
      </c>
      <c r="D153" s="3">
        <v>8</v>
      </c>
      <c r="G153" s="1137"/>
    </row>
    <row r="154" spans="1:7">
      <c r="A154" s="2" t="s">
        <v>1279</v>
      </c>
      <c r="B154" s="3">
        <v>6</v>
      </c>
      <c r="C154" s="3">
        <v>9</v>
      </c>
      <c r="D154" s="3">
        <v>8</v>
      </c>
      <c r="G154" s="1137"/>
    </row>
    <row r="155" spans="1:7" ht="17.25">
      <c r="A155" s="838" t="s">
        <v>1269</v>
      </c>
      <c r="B155" s="3">
        <v>6</v>
      </c>
      <c r="C155" s="3">
        <v>6</v>
      </c>
      <c r="D155" s="3">
        <v>6</v>
      </c>
      <c r="G155" s="1137"/>
    </row>
    <row r="156" spans="1:7">
      <c r="A156" s="2" t="s">
        <v>3488</v>
      </c>
      <c r="B156" s="3">
        <v>3</v>
      </c>
      <c r="C156" s="3">
        <v>9</v>
      </c>
      <c r="D156" s="3">
        <v>8</v>
      </c>
      <c r="G156" s="1137"/>
    </row>
    <row r="157" spans="1:7">
      <c r="A157" s="2" t="s">
        <v>3489</v>
      </c>
      <c r="B157" s="3">
        <v>8</v>
      </c>
      <c r="C157" s="3">
        <v>9</v>
      </c>
      <c r="D157" s="3">
        <v>9</v>
      </c>
      <c r="G157" s="1137"/>
    </row>
    <row r="158" spans="1:7" ht="30">
      <c r="A158" s="2" t="s">
        <v>632</v>
      </c>
      <c r="B158" s="3">
        <v>9</v>
      </c>
      <c r="C158" s="3">
        <v>8</v>
      </c>
      <c r="D158" s="3">
        <v>8</v>
      </c>
      <c r="G158" s="1137"/>
    </row>
    <row r="159" spans="1:7">
      <c r="G159" s="1137"/>
    </row>
    <row r="160" spans="1:7">
      <c r="A160" s="334" t="s">
        <v>791</v>
      </c>
      <c r="B160" s="186" t="s">
        <v>3256</v>
      </c>
      <c r="C160" s="186" t="s">
        <v>3257</v>
      </c>
      <c r="D160" s="334" t="s">
        <v>3263</v>
      </c>
      <c r="G160" s="1137"/>
    </row>
    <row r="161" spans="1:7">
      <c r="A161" s="2" t="s">
        <v>1264</v>
      </c>
      <c r="B161" s="3">
        <v>6</v>
      </c>
      <c r="C161" s="3">
        <v>10</v>
      </c>
      <c r="D161" s="3">
        <v>9</v>
      </c>
      <c r="G161" s="1137"/>
    </row>
    <row r="162" spans="1:7" ht="30">
      <c r="A162" s="2" t="s">
        <v>1284</v>
      </c>
      <c r="B162" s="3">
        <v>1</v>
      </c>
      <c r="C162" s="3">
        <v>8</v>
      </c>
      <c r="D162" s="3">
        <v>7</v>
      </c>
      <c r="G162" s="1137"/>
    </row>
    <row r="163" spans="1:7" ht="30">
      <c r="A163" s="2" t="s">
        <v>1274</v>
      </c>
      <c r="B163" s="3">
        <v>8</v>
      </c>
      <c r="C163" s="3">
        <v>10</v>
      </c>
      <c r="D163" s="3">
        <v>10</v>
      </c>
      <c r="G163" s="1137"/>
    </row>
    <row r="164" spans="1:7">
      <c r="A164" s="2" t="s">
        <v>1279</v>
      </c>
      <c r="B164" s="3">
        <v>9</v>
      </c>
      <c r="C164" s="3">
        <v>10</v>
      </c>
      <c r="D164" s="3">
        <v>10</v>
      </c>
      <c r="G164" s="1137"/>
    </row>
    <row r="165" spans="1:7" ht="17.25">
      <c r="A165" s="838" t="s">
        <v>1269</v>
      </c>
      <c r="B165" s="3">
        <v>10</v>
      </c>
      <c r="C165" s="3">
        <v>10</v>
      </c>
      <c r="D165" s="3">
        <v>10</v>
      </c>
      <c r="G165" s="1137"/>
    </row>
    <row r="166" spans="1:7">
      <c r="A166" s="2" t="s">
        <v>3488</v>
      </c>
      <c r="B166" s="3">
        <v>9</v>
      </c>
      <c r="C166" s="3">
        <v>10</v>
      </c>
      <c r="D166" s="3">
        <v>10</v>
      </c>
      <c r="G166" s="1137"/>
    </row>
    <row r="167" spans="1:7">
      <c r="A167" s="2" t="s">
        <v>3489</v>
      </c>
      <c r="B167" s="3">
        <v>10</v>
      </c>
      <c r="C167" s="3">
        <v>10</v>
      </c>
      <c r="D167" s="3">
        <v>10</v>
      </c>
      <c r="G167" s="1137"/>
    </row>
    <row r="168" spans="1:7" ht="30">
      <c r="A168" s="2" t="s">
        <v>632</v>
      </c>
      <c r="B168" s="3">
        <v>1</v>
      </c>
      <c r="C168" s="3">
        <v>9</v>
      </c>
      <c r="D168" s="3">
        <v>7</v>
      </c>
      <c r="G168" s="1137"/>
    </row>
    <row r="169" spans="1:7">
      <c r="G169" s="1137"/>
    </row>
    <row r="170" spans="1:7">
      <c r="A170" s="334" t="s">
        <v>3492</v>
      </c>
      <c r="B170" s="186" t="s">
        <v>3256</v>
      </c>
      <c r="C170" s="186" t="s">
        <v>3257</v>
      </c>
      <c r="D170" s="334" t="s">
        <v>3263</v>
      </c>
      <c r="G170" s="1137"/>
    </row>
    <row r="171" spans="1:7">
      <c r="A171" s="2" t="s">
        <v>1264</v>
      </c>
      <c r="B171" s="3">
        <v>5</v>
      </c>
      <c r="C171" s="3">
        <v>7</v>
      </c>
      <c r="D171" s="3">
        <v>7</v>
      </c>
      <c r="G171" s="1137"/>
    </row>
    <row r="172" spans="1:7" ht="30">
      <c r="A172" s="2" t="s">
        <v>1284</v>
      </c>
      <c r="B172" s="3">
        <v>9</v>
      </c>
      <c r="C172" s="3">
        <v>9</v>
      </c>
      <c r="D172" s="3">
        <v>9</v>
      </c>
      <c r="G172" s="1137"/>
    </row>
    <row r="173" spans="1:7" ht="30">
      <c r="A173" s="2" t="s">
        <v>1274</v>
      </c>
      <c r="B173" s="3">
        <v>9</v>
      </c>
      <c r="C173" s="3">
        <v>10</v>
      </c>
      <c r="D173" s="3">
        <v>10</v>
      </c>
      <c r="G173" s="1137"/>
    </row>
    <row r="174" spans="1:7">
      <c r="A174" s="2" t="s">
        <v>1279</v>
      </c>
      <c r="B174" s="3">
        <v>9</v>
      </c>
      <c r="C174" s="3">
        <v>9</v>
      </c>
      <c r="D174" s="3">
        <v>9</v>
      </c>
      <c r="G174" s="1137"/>
    </row>
    <row r="175" spans="1:7" ht="17.25">
      <c r="A175" s="838" t="s">
        <v>1269</v>
      </c>
      <c r="B175" s="3">
        <v>9</v>
      </c>
      <c r="C175" s="3">
        <v>9</v>
      </c>
      <c r="D175" s="3">
        <v>9</v>
      </c>
      <c r="G175" s="1137"/>
    </row>
    <row r="176" spans="1:7">
      <c r="A176" s="2" t="s">
        <v>3488</v>
      </c>
      <c r="B176" s="3">
        <v>9</v>
      </c>
      <c r="C176" s="3">
        <v>9</v>
      </c>
      <c r="D176" s="3">
        <v>9</v>
      </c>
      <c r="G176" s="1137"/>
    </row>
    <row r="177" spans="1:7">
      <c r="A177" s="2" t="s">
        <v>3489</v>
      </c>
      <c r="B177" s="3">
        <v>10</v>
      </c>
      <c r="C177" s="3">
        <v>10</v>
      </c>
      <c r="D177" s="3">
        <v>10</v>
      </c>
      <c r="G177" s="1137"/>
    </row>
    <row r="178" spans="1:7" ht="30">
      <c r="A178" s="2" t="s">
        <v>632</v>
      </c>
      <c r="B178" s="3">
        <v>8</v>
      </c>
      <c r="C178" s="3">
        <v>9</v>
      </c>
      <c r="D178" s="3">
        <v>9</v>
      </c>
      <c r="G178" s="1137"/>
    </row>
    <row r="179" spans="1:7">
      <c r="G179" s="1137"/>
    </row>
    <row r="180" spans="1:7">
      <c r="A180" s="334" t="s">
        <v>820</v>
      </c>
      <c r="B180" s="186" t="s">
        <v>3256</v>
      </c>
      <c r="C180" s="186" t="s">
        <v>3257</v>
      </c>
      <c r="D180" s="334" t="s">
        <v>3263</v>
      </c>
      <c r="G180" s="1137"/>
    </row>
    <row r="181" spans="1:7">
      <c r="A181" s="2" t="s">
        <v>1264</v>
      </c>
      <c r="B181" s="3">
        <v>7</v>
      </c>
      <c r="C181" s="3">
        <v>10</v>
      </c>
      <c r="D181" s="3">
        <v>9</v>
      </c>
      <c r="G181" s="1137"/>
    </row>
    <row r="182" spans="1:7" ht="30">
      <c r="A182" s="2" t="s">
        <v>1284</v>
      </c>
      <c r="B182" s="3">
        <v>9</v>
      </c>
      <c r="C182" s="3">
        <v>9</v>
      </c>
      <c r="D182" s="3">
        <v>9</v>
      </c>
      <c r="G182" s="1137"/>
    </row>
    <row r="183" spans="1:7" ht="30">
      <c r="A183" s="2" t="s">
        <v>1274</v>
      </c>
      <c r="B183" s="3">
        <v>8</v>
      </c>
      <c r="C183" s="3">
        <v>10</v>
      </c>
      <c r="D183" s="3">
        <v>10</v>
      </c>
      <c r="G183" s="1137"/>
    </row>
    <row r="184" spans="1:7">
      <c r="A184" s="2" t="s">
        <v>1279</v>
      </c>
      <c r="B184" s="3">
        <v>8</v>
      </c>
      <c r="C184" s="3">
        <v>10</v>
      </c>
      <c r="D184" s="3">
        <v>10</v>
      </c>
      <c r="G184" s="1137"/>
    </row>
    <row r="185" spans="1:7" ht="17.25">
      <c r="A185" s="838" t="s">
        <v>1269</v>
      </c>
      <c r="B185" s="3">
        <v>9</v>
      </c>
      <c r="C185" s="3">
        <v>9</v>
      </c>
      <c r="D185" s="3">
        <v>9</v>
      </c>
      <c r="G185" s="1137"/>
    </row>
    <row r="186" spans="1:7">
      <c r="A186" s="2" t="s">
        <v>3488</v>
      </c>
      <c r="B186" s="3">
        <v>8</v>
      </c>
      <c r="C186" s="3">
        <v>10</v>
      </c>
      <c r="D186" s="3">
        <v>10</v>
      </c>
      <c r="G186" s="1137"/>
    </row>
    <row r="187" spans="1:7">
      <c r="A187" s="2" t="s">
        <v>3489</v>
      </c>
      <c r="B187" s="3">
        <v>10</v>
      </c>
      <c r="C187" s="3">
        <v>10</v>
      </c>
      <c r="D187" s="3">
        <v>10</v>
      </c>
      <c r="G187" s="1137"/>
    </row>
    <row r="188" spans="1:7" ht="30">
      <c r="A188" s="2" t="s">
        <v>632</v>
      </c>
      <c r="B188" s="3">
        <v>8</v>
      </c>
      <c r="C188" s="3">
        <v>9</v>
      </c>
      <c r="D188" s="3">
        <v>9</v>
      </c>
      <c r="G188" s="1137"/>
    </row>
    <row r="190" spans="1:7">
      <c r="A190" s="334" t="s">
        <v>3493</v>
      </c>
      <c r="B190" s="186" t="s">
        <v>3256</v>
      </c>
      <c r="C190" s="186" t="s">
        <v>3257</v>
      </c>
      <c r="D190" s="334" t="s">
        <v>3263</v>
      </c>
      <c r="G190" s="1138" t="s">
        <v>1300</v>
      </c>
    </row>
    <row r="191" spans="1:7" ht="30">
      <c r="A191" s="2" t="s">
        <v>3501</v>
      </c>
      <c r="B191" s="3">
        <v>10</v>
      </c>
      <c r="C191" s="3">
        <v>10</v>
      </c>
      <c r="D191" s="3">
        <v>10</v>
      </c>
      <c r="G191" s="1138"/>
    </row>
    <row r="192" spans="1:7" ht="45">
      <c r="A192" s="2" t="s">
        <v>3502</v>
      </c>
      <c r="B192" s="3">
        <v>5</v>
      </c>
      <c r="C192" s="3">
        <v>5</v>
      </c>
      <c r="D192" s="3">
        <v>5</v>
      </c>
      <c r="G192" s="1138"/>
    </row>
    <row r="193" spans="1:7" ht="30">
      <c r="A193" s="2" t="s">
        <v>1307</v>
      </c>
      <c r="B193" s="3">
        <v>10</v>
      </c>
      <c r="C193" s="3">
        <v>9</v>
      </c>
      <c r="D193" s="3">
        <v>9</v>
      </c>
      <c r="G193" s="1138"/>
    </row>
    <row r="194" spans="1:7" ht="30">
      <c r="A194" s="2" t="s">
        <v>1311</v>
      </c>
      <c r="B194" s="3">
        <v>1</v>
      </c>
      <c r="C194" s="3">
        <v>10</v>
      </c>
      <c r="D194" s="3">
        <v>8</v>
      </c>
      <c r="G194" s="1138"/>
    </row>
    <row r="195" spans="1:7" ht="30">
      <c r="A195" s="948" t="s">
        <v>3503</v>
      </c>
      <c r="B195" s="3">
        <v>3</v>
      </c>
      <c r="C195" s="3">
        <v>9</v>
      </c>
      <c r="D195" s="3">
        <v>8</v>
      </c>
      <c r="G195" s="1138"/>
    </row>
    <row r="196" spans="1:7" ht="30">
      <c r="A196" s="948" t="s">
        <v>3504</v>
      </c>
      <c r="B196" s="3">
        <v>5</v>
      </c>
      <c r="C196" s="3">
        <v>10</v>
      </c>
      <c r="D196" s="3">
        <v>9</v>
      </c>
      <c r="G196" s="1138"/>
    </row>
    <row r="197" spans="1:7" ht="30">
      <c r="A197" s="484" t="s">
        <v>3361</v>
      </c>
      <c r="B197" s="3">
        <v>3</v>
      </c>
      <c r="C197" s="3">
        <v>9</v>
      </c>
      <c r="D197" s="3">
        <v>8</v>
      </c>
      <c r="G197" s="1138"/>
    </row>
    <row r="198" spans="1:7" ht="30">
      <c r="A198" s="484" t="s">
        <v>632</v>
      </c>
      <c r="B198" s="3">
        <v>5</v>
      </c>
      <c r="C198" s="3">
        <v>8</v>
      </c>
      <c r="D198" s="3">
        <v>7</v>
      </c>
      <c r="G198" s="1138"/>
    </row>
    <row r="199" spans="1:7" ht="30">
      <c r="A199" s="942" t="s">
        <v>3505</v>
      </c>
      <c r="B199" s="3">
        <v>4</v>
      </c>
      <c r="C199" s="3">
        <v>10</v>
      </c>
      <c r="D199" s="3">
        <v>9</v>
      </c>
      <c r="G199" s="1138"/>
    </row>
    <row r="200" spans="1:7">
      <c r="A200" s="942"/>
      <c r="G200" s="1138"/>
    </row>
    <row r="201" spans="1:7">
      <c r="A201" s="334" t="s">
        <v>3283</v>
      </c>
      <c r="B201" s="186" t="s">
        <v>3256</v>
      </c>
      <c r="C201" s="186" t="s">
        <v>3257</v>
      </c>
      <c r="D201" s="334" t="s">
        <v>3263</v>
      </c>
      <c r="G201" s="1138"/>
    </row>
    <row r="202" spans="1:7" ht="30">
      <c r="A202" s="2" t="s">
        <v>3501</v>
      </c>
      <c r="B202" s="3">
        <v>10</v>
      </c>
      <c r="C202" s="3">
        <v>10</v>
      </c>
      <c r="D202" s="3">
        <v>10</v>
      </c>
      <c r="G202" s="1138"/>
    </row>
    <row r="203" spans="1:7" ht="45">
      <c r="A203" s="2" t="s">
        <v>3502</v>
      </c>
      <c r="B203" s="3">
        <v>9</v>
      </c>
      <c r="C203" s="3">
        <v>10</v>
      </c>
      <c r="D203" s="3">
        <v>10</v>
      </c>
      <c r="G203" s="1138"/>
    </row>
    <row r="204" spans="1:7" ht="30">
      <c r="A204" s="2" t="s">
        <v>1307</v>
      </c>
      <c r="B204" s="3">
        <v>10</v>
      </c>
      <c r="C204" s="3">
        <v>9</v>
      </c>
      <c r="D204" s="3">
        <v>9</v>
      </c>
      <c r="G204" s="1138"/>
    </row>
    <row r="205" spans="1:7" ht="30">
      <c r="A205" s="2" t="s">
        <v>1311</v>
      </c>
      <c r="B205" s="3">
        <v>9</v>
      </c>
      <c r="C205" s="3">
        <v>10</v>
      </c>
      <c r="D205" s="3">
        <v>10</v>
      </c>
      <c r="G205" s="1138"/>
    </row>
    <row r="206" spans="1:7" ht="30">
      <c r="A206" s="948" t="s">
        <v>3503</v>
      </c>
      <c r="B206" s="3">
        <v>5</v>
      </c>
      <c r="C206" s="3">
        <v>10</v>
      </c>
      <c r="D206" s="3">
        <v>9</v>
      </c>
      <c r="G206" s="1138"/>
    </row>
    <row r="207" spans="1:7" ht="30">
      <c r="A207" s="948" t="s">
        <v>3504</v>
      </c>
      <c r="B207" s="3">
        <v>7</v>
      </c>
      <c r="C207" s="3">
        <v>10</v>
      </c>
      <c r="D207" s="3">
        <v>9</v>
      </c>
      <c r="G207" s="1138"/>
    </row>
    <row r="208" spans="1:7" ht="30">
      <c r="A208" s="484" t="s">
        <v>3361</v>
      </c>
      <c r="B208" s="3">
        <v>8</v>
      </c>
      <c r="C208" s="3">
        <v>10</v>
      </c>
      <c r="D208" s="3">
        <v>10</v>
      </c>
      <c r="G208" s="1138"/>
    </row>
    <row r="209" spans="1:7" ht="30">
      <c r="A209" s="484" t="s">
        <v>632</v>
      </c>
      <c r="B209" s="3">
        <v>4</v>
      </c>
      <c r="C209" s="3">
        <v>10</v>
      </c>
      <c r="D209" s="3">
        <v>9</v>
      </c>
      <c r="G209" s="1138"/>
    </row>
    <row r="210" spans="1:7" ht="30">
      <c r="A210" s="942" t="s">
        <v>3505</v>
      </c>
      <c r="B210" s="3">
        <v>6</v>
      </c>
      <c r="C210" s="3">
        <v>10</v>
      </c>
      <c r="D210" s="3">
        <v>9</v>
      </c>
      <c r="G210" s="1138"/>
    </row>
    <row r="211" spans="1:7">
      <c r="A211" s="942"/>
      <c r="G211" s="1138"/>
    </row>
    <row r="212" spans="1:7">
      <c r="A212" s="334" t="s">
        <v>3284</v>
      </c>
      <c r="B212" s="186" t="s">
        <v>3256</v>
      </c>
      <c r="C212" s="186" t="s">
        <v>3257</v>
      </c>
      <c r="D212" s="334" t="s">
        <v>3263</v>
      </c>
      <c r="G212" s="1138"/>
    </row>
    <row r="213" spans="1:7" ht="30">
      <c r="A213" s="2" t="s">
        <v>3501</v>
      </c>
      <c r="B213" s="3">
        <v>10</v>
      </c>
      <c r="C213" s="3">
        <v>10</v>
      </c>
      <c r="D213" s="3">
        <v>10</v>
      </c>
      <c r="G213" s="1138"/>
    </row>
    <row r="214" spans="1:7" ht="45">
      <c r="A214" s="2" t="s">
        <v>3502</v>
      </c>
      <c r="B214" s="3">
        <v>9</v>
      </c>
      <c r="C214" s="3">
        <v>10</v>
      </c>
      <c r="D214" s="3">
        <v>10</v>
      </c>
      <c r="G214" s="1138"/>
    </row>
    <row r="215" spans="1:7" ht="30">
      <c r="A215" s="2" t="s">
        <v>1307</v>
      </c>
      <c r="B215" s="3">
        <v>10</v>
      </c>
      <c r="C215" s="3">
        <v>9</v>
      </c>
      <c r="D215" s="3">
        <v>9</v>
      </c>
      <c r="G215" s="1138"/>
    </row>
    <row r="216" spans="1:7" ht="30">
      <c r="A216" s="2" t="s">
        <v>1311</v>
      </c>
      <c r="B216" s="3">
        <v>1</v>
      </c>
      <c r="C216" s="3">
        <v>10</v>
      </c>
      <c r="D216" s="3">
        <v>8</v>
      </c>
      <c r="G216" s="1138"/>
    </row>
    <row r="217" spans="1:7" ht="30">
      <c r="A217" s="948" t="s">
        <v>3503</v>
      </c>
      <c r="B217" s="3">
        <v>5</v>
      </c>
      <c r="C217" s="3">
        <v>10</v>
      </c>
      <c r="D217" s="3">
        <v>9</v>
      </c>
      <c r="G217" s="1138"/>
    </row>
    <row r="218" spans="1:7" ht="30">
      <c r="A218" s="948" t="s">
        <v>3504</v>
      </c>
      <c r="B218" s="3">
        <v>5</v>
      </c>
      <c r="C218" s="3">
        <v>10</v>
      </c>
      <c r="D218" s="3">
        <v>9</v>
      </c>
      <c r="G218" s="1138"/>
    </row>
    <row r="219" spans="1:7" ht="30">
      <c r="A219" s="484" t="s">
        <v>3361</v>
      </c>
      <c r="B219" s="3">
        <v>5</v>
      </c>
      <c r="C219" s="3">
        <v>10</v>
      </c>
      <c r="D219" s="3">
        <v>9</v>
      </c>
      <c r="G219" s="1138"/>
    </row>
    <row r="220" spans="1:7" ht="30">
      <c r="A220" s="484" t="s">
        <v>632</v>
      </c>
      <c r="B220" s="3">
        <v>6</v>
      </c>
      <c r="C220" s="3">
        <v>10</v>
      </c>
      <c r="D220" s="3">
        <v>9</v>
      </c>
      <c r="G220" s="1138"/>
    </row>
    <row r="221" spans="1:7" ht="30">
      <c r="A221" s="942" t="s">
        <v>3505</v>
      </c>
      <c r="B221" s="3">
        <v>4</v>
      </c>
      <c r="C221" s="3">
        <v>10</v>
      </c>
      <c r="D221" s="3">
        <v>9</v>
      </c>
      <c r="G221" s="1138"/>
    </row>
    <row r="222" spans="1:7">
      <c r="A222" s="942"/>
      <c r="G222" s="1138"/>
    </row>
    <row r="223" spans="1:7">
      <c r="A223" s="334" t="s">
        <v>3285</v>
      </c>
      <c r="B223" s="186" t="s">
        <v>3256</v>
      </c>
      <c r="C223" s="186" t="s">
        <v>3257</v>
      </c>
      <c r="D223" s="334" t="s">
        <v>3263</v>
      </c>
      <c r="G223" s="1138"/>
    </row>
    <row r="224" spans="1:7" ht="30">
      <c r="A224" s="2" t="s">
        <v>3501</v>
      </c>
      <c r="B224" s="3">
        <v>10</v>
      </c>
      <c r="C224" s="3">
        <v>10</v>
      </c>
      <c r="D224" s="3">
        <v>10</v>
      </c>
      <c r="G224" s="1138"/>
    </row>
    <row r="225" spans="1:7" ht="45">
      <c r="A225" s="2" t="s">
        <v>3502</v>
      </c>
      <c r="B225" s="3">
        <v>5</v>
      </c>
      <c r="C225" s="3">
        <v>6</v>
      </c>
      <c r="D225" s="3">
        <v>6</v>
      </c>
      <c r="G225" s="1138"/>
    </row>
    <row r="226" spans="1:7" ht="30">
      <c r="A226" s="2" t="s">
        <v>1307</v>
      </c>
      <c r="B226" s="3">
        <v>9</v>
      </c>
      <c r="C226" s="3">
        <v>8</v>
      </c>
      <c r="D226" s="3">
        <v>8</v>
      </c>
      <c r="G226" s="1138"/>
    </row>
    <row r="227" spans="1:7" ht="30">
      <c r="A227" s="2" t="s">
        <v>1311</v>
      </c>
      <c r="B227" s="3">
        <v>9</v>
      </c>
      <c r="C227" s="3">
        <v>6</v>
      </c>
      <c r="D227" s="3">
        <v>7</v>
      </c>
      <c r="G227" s="1138"/>
    </row>
    <row r="228" spans="1:7" ht="30">
      <c r="A228" s="948" t="s">
        <v>3503</v>
      </c>
      <c r="B228" s="3">
        <v>4</v>
      </c>
      <c r="C228" s="3">
        <v>10</v>
      </c>
      <c r="D228" s="3">
        <v>9</v>
      </c>
      <c r="G228" s="1138"/>
    </row>
    <row r="229" spans="1:7" ht="30">
      <c r="A229" s="948" t="s">
        <v>3504</v>
      </c>
      <c r="B229" s="3">
        <v>5</v>
      </c>
      <c r="C229" s="3">
        <v>9</v>
      </c>
      <c r="D229" s="3">
        <v>8</v>
      </c>
      <c r="G229" s="1138"/>
    </row>
    <row r="230" spans="1:7" ht="30">
      <c r="A230" s="484" t="s">
        <v>3361</v>
      </c>
      <c r="B230" s="3">
        <v>4</v>
      </c>
      <c r="C230" s="3">
        <v>9</v>
      </c>
      <c r="D230" s="3">
        <v>8</v>
      </c>
      <c r="G230" s="1138"/>
    </row>
    <row r="231" spans="1:7" ht="30">
      <c r="A231" s="484" t="s">
        <v>632</v>
      </c>
      <c r="B231" s="3">
        <v>6</v>
      </c>
      <c r="C231" s="3">
        <v>9</v>
      </c>
      <c r="D231" s="3">
        <v>8</v>
      </c>
      <c r="G231" s="1138"/>
    </row>
    <row r="232" spans="1:7" ht="30">
      <c r="A232" s="942" t="s">
        <v>3505</v>
      </c>
      <c r="B232" s="3">
        <v>4</v>
      </c>
      <c r="C232" s="3">
        <v>10</v>
      </c>
      <c r="D232" s="3">
        <v>9</v>
      </c>
      <c r="G232" s="1138"/>
    </row>
    <row r="233" spans="1:7">
      <c r="A233" s="942"/>
      <c r="G233" s="1138"/>
    </row>
    <row r="234" spans="1:7">
      <c r="A234" s="334" t="s">
        <v>3506</v>
      </c>
      <c r="B234" s="186" t="s">
        <v>3256</v>
      </c>
      <c r="C234" s="186" t="s">
        <v>3257</v>
      </c>
      <c r="D234" s="334" t="s">
        <v>3263</v>
      </c>
      <c r="G234" s="1138"/>
    </row>
    <row r="235" spans="1:7" ht="30">
      <c r="A235" s="2" t="s">
        <v>3501</v>
      </c>
      <c r="B235" s="3">
        <v>10</v>
      </c>
      <c r="C235" s="3">
        <v>10</v>
      </c>
      <c r="D235" s="3">
        <v>10</v>
      </c>
      <c r="G235" s="1138"/>
    </row>
    <row r="236" spans="1:7" ht="45">
      <c r="A236" s="2" t="s">
        <v>3502</v>
      </c>
      <c r="B236" s="3">
        <v>5</v>
      </c>
      <c r="C236" s="3">
        <v>6</v>
      </c>
      <c r="D236" s="3">
        <v>6</v>
      </c>
      <c r="G236" s="1138"/>
    </row>
    <row r="237" spans="1:7" ht="30">
      <c r="A237" s="2" t="s">
        <v>1307</v>
      </c>
      <c r="B237" s="3">
        <v>9</v>
      </c>
      <c r="C237" s="3">
        <v>8</v>
      </c>
      <c r="D237" s="3">
        <v>8</v>
      </c>
      <c r="G237" s="1138"/>
    </row>
    <row r="238" spans="1:7" ht="30">
      <c r="A238" s="2" t="s">
        <v>1311</v>
      </c>
      <c r="B238" s="3">
        <v>9</v>
      </c>
      <c r="C238" s="3">
        <v>6</v>
      </c>
      <c r="D238" s="3">
        <v>7</v>
      </c>
      <c r="G238" s="1138"/>
    </row>
    <row r="239" spans="1:7" ht="30">
      <c r="A239" s="948" t="s">
        <v>3503</v>
      </c>
      <c r="B239" s="3">
        <v>3</v>
      </c>
      <c r="C239" s="3">
        <v>10</v>
      </c>
      <c r="D239" s="3">
        <v>9</v>
      </c>
      <c r="G239" s="1138"/>
    </row>
    <row r="240" spans="1:7" ht="30">
      <c r="A240" s="948" t="s">
        <v>3504</v>
      </c>
      <c r="B240" s="3">
        <v>5</v>
      </c>
      <c r="C240" s="3">
        <v>10</v>
      </c>
      <c r="D240" s="3">
        <v>9</v>
      </c>
      <c r="G240" s="1138"/>
    </row>
    <row r="241" spans="1:7" ht="30">
      <c r="A241" s="484" t="s">
        <v>3361</v>
      </c>
      <c r="B241" s="3">
        <v>5</v>
      </c>
      <c r="C241" s="3">
        <v>9</v>
      </c>
      <c r="D241" s="3">
        <v>8</v>
      </c>
      <c r="G241" s="1138"/>
    </row>
    <row r="242" spans="1:7" ht="30">
      <c r="A242" s="484" t="s">
        <v>632</v>
      </c>
      <c r="B242" s="3">
        <v>5</v>
      </c>
      <c r="C242" s="3">
        <v>9</v>
      </c>
      <c r="D242" s="3">
        <v>8</v>
      </c>
      <c r="G242" s="1138"/>
    </row>
    <row r="243" spans="1:7" ht="30">
      <c r="A243" s="942" t="s">
        <v>3505</v>
      </c>
      <c r="B243" s="3">
        <v>4</v>
      </c>
      <c r="C243" s="3">
        <v>10</v>
      </c>
      <c r="D243" s="3">
        <v>9</v>
      </c>
      <c r="G243" s="1138"/>
    </row>
    <row r="244" spans="1:7">
      <c r="A244" s="942"/>
    </row>
    <row r="245" spans="1:7">
      <c r="A245" s="334" t="s">
        <v>812</v>
      </c>
      <c r="B245" s="186" t="s">
        <v>3256</v>
      </c>
      <c r="C245" s="186" t="s">
        <v>3257</v>
      </c>
      <c r="D245" s="334" t="s">
        <v>3263</v>
      </c>
      <c r="G245" s="1139" t="s">
        <v>3511</v>
      </c>
    </row>
    <row r="246" spans="1:7" ht="30">
      <c r="A246" s="942" t="s">
        <v>3507</v>
      </c>
      <c r="B246" s="3">
        <v>10</v>
      </c>
      <c r="C246" s="3">
        <v>10</v>
      </c>
      <c r="D246" s="3">
        <v>10</v>
      </c>
      <c r="G246" s="1139"/>
    </row>
    <row r="247" spans="1:7">
      <c r="A247" s="942" t="s">
        <v>2540</v>
      </c>
      <c r="B247" s="3">
        <v>10</v>
      </c>
      <c r="C247" s="3">
        <v>10</v>
      </c>
      <c r="D247" s="3">
        <v>10</v>
      </c>
      <c r="G247" s="1139"/>
    </row>
    <row r="248" spans="1:7">
      <c r="A248" s="942" t="s">
        <v>1208</v>
      </c>
      <c r="B248" s="3" t="s">
        <v>771</v>
      </c>
      <c r="C248" s="3">
        <v>10</v>
      </c>
      <c r="D248" s="3">
        <v>8</v>
      </c>
      <c r="G248" s="1139"/>
    </row>
    <row r="249" spans="1:7">
      <c r="A249" s="942" t="s">
        <v>3508</v>
      </c>
      <c r="B249" s="3">
        <v>8</v>
      </c>
      <c r="C249" s="3">
        <v>8</v>
      </c>
      <c r="D249" s="3">
        <v>8</v>
      </c>
      <c r="G249" s="1139"/>
    </row>
    <row r="250" spans="1:7">
      <c r="A250" s="942" t="s">
        <v>1695</v>
      </c>
      <c r="B250" s="3">
        <v>8</v>
      </c>
      <c r="C250" s="3">
        <v>8</v>
      </c>
      <c r="D250" s="3">
        <v>8</v>
      </c>
      <c r="G250" s="1139"/>
    </row>
    <row r="251" spans="1:7">
      <c r="A251" s="942" t="s">
        <v>1691</v>
      </c>
      <c r="B251" s="3">
        <v>8</v>
      </c>
      <c r="C251" s="3">
        <v>8</v>
      </c>
      <c r="D251" s="3">
        <v>8</v>
      </c>
      <c r="G251" s="1139"/>
    </row>
    <row r="252" spans="1:7">
      <c r="A252" s="942"/>
      <c r="G252" s="1139"/>
    </row>
    <row r="253" spans="1:7">
      <c r="A253" s="334" t="s">
        <v>829</v>
      </c>
      <c r="B253" s="186" t="s">
        <v>3256</v>
      </c>
      <c r="C253" s="186" t="s">
        <v>3257</v>
      </c>
      <c r="D253" s="334" t="s">
        <v>3263</v>
      </c>
      <c r="G253" s="1139"/>
    </row>
    <row r="254" spans="1:7" ht="30">
      <c r="A254" s="942" t="s">
        <v>3507</v>
      </c>
      <c r="B254" s="3" t="s">
        <v>771</v>
      </c>
      <c r="C254" s="3">
        <v>10</v>
      </c>
      <c r="D254" s="3">
        <v>8</v>
      </c>
      <c r="G254" s="1139"/>
    </row>
    <row r="255" spans="1:7">
      <c r="A255" s="942" t="s">
        <v>2540</v>
      </c>
      <c r="B255" s="3">
        <v>8</v>
      </c>
      <c r="C255" s="3">
        <v>5</v>
      </c>
      <c r="D255" s="3">
        <v>6</v>
      </c>
      <c r="G255" s="1139"/>
    </row>
    <row r="256" spans="1:7">
      <c r="A256" s="942" t="s">
        <v>1208</v>
      </c>
      <c r="B256" s="3" t="s">
        <v>771</v>
      </c>
      <c r="C256" s="3">
        <v>6</v>
      </c>
      <c r="D256" s="3">
        <v>5</v>
      </c>
      <c r="G256" s="1139"/>
    </row>
    <row r="257" spans="1:7">
      <c r="A257" s="942" t="s">
        <v>3508</v>
      </c>
      <c r="B257" s="3">
        <v>7</v>
      </c>
      <c r="C257" s="3">
        <v>6</v>
      </c>
      <c r="D257" s="3">
        <v>6</v>
      </c>
      <c r="G257" s="1139"/>
    </row>
    <row r="258" spans="1:7">
      <c r="A258" s="942" t="s">
        <v>1695</v>
      </c>
      <c r="B258" s="3">
        <v>5</v>
      </c>
      <c r="C258" s="3">
        <v>5</v>
      </c>
      <c r="D258" s="3">
        <v>5</v>
      </c>
      <c r="G258" s="1139"/>
    </row>
    <row r="259" spans="1:7">
      <c r="A259" s="942" t="s">
        <v>1691</v>
      </c>
      <c r="B259" s="3">
        <v>7</v>
      </c>
      <c r="C259" s="3">
        <v>6</v>
      </c>
      <c r="D259" s="3">
        <v>6</v>
      </c>
      <c r="G259" s="1139"/>
    </row>
    <row r="260" spans="1:7">
      <c r="A260" s="942"/>
      <c r="G260" s="1139"/>
    </row>
    <row r="261" spans="1:7">
      <c r="A261" s="334" t="s">
        <v>3296</v>
      </c>
      <c r="B261" s="186" t="s">
        <v>3256</v>
      </c>
      <c r="C261" s="186" t="s">
        <v>3257</v>
      </c>
      <c r="D261" s="334" t="s">
        <v>3263</v>
      </c>
      <c r="G261" s="1139"/>
    </row>
    <row r="262" spans="1:7" ht="30">
      <c r="A262" s="942" t="s">
        <v>3507</v>
      </c>
      <c r="B262" s="3">
        <v>10</v>
      </c>
      <c r="C262" s="3">
        <v>10</v>
      </c>
      <c r="D262" s="3">
        <v>10</v>
      </c>
      <c r="G262" s="1139"/>
    </row>
    <row r="263" spans="1:7">
      <c r="A263" s="942" t="s">
        <v>2540</v>
      </c>
      <c r="B263" s="3">
        <v>10</v>
      </c>
      <c r="C263" s="3">
        <v>10</v>
      </c>
      <c r="D263" s="3">
        <v>10</v>
      </c>
      <c r="G263" s="1139"/>
    </row>
    <row r="264" spans="1:7">
      <c r="A264" s="942" t="s">
        <v>1208</v>
      </c>
      <c r="B264" s="3">
        <v>10</v>
      </c>
      <c r="C264" s="3">
        <v>10</v>
      </c>
      <c r="D264" s="3">
        <v>10</v>
      </c>
      <c r="G264" s="1139"/>
    </row>
    <row r="265" spans="1:7">
      <c r="A265" s="942" t="s">
        <v>3508</v>
      </c>
      <c r="B265" s="3">
        <v>9</v>
      </c>
      <c r="C265" s="3">
        <v>10</v>
      </c>
      <c r="D265" s="3">
        <v>10</v>
      </c>
      <c r="G265" s="1139"/>
    </row>
    <row r="266" spans="1:7">
      <c r="A266" s="942" t="s">
        <v>1695</v>
      </c>
      <c r="B266" s="3">
        <v>8</v>
      </c>
      <c r="C266" s="3">
        <v>8</v>
      </c>
      <c r="D266" s="3">
        <v>8</v>
      </c>
      <c r="G266" s="1139"/>
    </row>
    <row r="267" spans="1:7">
      <c r="A267" s="942" t="s">
        <v>1691</v>
      </c>
      <c r="B267" s="3">
        <v>9</v>
      </c>
      <c r="C267" s="3">
        <v>10</v>
      </c>
      <c r="D267" s="3">
        <v>10</v>
      </c>
      <c r="G267" s="1139"/>
    </row>
    <row r="268" spans="1:7">
      <c r="A268" s="942"/>
      <c r="G268" s="1139"/>
    </row>
    <row r="269" spans="1:7">
      <c r="A269" s="334" t="s">
        <v>2275</v>
      </c>
      <c r="B269" s="186" t="s">
        <v>3256</v>
      </c>
      <c r="C269" s="186" t="s">
        <v>3257</v>
      </c>
      <c r="D269" s="334" t="s">
        <v>3263</v>
      </c>
      <c r="G269" s="1139"/>
    </row>
    <row r="270" spans="1:7" ht="30">
      <c r="A270" s="942" t="s">
        <v>3507</v>
      </c>
      <c r="B270" s="3" t="s">
        <v>771</v>
      </c>
      <c r="C270" s="3">
        <v>10</v>
      </c>
      <c r="D270" s="3">
        <v>8</v>
      </c>
      <c r="G270" s="1139"/>
    </row>
    <row r="271" spans="1:7">
      <c r="A271" s="942" t="s">
        <v>2540</v>
      </c>
      <c r="B271" s="3" t="s">
        <v>771</v>
      </c>
      <c r="C271" s="3">
        <v>6</v>
      </c>
      <c r="D271" s="3">
        <v>5</v>
      </c>
      <c r="G271" s="1139"/>
    </row>
    <row r="272" spans="1:7">
      <c r="A272" s="942" t="s">
        <v>1208</v>
      </c>
      <c r="B272" s="3" t="s">
        <v>771</v>
      </c>
      <c r="C272" s="3">
        <v>6</v>
      </c>
      <c r="D272" s="3">
        <v>5</v>
      </c>
      <c r="G272" s="1139"/>
    </row>
    <row r="273" spans="1:7">
      <c r="A273" s="942" t="s">
        <v>3508</v>
      </c>
      <c r="B273" s="3">
        <v>7</v>
      </c>
      <c r="C273" s="3">
        <v>5</v>
      </c>
      <c r="D273" s="3">
        <v>5</v>
      </c>
      <c r="G273" s="1139"/>
    </row>
    <row r="274" spans="1:7">
      <c r="A274" s="942" t="s">
        <v>1695</v>
      </c>
      <c r="B274" s="3">
        <v>5</v>
      </c>
      <c r="C274" s="3">
        <v>5</v>
      </c>
      <c r="D274" s="3">
        <v>5</v>
      </c>
      <c r="G274" s="1139"/>
    </row>
    <row r="275" spans="1:7">
      <c r="A275" s="942" t="s">
        <v>1691</v>
      </c>
      <c r="B275" s="3">
        <v>7</v>
      </c>
      <c r="C275" s="3">
        <v>5</v>
      </c>
      <c r="D275" s="3">
        <v>5</v>
      </c>
      <c r="G275" s="1139"/>
    </row>
    <row r="276" spans="1:7">
      <c r="A276" s="942"/>
      <c r="G276" s="1139"/>
    </row>
    <row r="277" spans="1:7">
      <c r="A277" s="334" t="s">
        <v>3529</v>
      </c>
      <c r="B277" s="186" t="s">
        <v>3256</v>
      </c>
      <c r="C277" s="186" t="s">
        <v>3257</v>
      </c>
      <c r="D277" s="334" t="s">
        <v>3263</v>
      </c>
      <c r="G277" s="1139"/>
    </row>
    <row r="278" spans="1:7" ht="30">
      <c r="A278" s="942" t="s">
        <v>3507</v>
      </c>
      <c r="B278" s="3" t="s">
        <v>771</v>
      </c>
      <c r="C278" s="3">
        <v>10</v>
      </c>
      <c r="D278" s="3">
        <v>8</v>
      </c>
      <c r="G278" s="1139"/>
    </row>
    <row r="279" spans="1:7">
      <c r="A279" s="942" t="s">
        <v>2540</v>
      </c>
      <c r="B279" s="3">
        <v>10</v>
      </c>
      <c r="C279" s="3">
        <v>9</v>
      </c>
      <c r="D279" s="3">
        <v>9</v>
      </c>
      <c r="G279" s="1139"/>
    </row>
    <row r="280" spans="1:7">
      <c r="A280" s="942" t="s">
        <v>3508</v>
      </c>
      <c r="B280" s="3">
        <v>9</v>
      </c>
      <c r="C280" s="3">
        <v>9</v>
      </c>
      <c r="D280" s="3">
        <v>9</v>
      </c>
      <c r="G280" s="1139"/>
    </row>
    <row r="281" spans="1:7">
      <c r="A281" s="942" t="s">
        <v>1691</v>
      </c>
      <c r="B281" s="3">
        <v>9</v>
      </c>
      <c r="C281" s="3">
        <v>9</v>
      </c>
      <c r="D281" s="3">
        <v>9</v>
      </c>
      <c r="G281" s="1139"/>
    </row>
    <row r="282" spans="1:7">
      <c r="A282" s="942"/>
      <c r="G282" s="1139"/>
    </row>
    <row r="283" spans="1:7">
      <c r="A283" s="334" t="s">
        <v>3509</v>
      </c>
      <c r="B283" s="186" t="s">
        <v>3256</v>
      </c>
      <c r="C283" s="186" t="s">
        <v>3257</v>
      </c>
      <c r="D283" s="334" t="s">
        <v>3263</v>
      </c>
      <c r="G283" s="1139"/>
    </row>
    <row r="284" spans="1:7" ht="30">
      <c r="A284" s="942" t="s">
        <v>3507</v>
      </c>
      <c r="B284" s="3">
        <v>10</v>
      </c>
      <c r="C284" s="3">
        <v>10</v>
      </c>
      <c r="D284" s="3">
        <v>10</v>
      </c>
      <c r="G284" s="1139"/>
    </row>
    <row r="285" spans="1:7">
      <c r="A285" s="942" t="s">
        <v>2540</v>
      </c>
      <c r="B285" s="3">
        <v>10</v>
      </c>
      <c r="C285" s="3">
        <v>6</v>
      </c>
      <c r="D285" s="3">
        <v>7</v>
      </c>
      <c r="G285" s="1139"/>
    </row>
    <row r="286" spans="1:7">
      <c r="A286" s="942" t="s">
        <v>1208</v>
      </c>
      <c r="B286" s="3">
        <v>10</v>
      </c>
      <c r="C286" s="3">
        <v>10</v>
      </c>
      <c r="D286" s="3">
        <v>10</v>
      </c>
      <c r="G286" s="1139"/>
    </row>
    <row r="287" spans="1:7">
      <c r="A287" s="942" t="s">
        <v>3508</v>
      </c>
      <c r="B287" s="3">
        <v>9</v>
      </c>
      <c r="C287" s="3">
        <v>8</v>
      </c>
      <c r="D287" s="3">
        <v>8</v>
      </c>
      <c r="G287" s="1139"/>
    </row>
    <row r="288" spans="1:7">
      <c r="A288" s="942" t="s">
        <v>1695</v>
      </c>
      <c r="B288" s="3">
        <v>7</v>
      </c>
      <c r="C288" s="3">
        <v>7</v>
      </c>
      <c r="D288" s="3">
        <v>7</v>
      </c>
      <c r="G288" s="1139"/>
    </row>
    <row r="289" spans="1:7">
      <c r="A289" s="942" t="s">
        <v>1691</v>
      </c>
      <c r="B289" s="3">
        <v>9</v>
      </c>
      <c r="C289" s="3">
        <v>9</v>
      </c>
      <c r="D289" s="3">
        <v>9</v>
      </c>
      <c r="G289" s="1139"/>
    </row>
    <row r="290" spans="1:7">
      <c r="A290" s="942"/>
      <c r="G290" s="1139"/>
    </row>
    <row r="291" spans="1:7">
      <c r="A291" s="334" t="s">
        <v>3523</v>
      </c>
      <c r="B291" s="186" t="s">
        <v>3256</v>
      </c>
      <c r="C291" s="186" t="s">
        <v>3257</v>
      </c>
      <c r="D291" s="334" t="s">
        <v>3263</v>
      </c>
      <c r="G291" s="1139"/>
    </row>
    <row r="292" spans="1:7" ht="30">
      <c r="A292" s="942" t="s">
        <v>3507</v>
      </c>
      <c r="B292" s="3">
        <v>10</v>
      </c>
      <c r="C292" s="3">
        <v>10</v>
      </c>
      <c r="D292" s="3">
        <v>10</v>
      </c>
      <c r="G292" s="949"/>
    </row>
    <row r="293" spans="1:7">
      <c r="A293" s="942" t="s">
        <v>2540</v>
      </c>
      <c r="B293" s="3">
        <v>10</v>
      </c>
      <c r="C293" s="3">
        <v>10</v>
      </c>
      <c r="D293" s="3">
        <v>10</v>
      </c>
      <c r="G293" s="949"/>
    </row>
    <row r="294" spans="1:7">
      <c r="A294" s="942" t="s">
        <v>1208</v>
      </c>
      <c r="B294" s="3">
        <v>10</v>
      </c>
      <c r="C294" s="3">
        <v>10</v>
      </c>
      <c r="D294" s="3">
        <v>10</v>
      </c>
      <c r="G294" s="949"/>
    </row>
    <row r="295" spans="1:7">
      <c r="A295" s="942" t="s">
        <v>3508</v>
      </c>
      <c r="B295" s="3">
        <v>9</v>
      </c>
      <c r="C295" s="3">
        <v>10</v>
      </c>
      <c r="D295" s="3">
        <v>10</v>
      </c>
      <c r="G295" s="949"/>
    </row>
    <row r="296" spans="1:7">
      <c r="A296" s="942" t="s">
        <v>1695</v>
      </c>
      <c r="B296" s="3">
        <v>8</v>
      </c>
      <c r="C296" s="3">
        <v>8</v>
      </c>
      <c r="D296" s="3">
        <v>8</v>
      </c>
      <c r="G296" s="949"/>
    </row>
    <row r="297" spans="1:7">
      <c r="A297" s="942" t="s">
        <v>1691</v>
      </c>
      <c r="B297" s="3">
        <v>9</v>
      </c>
      <c r="C297" s="3">
        <v>10</v>
      </c>
      <c r="D297" s="3">
        <v>10</v>
      </c>
      <c r="G297" s="949"/>
    </row>
    <row r="298" spans="1:7">
      <c r="A298" s="942"/>
      <c r="G298" s="949"/>
    </row>
    <row r="299" spans="1:7">
      <c r="A299" s="942"/>
      <c r="G299" s="949"/>
    </row>
    <row r="300" spans="1:7">
      <c r="A300" s="334" t="s">
        <v>840</v>
      </c>
      <c r="B300" s="186" t="s">
        <v>3256</v>
      </c>
      <c r="C300" s="186" t="s">
        <v>3257</v>
      </c>
      <c r="D300" s="334" t="s">
        <v>3263</v>
      </c>
    </row>
    <row r="301" spans="1:7">
      <c r="A301" s="942" t="s">
        <v>1238</v>
      </c>
      <c r="B301" s="3">
        <v>10</v>
      </c>
      <c r="C301" s="3">
        <v>10</v>
      </c>
      <c r="D301" s="3">
        <v>10</v>
      </c>
    </row>
    <row r="302" spans="1:7" ht="15" customHeight="1">
      <c r="A302" s="942" t="s">
        <v>1208</v>
      </c>
      <c r="B302" s="3">
        <v>10</v>
      </c>
      <c r="C302" s="3">
        <v>10</v>
      </c>
      <c r="D302" s="3">
        <v>10</v>
      </c>
      <c r="G302" s="1140" t="s">
        <v>3513</v>
      </c>
    </row>
    <row r="303" spans="1:7" ht="30">
      <c r="A303" s="942" t="s">
        <v>3512</v>
      </c>
      <c r="B303" s="3">
        <v>10</v>
      </c>
      <c r="C303" s="3">
        <v>10</v>
      </c>
      <c r="D303" s="3">
        <v>10</v>
      </c>
      <c r="G303" s="1140"/>
    </row>
    <row r="304" spans="1:7">
      <c r="A304" s="942" t="s">
        <v>3366</v>
      </c>
      <c r="B304" s="3">
        <v>6</v>
      </c>
      <c r="C304" s="3">
        <v>8</v>
      </c>
      <c r="D304" s="3">
        <v>8</v>
      </c>
      <c r="G304" s="1140"/>
    </row>
    <row r="305" spans="1:7" ht="30">
      <c r="A305" s="942" t="s">
        <v>632</v>
      </c>
      <c r="B305" s="3">
        <v>10</v>
      </c>
      <c r="C305" s="3">
        <v>10</v>
      </c>
      <c r="D305" s="3">
        <v>10</v>
      </c>
      <c r="G305" s="1140"/>
    </row>
    <row r="306" spans="1:7">
      <c r="A306" s="942" t="s">
        <v>1230</v>
      </c>
      <c r="B306" s="3">
        <v>8</v>
      </c>
      <c r="C306" s="3">
        <v>8</v>
      </c>
      <c r="D306" s="3">
        <v>8</v>
      </c>
      <c r="G306" s="1140"/>
    </row>
    <row r="307" spans="1:7">
      <c r="A307" s="942"/>
      <c r="G307" s="1140"/>
    </row>
    <row r="308" spans="1:7">
      <c r="A308" s="334" t="s">
        <v>844</v>
      </c>
      <c r="B308" s="186" t="s">
        <v>3256</v>
      </c>
      <c r="C308" s="186" t="s">
        <v>3257</v>
      </c>
      <c r="D308" s="334" t="s">
        <v>3263</v>
      </c>
      <c r="G308" s="1140"/>
    </row>
    <row r="309" spans="1:7">
      <c r="A309" s="942" t="s">
        <v>1238</v>
      </c>
      <c r="B309" s="3">
        <v>10</v>
      </c>
      <c r="C309" s="3">
        <v>10</v>
      </c>
      <c r="D309" s="3">
        <v>10</v>
      </c>
      <c r="G309" s="1140"/>
    </row>
    <row r="310" spans="1:7">
      <c r="A310" s="942" t="s">
        <v>1208</v>
      </c>
      <c r="B310" s="3">
        <v>10</v>
      </c>
      <c r="C310" s="3">
        <v>10</v>
      </c>
      <c r="D310" s="3">
        <v>10</v>
      </c>
      <c r="G310" s="1140"/>
    </row>
    <row r="311" spans="1:7" ht="30">
      <c r="A311" s="942" t="s">
        <v>3512</v>
      </c>
      <c r="B311" s="3">
        <v>10</v>
      </c>
      <c r="C311" s="3">
        <v>10</v>
      </c>
      <c r="D311" s="3">
        <v>10</v>
      </c>
      <c r="G311" s="1140"/>
    </row>
    <row r="312" spans="1:7">
      <c r="A312" s="942" t="s">
        <v>3366</v>
      </c>
      <c r="B312" s="3">
        <v>8</v>
      </c>
      <c r="C312" s="3">
        <v>8</v>
      </c>
      <c r="D312" s="3">
        <v>8</v>
      </c>
      <c r="G312" s="1140"/>
    </row>
    <row r="313" spans="1:7" ht="30">
      <c r="A313" s="942" t="s">
        <v>632</v>
      </c>
      <c r="B313" s="3">
        <v>10</v>
      </c>
      <c r="C313" s="3">
        <v>10</v>
      </c>
      <c r="D313" s="3">
        <v>10</v>
      </c>
      <c r="G313" s="1140"/>
    </row>
    <row r="314" spans="1:7">
      <c r="A314" s="942" t="s">
        <v>1230</v>
      </c>
      <c r="B314" s="3">
        <v>10</v>
      </c>
      <c r="C314" s="3">
        <v>9</v>
      </c>
      <c r="D314" s="3">
        <v>9</v>
      </c>
      <c r="G314" s="1140"/>
    </row>
    <row r="315" spans="1:7">
      <c r="A315" s="942"/>
      <c r="G315" s="1140"/>
    </row>
    <row r="316" spans="1:7">
      <c r="A316" s="334" t="s">
        <v>789</v>
      </c>
      <c r="B316" s="186" t="s">
        <v>3256</v>
      </c>
      <c r="C316" s="186" t="s">
        <v>3257</v>
      </c>
      <c r="D316" s="334" t="s">
        <v>3263</v>
      </c>
      <c r="G316" s="1140"/>
    </row>
    <row r="317" spans="1:7">
      <c r="A317" s="942" t="s">
        <v>1238</v>
      </c>
      <c r="B317" s="3">
        <v>10</v>
      </c>
      <c r="C317" s="3">
        <v>10</v>
      </c>
      <c r="D317" s="3">
        <v>10</v>
      </c>
      <c r="G317" s="1140"/>
    </row>
    <row r="318" spans="1:7">
      <c r="A318" s="942" t="s">
        <v>1208</v>
      </c>
      <c r="B318" s="3">
        <v>10</v>
      </c>
      <c r="C318" s="3">
        <v>10</v>
      </c>
      <c r="D318" s="3">
        <v>10</v>
      </c>
      <c r="G318" s="1140"/>
    </row>
    <row r="319" spans="1:7" ht="30">
      <c r="A319" s="942" t="s">
        <v>3512</v>
      </c>
      <c r="B319" s="3">
        <v>10</v>
      </c>
      <c r="C319" s="3">
        <v>10</v>
      </c>
      <c r="D319" s="3">
        <v>10</v>
      </c>
      <c r="G319" s="1140"/>
    </row>
    <row r="320" spans="1:7">
      <c r="A320" s="942" t="s">
        <v>3366</v>
      </c>
      <c r="B320" s="3">
        <v>8</v>
      </c>
      <c r="C320" s="3">
        <v>7</v>
      </c>
      <c r="D320" s="3">
        <v>7</v>
      </c>
      <c r="G320" s="1140"/>
    </row>
    <row r="321" spans="1:7" ht="30">
      <c r="A321" s="942" t="s">
        <v>632</v>
      </c>
      <c r="B321" s="3">
        <v>10</v>
      </c>
      <c r="C321" s="3">
        <v>10</v>
      </c>
      <c r="D321" s="3">
        <v>10</v>
      </c>
      <c r="G321" s="1140"/>
    </row>
    <row r="322" spans="1:7">
      <c r="A322" s="942" t="s">
        <v>1230</v>
      </c>
      <c r="B322" s="3">
        <v>10</v>
      </c>
      <c r="C322" s="3">
        <v>9</v>
      </c>
      <c r="D322" s="3">
        <v>9</v>
      </c>
      <c r="G322" s="1140"/>
    </row>
    <row r="323" spans="1:7">
      <c r="A323" s="942"/>
      <c r="G323" s="1140"/>
    </row>
    <row r="324" spans="1:7">
      <c r="A324" s="334" t="s">
        <v>805</v>
      </c>
      <c r="B324" s="186" t="s">
        <v>3256</v>
      </c>
      <c r="C324" s="186" t="s">
        <v>3257</v>
      </c>
      <c r="D324" s="334" t="s">
        <v>3263</v>
      </c>
      <c r="G324" s="1140"/>
    </row>
    <row r="325" spans="1:7">
      <c r="A325" s="942" t="s">
        <v>1238</v>
      </c>
      <c r="B325" s="3">
        <v>10</v>
      </c>
      <c r="C325" s="3">
        <v>10</v>
      </c>
      <c r="D325" s="3">
        <v>10</v>
      </c>
      <c r="G325" s="1140"/>
    </row>
    <row r="326" spans="1:7">
      <c r="A326" s="942" t="s">
        <v>1208</v>
      </c>
      <c r="B326" s="3">
        <v>10</v>
      </c>
      <c r="C326" s="3">
        <v>10</v>
      </c>
      <c r="D326" s="3">
        <v>10</v>
      </c>
      <c r="G326" s="1140"/>
    </row>
    <row r="327" spans="1:7" ht="30">
      <c r="A327" s="942" t="s">
        <v>3512</v>
      </c>
      <c r="B327" s="3">
        <v>10</v>
      </c>
      <c r="C327" s="3">
        <v>10</v>
      </c>
      <c r="D327" s="3">
        <v>10</v>
      </c>
      <c r="G327" s="1140"/>
    </row>
    <row r="328" spans="1:7">
      <c r="A328" s="942" t="s">
        <v>3366</v>
      </c>
      <c r="B328" s="3">
        <v>9</v>
      </c>
      <c r="C328" s="3">
        <v>8</v>
      </c>
      <c r="D328" s="3">
        <v>8</v>
      </c>
      <c r="G328" s="1140"/>
    </row>
    <row r="329" spans="1:7" ht="30">
      <c r="A329" s="942" t="s">
        <v>632</v>
      </c>
      <c r="B329" s="3">
        <v>10</v>
      </c>
      <c r="C329" s="3">
        <v>10</v>
      </c>
      <c r="D329" s="3">
        <v>10</v>
      </c>
      <c r="G329" s="1140"/>
    </row>
    <row r="330" spans="1:7">
      <c r="A330" s="942" t="s">
        <v>1230</v>
      </c>
      <c r="B330" s="3">
        <v>8</v>
      </c>
      <c r="C330" s="3">
        <v>8</v>
      </c>
      <c r="D330" s="3">
        <v>8</v>
      </c>
      <c r="G330" s="1140"/>
    </row>
    <row r="331" spans="1:7">
      <c r="A331" s="942"/>
      <c r="G331" s="1140"/>
    </row>
    <row r="332" spans="1:7">
      <c r="A332" s="334" t="s">
        <v>801</v>
      </c>
      <c r="B332" s="186" t="s">
        <v>3256</v>
      </c>
      <c r="C332" s="186" t="s">
        <v>3257</v>
      </c>
      <c r="D332" s="334" t="s">
        <v>3263</v>
      </c>
      <c r="G332" s="1140"/>
    </row>
    <row r="333" spans="1:7">
      <c r="A333" s="942" t="s">
        <v>1238</v>
      </c>
      <c r="B333" s="3">
        <v>10</v>
      </c>
      <c r="C333" s="3">
        <v>10</v>
      </c>
      <c r="D333" s="3">
        <v>10</v>
      </c>
      <c r="G333" s="1140"/>
    </row>
    <row r="334" spans="1:7">
      <c r="A334" s="942" t="s">
        <v>1208</v>
      </c>
      <c r="B334" s="3" t="s">
        <v>771</v>
      </c>
      <c r="C334" s="3">
        <v>8</v>
      </c>
      <c r="D334" s="3">
        <v>7</v>
      </c>
      <c r="G334" s="1140"/>
    </row>
    <row r="335" spans="1:7" ht="30">
      <c r="A335" s="942" t="s">
        <v>3512</v>
      </c>
      <c r="B335" s="3">
        <v>10</v>
      </c>
      <c r="C335" s="3">
        <v>10</v>
      </c>
      <c r="D335" s="3">
        <v>10</v>
      </c>
      <c r="G335" s="1140"/>
    </row>
    <row r="336" spans="1:7">
      <c r="A336" s="942" t="s">
        <v>3366</v>
      </c>
      <c r="B336" s="3">
        <v>7</v>
      </c>
      <c r="C336" s="3">
        <v>8</v>
      </c>
      <c r="D336" s="3">
        <v>8</v>
      </c>
      <c r="G336" s="1140"/>
    </row>
    <row r="337" spans="1:7" ht="30">
      <c r="A337" s="942" t="s">
        <v>632</v>
      </c>
      <c r="B337" s="3">
        <v>10</v>
      </c>
      <c r="C337" s="3">
        <v>10</v>
      </c>
      <c r="D337" s="3">
        <v>10</v>
      </c>
      <c r="G337" s="1140"/>
    </row>
    <row r="338" spans="1:7">
      <c r="A338" s="942" t="s">
        <v>1230</v>
      </c>
      <c r="B338" s="3">
        <v>10</v>
      </c>
      <c r="C338" s="3">
        <v>9</v>
      </c>
      <c r="D338" s="3">
        <v>9</v>
      </c>
      <c r="G338" s="1140"/>
    </row>
    <row r="339" spans="1:7">
      <c r="A339" s="942"/>
      <c r="G339" s="1140"/>
    </row>
    <row r="340" spans="1:7">
      <c r="A340" s="334" t="s">
        <v>794</v>
      </c>
      <c r="B340" s="186" t="s">
        <v>3256</v>
      </c>
      <c r="C340" s="186" t="s">
        <v>3257</v>
      </c>
      <c r="D340" s="334" t="s">
        <v>3263</v>
      </c>
      <c r="G340" s="1140"/>
    </row>
    <row r="341" spans="1:7">
      <c r="A341" s="942" t="s">
        <v>1238</v>
      </c>
      <c r="B341" s="3">
        <v>10</v>
      </c>
      <c r="C341" s="3">
        <v>8</v>
      </c>
      <c r="D341" s="3">
        <v>8</v>
      </c>
      <c r="G341" s="1140"/>
    </row>
    <row r="342" spans="1:7">
      <c r="A342" s="942" t="s">
        <v>1208</v>
      </c>
      <c r="B342" s="3" t="s">
        <v>771</v>
      </c>
      <c r="C342" s="3">
        <v>8</v>
      </c>
      <c r="D342" s="3">
        <v>7</v>
      </c>
      <c r="G342" s="1140"/>
    </row>
    <row r="343" spans="1:7" ht="30">
      <c r="A343" s="942" t="s">
        <v>3512</v>
      </c>
      <c r="B343" s="3">
        <v>10</v>
      </c>
      <c r="C343" s="3">
        <v>10</v>
      </c>
      <c r="D343" s="3">
        <v>10</v>
      </c>
      <c r="G343" s="1140"/>
    </row>
    <row r="344" spans="1:7">
      <c r="A344" s="942" t="s">
        <v>3366</v>
      </c>
      <c r="B344" s="3">
        <v>8</v>
      </c>
      <c r="C344" s="3">
        <v>6</v>
      </c>
      <c r="D344" s="3">
        <v>6</v>
      </c>
      <c r="G344" s="1140"/>
    </row>
    <row r="345" spans="1:7" ht="30">
      <c r="A345" s="942" t="s">
        <v>632</v>
      </c>
      <c r="B345" s="3">
        <v>10</v>
      </c>
      <c r="C345" s="3">
        <v>10</v>
      </c>
      <c r="D345" s="3">
        <v>10</v>
      </c>
      <c r="G345" s="1140"/>
    </row>
    <row r="346" spans="1:7">
      <c r="A346" s="942" t="s">
        <v>1230</v>
      </c>
      <c r="B346" s="3">
        <v>8</v>
      </c>
      <c r="C346" s="3">
        <v>8</v>
      </c>
      <c r="D346" s="3">
        <v>8</v>
      </c>
      <c r="G346" s="1140"/>
    </row>
    <row r="347" spans="1:7">
      <c r="A347" s="942"/>
      <c r="G347" s="1140"/>
    </row>
    <row r="348" spans="1:7">
      <c r="A348" s="334" t="s">
        <v>826</v>
      </c>
      <c r="B348" s="186" t="s">
        <v>3256</v>
      </c>
      <c r="C348" s="186" t="s">
        <v>3257</v>
      </c>
      <c r="D348" s="334" t="s">
        <v>3263</v>
      </c>
      <c r="G348" s="1140"/>
    </row>
    <row r="349" spans="1:7">
      <c r="A349" s="942" t="s">
        <v>1238</v>
      </c>
      <c r="B349" s="3">
        <v>10</v>
      </c>
      <c r="C349" s="3">
        <v>10</v>
      </c>
      <c r="D349" s="3">
        <v>10</v>
      </c>
      <c r="G349" s="1140"/>
    </row>
    <row r="350" spans="1:7">
      <c r="A350" s="942" t="s">
        <v>1208</v>
      </c>
      <c r="B350" s="3">
        <v>10</v>
      </c>
      <c r="C350" s="3">
        <v>10</v>
      </c>
      <c r="D350" s="3">
        <v>10</v>
      </c>
      <c r="G350" s="1140"/>
    </row>
    <row r="351" spans="1:7" ht="30">
      <c r="A351" s="942" t="s">
        <v>3512</v>
      </c>
      <c r="B351" s="3">
        <v>10</v>
      </c>
      <c r="C351" s="3">
        <v>10</v>
      </c>
      <c r="D351" s="3">
        <v>10</v>
      </c>
      <c r="G351" s="1140"/>
    </row>
    <row r="352" spans="1:7">
      <c r="A352" s="942" t="s">
        <v>3366</v>
      </c>
      <c r="B352" s="3">
        <v>8</v>
      </c>
      <c r="C352" s="3">
        <v>8</v>
      </c>
      <c r="D352" s="3">
        <v>8</v>
      </c>
      <c r="G352" s="1140"/>
    </row>
    <row r="353" spans="1:7" ht="30">
      <c r="A353" s="942" t="s">
        <v>632</v>
      </c>
      <c r="B353" s="3">
        <v>10</v>
      </c>
      <c r="C353" s="3">
        <v>10</v>
      </c>
      <c r="D353" s="3">
        <v>10</v>
      </c>
      <c r="G353" s="1140"/>
    </row>
    <row r="354" spans="1:7">
      <c r="A354" s="942" t="s">
        <v>1230</v>
      </c>
      <c r="B354" s="3">
        <v>10</v>
      </c>
      <c r="C354" s="3">
        <v>10</v>
      </c>
      <c r="D354" s="3">
        <v>10</v>
      </c>
      <c r="G354" s="1140"/>
    </row>
    <row r="355" spans="1:7">
      <c r="A355" s="942"/>
      <c r="G355" s="1140"/>
    </row>
    <row r="356" spans="1:7">
      <c r="A356" s="334" t="s">
        <v>787</v>
      </c>
      <c r="B356" s="186" t="s">
        <v>3256</v>
      </c>
      <c r="C356" s="186" t="s">
        <v>3257</v>
      </c>
      <c r="D356" s="334" t="s">
        <v>3263</v>
      </c>
      <c r="G356" s="1140"/>
    </row>
    <row r="357" spans="1:7">
      <c r="A357" s="942" t="s">
        <v>1238</v>
      </c>
      <c r="B357" s="3">
        <v>10</v>
      </c>
      <c r="C357" s="3">
        <v>10</v>
      </c>
      <c r="D357" s="3">
        <v>10</v>
      </c>
      <c r="G357" s="1140"/>
    </row>
    <row r="358" spans="1:7">
      <c r="A358" s="942" t="s">
        <v>1208</v>
      </c>
      <c r="B358" s="3">
        <v>10</v>
      </c>
      <c r="C358" s="3">
        <v>10</v>
      </c>
      <c r="D358" s="3">
        <v>10</v>
      </c>
      <c r="G358" s="1140"/>
    </row>
    <row r="359" spans="1:7" ht="30">
      <c r="A359" s="942" t="s">
        <v>3512</v>
      </c>
      <c r="B359" s="3">
        <v>10</v>
      </c>
      <c r="C359" s="3">
        <v>10</v>
      </c>
      <c r="D359" s="3">
        <v>10</v>
      </c>
      <c r="G359" s="1140"/>
    </row>
    <row r="360" spans="1:7">
      <c r="A360" s="942" t="s">
        <v>3366</v>
      </c>
      <c r="B360" s="3">
        <v>7</v>
      </c>
      <c r="C360" s="3">
        <v>6</v>
      </c>
      <c r="D360" s="3">
        <v>6</v>
      </c>
      <c r="G360" s="1140"/>
    </row>
    <row r="361" spans="1:7" ht="30">
      <c r="A361" s="942" t="s">
        <v>632</v>
      </c>
      <c r="B361" s="3">
        <v>10</v>
      </c>
      <c r="C361" s="3">
        <v>10</v>
      </c>
      <c r="D361" s="3">
        <v>10</v>
      </c>
      <c r="G361" s="1140"/>
    </row>
    <row r="362" spans="1:7">
      <c r="A362" s="942" t="s">
        <v>1230</v>
      </c>
      <c r="B362" s="3">
        <v>8</v>
      </c>
      <c r="C362" s="3">
        <v>9</v>
      </c>
      <c r="D362" s="3">
        <v>9</v>
      </c>
      <c r="G362" s="1140"/>
    </row>
    <row r="363" spans="1:7">
      <c r="A363" s="942"/>
      <c r="G363" s="1140"/>
    </row>
    <row r="364" spans="1:7">
      <c r="A364" s="334" t="s">
        <v>3530</v>
      </c>
      <c r="B364" s="186" t="s">
        <v>3256</v>
      </c>
      <c r="C364" s="186" t="s">
        <v>3257</v>
      </c>
      <c r="D364" s="334" t="s">
        <v>3263</v>
      </c>
      <c r="G364" s="1140"/>
    </row>
    <row r="365" spans="1:7">
      <c r="A365" s="942" t="s">
        <v>1238</v>
      </c>
      <c r="B365" s="3">
        <v>10</v>
      </c>
      <c r="C365" s="3">
        <v>10</v>
      </c>
      <c r="D365" s="3">
        <v>10</v>
      </c>
      <c r="G365" s="4"/>
    </row>
    <row r="366" spans="1:7">
      <c r="A366" s="942" t="s">
        <v>1208</v>
      </c>
      <c r="B366" s="3">
        <v>10</v>
      </c>
      <c r="C366" s="3">
        <v>10</v>
      </c>
      <c r="D366" s="3">
        <v>10</v>
      </c>
      <c r="G366" s="4"/>
    </row>
    <row r="367" spans="1:7" ht="30">
      <c r="A367" s="942" t="s">
        <v>3512</v>
      </c>
      <c r="B367" s="3">
        <v>10</v>
      </c>
      <c r="C367" s="3">
        <v>10</v>
      </c>
      <c r="D367" s="3">
        <v>10</v>
      </c>
      <c r="G367" s="4"/>
    </row>
    <row r="368" spans="1:7">
      <c r="A368" s="942" t="s">
        <v>3366</v>
      </c>
      <c r="B368" s="3">
        <v>7</v>
      </c>
      <c r="C368" s="3">
        <v>7</v>
      </c>
      <c r="D368" s="3">
        <v>7</v>
      </c>
      <c r="G368" s="4"/>
    </row>
    <row r="369" spans="1:7" ht="30">
      <c r="A369" s="942" t="s">
        <v>632</v>
      </c>
      <c r="B369" s="3">
        <v>10</v>
      </c>
      <c r="C369" s="3">
        <v>10</v>
      </c>
      <c r="D369" s="3">
        <v>10</v>
      </c>
      <c r="G369" s="4"/>
    </row>
    <row r="370" spans="1:7">
      <c r="A370" s="942" t="s">
        <v>1230</v>
      </c>
      <c r="B370" s="3">
        <v>8</v>
      </c>
      <c r="C370" s="3">
        <v>8</v>
      </c>
      <c r="D370" s="3">
        <v>8</v>
      </c>
      <c r="G370" s="4"/>
    </row>
    <row r="371" spans="1:7">
      <c r="A371" s="942"/>
      <c r="G371" s="4"/>
    </row>
    <row r="372" spans="1:7">
      <c r="A372" s="334" t="s">
        <v>3514</v>
      </c>
      <c r="B372" s="186" t="s">
        <v>3256</v>
      </c>
      <c r="C372" s="186" t="s">
        <v>3257</v>
      </c>
      <c r="D372" s="334" t="s">
        <v>3263</v>
      </c>
      <c r="G372" s="4"/>
    </row>
    <row r="373" spans="1:7">
      <c r="A373" s="942" t="s">
        <v>1210</v>
      </c>
      <c r="B373" s="3" t="s">
        <v>771</v>
      </c>
      <c r="C373" s="3">
        <v>9</v>
      </c>
      <c r="D373" s="3">
        <v>7</v>
      </c>
    </row>
    <row r="374" spans="1:7">
      <c r="A374" s="942" t="s">
        <v>1232</v>
      </c>
      <c r="B374" s="3">
        <v>9</v>
      </c>
      <c r="C374" s="3">
        <v>9</v>
      </c>
      <c r="D374" s="3">
        <v>9</v>
      </c>
      <c r="G374" s="1134" t="s">
        <v>3516</v>
      </c>
    </row>
    <row r="375" spans="1:7">
      <c r="A375" s="942" t="s">
        <v>1240</v>
      </c>
      <c r="B375" s="3">
        <v>10</v>
      </c>
      <c r="C375" s="3">
        <v>10</v>
      </c>
      <c r="D375" s="3">
        <v>10</v>
      </c>
      <c r="G375" s="1134"/>
    </row>
    <row r="376" spans="1:7">
      <c r="A376" s="942" t="s">
        <v>3368</v>
      </c>
      <c r="B376" s="3">
        <v>10</v>
      </c>
      <c r="C376" s="3">
        <v>10</v>
      </c>
      <c r="D376" s="3">
        <v>10</v>
      </c>
      <c r="G376" s="1134"/>
    </row>
    <row r="377" spans="1:7" ht="30">
      <c r="A377" s="942" t="s">
        <v>632</v>
      </c>
      <c r="B377" s="3">
        <v>9</v>
      </c>
      <c r="C377" s="3">
        <v>9</v>
      </c>
      <c r="D377" s="3">
        <v>9</v>
      </c>
      <c r="G377" s="1134"/>
    </row>
    <row r="378" spans="1:7">
      <c r="A378" s="942"/>
      <c r="G378" s="1134"/>
    </row>
    <row r="379" spans="1:7" ht="30">
      <c r="A379" s="334" t="s">
        <v>3290</v>
      </c>
      <c r="B379" s="186" t="s">
        <v>3256</v>
      </c>
      <c r="C379" s="186" t="s">
        <v>3257</v>
      </c>
      <c r="D379" s="334" t="s">
        <v>3263</v>
      </c>
      <c r="G379" s="1134"/>
    </row>
    <row r="380" spans="1:7">
      <c r="A380" s="942" t="s">
        <v>1210</v>
      </c>
      <c r="B380" s="3">
        <v>10</v>
      </c>
      <c r="C380" s="3">
        <v>9</v>
      </c>
      <c r="D380" s="3">
        <v>9</v>
      </c>
      <c r="G380" s="1134"/>
    </row>
    <row r="381" spans="1:7">
      <c r="A381" s="942" t="s">
        <v>1232</v>
      </c>
      <c r="B381" s="3">
        <v>9</v>
      </c>
      <c r="C381" s="3">
        <v>9</v>
      </c>
      <c r="D381" s="3">
        <v>9</v>
      </c>
      <c r="G381" s="1134"/>
    </row>
    <row r="382" spans="1:7">
      <c r="A382" s="942" t="s">
        <v>1240</v>
      </c>
      <c r="B382" s="3">
        <v>10</v>
      </c>
      <c r="C382" s="3">
        <v>10</v>
      </c>
      <c r="D382" s="3">
        <v>10</v>
      </c>
      <c r="G382" s="1134"/>
    </row>
    <row r="383" spans="1:7">
      <c r="A383" s="942" t="s">
        <v>3368</v>
      </c>
      <c r="B383" s="3">
        <v>10</v>
      </c>
      <c r="C383" s="3">
        <v>10</v>
      </c>
      <c r="D383" s="3">
        <v>10</v>
      </c>
      <c r="G383" s="1134"/>
    </row>
    <row r="384" spans="1:7" ht="30">
      <c r="A384" s="942" t="s">
        <v>632</v>
      </c>
      <c r="B384" s="3">
        <v>9</v>
      </c>
      <c r="C384" s="3">
        <v>9</v>
      </c>
      <c r="D384" s="3">
        <v>9</v>
      </c>
      <c r="G384" s="1134"/>
    </row>
    <row r="385" spans="1:7">
      <c r="A385" s="942"/>
      <c r="G385" s="1134"/>
    </row>
    <row r="386" spans="1:7">
      <c r="A386" s="334" t="s">
        <v>3515</v>
      </c>
      <c r="B386" s="186" t="s">
        <v>3256</v>
      </c>
      <c r="C386" s="186" t="s">
        <v>3257</v>
      </c>
      <c r="D386" s="334" t="s">
        <v>3263</v>
      </c>
      <c r="G386" s="1134"/>
    </row>
    <row r="387" spans="1:7">
      <c r="A387" s="942" t="s">
        <v>1210</v>
      </c>
      <c r="B387" s="3" t="s">
        <v>771</v>
      </c>
      <c r="C387" s="3">
        <v>8</v>
      </c>
      <c r="D387" s="3">
        <v>7</v>
      </c>
      <c r="G387" s="1134"/>
    </row>
    <row r="388" spans="1:7">
      <c r="A388" s="942" t="s">
        <v>1232</v>
      </c>
      <c r="B388" s="3">
        <v>8</v>
      </c>
      <c r="C388" s="3">
        <v>8</v>
      </c>
      <c r="D388" s="3">
        <v>8</v>
      </c>
      <c r="G388" s="1134"/>
    </row>
    <row r="389" spans="1:7">
      <c r="A389" s="942" t="s">
        <v>1240</v>
      </c>
      <c r="B389" s="3" t="s">
        <v>771</v>
      </c>
      <c r="C389" s="3">
        <v>10</v>
      </c>
      <c r="D389" s="3">
        <v>8</v>
      </c>
      <c r="G389" s="1134"/>
    </row>
    <row r="390" spans="1:7">
      <c r="A390" s="942" t="s">
        <v>3368</v>
      </c>
      <c r="B390" s="3">
        <v>10</v>
      </c>
      <c r="C390" s="3">
        <v>10</v>
      </c>
      <c r="D390" s="3">
        <v>10</v>
      </c>
      <c r="G390" s="1134"/>
    </row>
    <row r="391" spans="1:7" ht="30">
      <c r="A391" s="942" t="s">
        <v>632</v>
      </c>
      <c r="B391" s="3">
        <v>7</v>
      </c>
      <c r="C391" s="3">
        <v>7</v>
      </c>
      <c r="D391" s="3">
        <v>7</v>
      </c>
      <c r="G391" s="1134"/>
    </row>
    <row r="392" spans="1:7">
      <c r="A392" s="942"/>
      <c r="G392" s="1134"/>
    </row>
    <row r="393" spans="1:7">
      <c r="A393" s="334" t="s">
        <v>831</v>
      </c>
      <c r="B393" s="186" t="s">
        <v>3256</v>
      </c>
      <c r="C393" s="186" t="s">
        <v>3257</v>
      </c>
      <c r="D393" s="334" t="s">
        <v>3263</v>
      </c>
      <c r="G393" s="1134"/>
    </row>
    <row r="394" spans="1:7">
      <c r="A394" s="942" t="s">
        <v>1210</v>
      </c>
      <c r="B394" s="3" t="s">
        <v>771</v>
      </c>
      <c r="C394" s="3">
        <v>7</v>
      </c>
      <c r="D394" s="3">
        <v>6</v>
      </c>
      <c r="G394" s="1134"/>
    </row>
    <row r="395" spans="1:7">
      <c r="A395" s="942" t="s">
        <v>1232</v>
      </c>
      <c r="B395" s="3">
        <v>8</v>
      </c>
      <c r="C395" s="3">
        <v>8</v>
      </c>
      <c r="D395" s="3">
        <v>8</v>
      </c>
      <c r="G395" s="1134"/>
    </row>
    <row r="396" spans="1:7">
      <c r="A396" s="942" t="s">
        <v>1240</v>
      </c>
      <c r="B396" s="3" t="s">
        <v>771</v>
      </c>
      <c r="C396" s="3">
        <v>10</v>
      </c>
      <c r="D396" s="3">
        <v>8</v>
      </c>
      <c r="G396" s="1134"/>
    </row>
    <row r="397" spans="1:7">
      <c r="A397" s="942" t="s">
        <v>3368</v>
      </c>
      <c r="B397" s="3">
        <v>10</v>
      </c>
      <c r="C397" s="3">
        <v>10</v>
      </c>
      <c r="D397" s="3">
        <v>10</v>
      </c>
      <c r="G397" s="1134"/>
    </row>
    <row r="398" spans="1:7" ht="30">
      <c r="A398" s="942" t="s">
        <v>632</v>
      </c>
      <c r="B398" s="3">
        <v>8</v>
      </c>
      <c r="C398" s="3">
        <v>8</v>
      </c>
      <c r="D398" s="3">
        <v>8</v>
      </c>
      <c r="G398" s="1134"/>
    </row>
    <row r="399" spans="1:7">
      <c r="A399" s="942"/>
      <c r="G399" s="1134"/>
    </row>
    <row r="400" spans="1:7">
      <c r="A400" s="334" t="s">
        <v>3291</v>
      </c>
      <c r="B400" s="186" t="s">
        <v>3256</v>
      </c>
      <c r="C400" s="186" t="s">
        <v>3257</v>
      </c>
      <c r="D400" s="334" t="s">
        <v>3263</v>
      </c>
      <c r="G400" s="1134"/>
    </row>
    <row r="401" spans="1:7">
      <c r="A401" s="942" t="s">
        <v>1210</v>
      </c>
      <c r="B401" s="3" t="s">
        <v>771</v>
      </c>
      <c r="C401" s="3">
        <v>8</v>
      </c>
      <c r="D401" s="3">
        <v>7</v>
      </c>
      <c r="G401" s="1134"/>
    </row>
    <row r="402" spans="1:7">
      <c r="A402" s="942" t="s">
        <v>1232</v>
      </c>
      <c r="B402" s="3">
        <v>9</v>
      </c>
      <c r="C402" s="3">
        <v>9</v>
      </c>
      <c r="D402" s="3">
        <v>9</v>
      </c>
      <c r="G402" s="1134"/>
    </row>
    <row r="403" spans="1:7">
      <c r="A403" s="942" t="s">
        <v>1240</v>
      </c>
      <c r="B403" s="3">
        <v>10</v>
      </c>
      <c r="C403" s="3">
        <v>10</v>
      </c>
      <c r="D403" s="3">
        <v>10</v>
      </c>
      <c r="G403" s="1134"/>
    </row>
    <row r="404" spans="1:7">
      <c r="A404" s="942" t="s">
        <v>3368</v>
      </c>
      <c r="B404" s="3">
        <v>10</v>
      </c>
      <c r="C404" s="3">
        <v>10</v>
      </c>
      <c r="D404" s="3">
        <v>10</v>
      </c>
      <c r="G404" s="1134"/>
    </row>
    <row r="405" spans="1:7" ht="30">
      <c r="A405" s="942" t="s">
        <v>632</v>
      </c>
      <c r="B405" s="3">
        <v>9</v>
      </c>
      <c r="C405" s="3">
        <v>9</v>
      </c>
      <c r="D405" s="3">
        <v>9</v>
      </c>
      <c r="G405" s="1134"/>
    </row>
    <row r="406" spans="1:7">
      <c r="A406" s="942"/>
      <c r="G406" s="1134"/>
    </row>
    <row r="407" spans="1:7">
      <c r="A407" s="334" t="s">
        <v>3292</v>
      </c>
      <c r="B407" s="186" t="s">
        <v>3256</v>
      </c>
      <c r="C407" s="186" t="s">
        <v>3257</v>
      </c>
      <c r="D407" s="334" t="s">
        <v>3263</v>
      </c>
      <c r="G407" s="1134"/>
    </row>
    <row r="408" spans="1:7">
      <c r="A408" s="942" t="s">
        <v>1210</v>
      </c>
      <c r="B408" s="3" t="s">
        <v>771</v>
      </c>
      <c r="C408" s="3">
        <v>8</v>
      </c>
      <c r="D408" s="3">
        <v>7</v>
      </c>
      <c r="G408" s="1134"/>
    </row>
    <row r="409" spans="1:7">
      <c r="A409" s="942" t="s">
        <v>1232</v>
      </c>
      <c r="B409" s="3">
        <v>9</v>
      </c>
      <c r="C409" s="3">
        <v>9</v>
      </c>
      <c r="D409" s="3">
        <v>9</v>
      </c>
      <c r="G409" s="1134"/>
    </row>
    <row r="410" spans="1:7">
      <c r="A410" s="942" t="s">
        <v>1240</v>
      </c>
      <c r="B410" s="3">
        <v>10</v>
      </c>
      <c r="C410" s="3">
        <v>10</v>
      </c>
      <c r="D410" s="3">
        <v>10</v>
      </c>
      <c r="G410" s="1134"/>
    </row>
    <row r="411" spans="1:7">
      <c r="A411" s="942" t="s">
        <v>3368</v>
      </c>
      <c r="B411" s="3">
        <v>10</v>
      </c>
      <c r="C411" s="3">
        <v>10</v>
      </c>
      <c r="D411" s="3">
        <v>10</v>
      </c>
      <c r="G411" s="1134"/>
    </row>
    <row r="412" spans="1:7" ht="30">
      <c r="A412" s="942" t="s">
        <v>632</v>
      </c>
      <c r="B412" s="3">
        <v>9</v>
      </c>
      <c r="C412" s="3">
        <v>9</v>
      </c>
      <c r="D412" s="3">
        <v>9</v>
      </c>
      <c r="G412" s="1134"/>
    </row>
    <row r="413" spans="1:7">
      <c r="A413" s="942"/>
      <c r="G413" s="1134"/>
    </row>
    <row r="414" spans="1:7">
      <c r="A414" s="334" t="s">
        <v>3293</v>
      </c>
      <c r="B414" s="186" t="s">
        <v>3256</v>
      </c>
      <c r="C414" s="186" t="s">
        <v>3257</v>
      </c>
      <c r="D414" s="334" t="s">
        <v>3263</v>
      </c>
      <c r="G414" s="1134"/>
    </row>
    <row r="415" spans="1:7">
      <c r="A415" s="942" t="s">
        <v>1210</v>
      </c>
      <c r="B415" s="3" t="s">
        <v>771</v>
      </c>
      <c r="C415" s="3">
        <v>9</v>
      </c>
      <c r="D415" s="3">
        <v>7</v>
      </c>
      <c r="G415" s="1134"/>
    </row>
    <row r="416" spans="1:7">
      <c r="A416" s="942" t="s">
        <v>1232</v>
      </c>
      <c r="B416" s="3">
        <v>9</v>
      </c>
      <c r="C416" s="3">
        <v>9</v>
      </c>
      <c r="D416" s="3">
        <v>9</v>
      </c>
      <c r="G416" s="1134"/>
    </row>
    <row r="417" spans="1:7">
      <c r="A417" s="942" t="s">
        <v>1240</v>
      </c>
      <c r="B417" s="3">
        <v>10</v>
      </c>
      <c r="C417" s="3">
        <v>10</v>
      </c>
      <c r="D417" s="3">
        <v>10</v>
      </c>
      <c r="G417" s="1134"/>
    </row>
    <row r="418" spans="1:7">
      <c r="A418" s="942" t="s">
        <v>3368</v>
      </c>
      <c r="B418" s="3">
        <v>10</v>
      </c>
      <c r="C418" s="3">
        <v>10</v>
      </c>
      <c r="D418" s="3">
        <v>10</v>
      </c>
      <c r="G418" s="1134"/>
    </row>
    <row r="419" spans="1:7" ht="30">
      <c r="A419" s="942" t="s">
        <v>632</v>
      </c>
      <c r="B419" s="3">
        <v>9</v>
      </c>
      <c r="C419" s="3">
        <v>9</v>
      </c>
      <c r="D419" s="3">
        <v>9</v>
      </c>
      <c r="G419" s="1134"/>
    </row>
    <row r="420" spans="1:7">
      <c r="A420" s="942"/>
      <c r="G420" s="1134"/>
    </row>
    <row r="421" spans="1:7">
      <c r="A421" s="334" t="s">
        <v>3294</v>
      </c>
      <c r="B421" s="186" t="s">
        <v>3256</v>
      </c>
      <c r="C421" s="186" t="s">
        <v>3257</v>
      </c>
      <c r="D421" s="334" t="s">
        <v>3263</v>
      </c>
      <c r="G421" s="1134"/>
    </row>
    <row r="422" spans="1:7">
      <c r="A422" s="942" t="s">
        <v>1210</v>
      </c>
      <c r="B422" s="3">
        <v>10</v>
      </c>
      <c r="C422" s="3">
        <v>9</v>
      </c>
      <c r="D422" s="3">
        <v>9</v>
      </c>
      <c r="G422" s="1134"/>
    </row>
    <row r="423" spans="1:7">
      <c r="A423" s="942" t="s">
        <v>1232</v>
      </c>
      <c r="B423" s="3">
        <v>10</v>
      </c>
      <c r="C423" s="3">
        <v>10</v>
      </c>
      <c r="D423" s="3">
        <v>10</v>
      </c>
      <c r="G423" s="1134"/>
    </row>
    <row r="424" spans="1:7">
      <c r="A424" s="942" t="s">
        <v>1240</v>
      </c>
      <c r="B424" s="3">
        <v>10</v>
      </c>
      <c r="C424" s="3">
        <v>10</v>
      </c>
      <c r="D424" s="3">
        <v>10</v>
      </c>
      <c r="G424" s="1134"/>
    </row>
    <row r="425" spans="1:7">
      <c r="A425" s="942" t="s">
        <v>3368</v>
      </c>
      <c r="B425" s="3">
        <v>10</v>
      </c>
      <c r="C425" s="3">
        <v>10</v>
      </c>
      <c r="D425" s="3">
        <v>10</v>
      </c>
      <c r="G425" s="1134"/>
    </row>
    <row r="426" spans="1:7" ht="30">
      <c r="A426" s="942" t="s">
        <v>632</v>
      </c>
      <c r="B426" s="3">
        <v>10</v>
      </c>
      <c r="C426" s="3">
        <v>10</v>
      </c>
      <c r="D426" s="3">
        <v>10</v>
      </c>
      <c r="G426" s="1134"/>
    </row>
    <row r="427" spans="1:7">
      <c r="A427" s="942"/>
      <c r="G427" s="1134"/>
    </row>
    <row r="428" spans="1:7">
      <c r="A428" s="334" t="s">
        <v>837</v>
      </c>
      <c r="B428" s="186" t="s">
        <v>3256</v>
      </c>
      <c r="C428" s="186" t="s">
        <v>3257</v>
      </c>
      <c r="D428" s="334" t="s">
        <v>3263</v>
      </c>
      <c r="G428" s="1134"/>
    </row>
    <row r="429" spans="1:7">
      <c r="A429" s="942" t="s">
        <v>1210</v>
      </c>
      <c r="B429" s="3" t="s">
        <v>771</v>
      </c>
      <c r="C429" s="3">
        <v>9</v>
      </c>
      <c r="D429" s="3">
        <v>7</v>
      </c>
      <c r="G429" s="1134"/>
    </row>
    <row r="430" spans="1:7">
      <c r="A430" s="942" t="s">
        <v>1232</v>
      </c>
      <c r="B430" s="3">
        <v>8</v>
      </c>
      <c r="C430" s="3">
        <v>8</v>
      </c>
      <c r="D430" s="3">
        <v>8</v>
      </c>
      <c r="G430" s="1134"/>
    </row>
    <row r="431" spans="1:7">
      <c r="A431" s="942" t="s">
        <v>1240</v>
      </c>
      <c r="B431" s="3" t="s">
        <v>771</v>
      </c>
      <c r="C431" s="3">
        <v>10</v>
      </c>
      <c r="D431" s="3">
        <v>8</v>
      </c>
      <c r="G431" s="1134"/>
    </row>
    <row r="432" spans="1:7">
      <c r="A432" s="942" t="s">
        <v>3368</v>
      </c>
      <c r="B432" s="3">
        <v>10</v>
      </c>
      <c r="C432" s="3">
        <v>9</v>
      </c>
      <c r="D432" s="3">
        <v>9</v>
      </c>
      <c r="G432" s="1134"/>
    </row>
    <row r="433" spans="1:7" ht="30">
      <c r="A433" s="942" t="s">
        <v>632</v>
      </c>
      <c r="B433" s="3">
        <v>7</v>
      </c>
      <c r="C433" s="3">
        <v>7</v>
      </c>
      <c r="D433" s="3">
        <v>7</v>
      </c>
      <c r="G433" s="1134"/>
    </row>
    <row r="434" spans="1:7">
      <c r="A434" s="942"/>
      <c r="G434" s="1134"/>
    </row>
    <row r="435" spans="1:7">
      <c r="A435" s="334" t="s">
        <v>815</v>
      </c>
      <c r="B435" s="186" t="s">
        <v>3256</v>
      </c>
      <c r="C435" s="186" t="s">
        <v>3257</v>
      </c>
      <c r="D435" s="334" t="s">
        <v>3263</v>
      </c>
      <c r="G435" s="1134"/>
    </row>
    <row r="436" spans="1:7">
      <c r="A436" s="942" t="s">
        <v>1210</v>
      </c>
      <c r="B436" s="3">
        <v>10</v>
      </c>
      <c r="C436" s="3">
        <v>9</v>
      </c>
      <c r="D436" s="3">
        <v>9</v>
      </c>
      <c r="G436" s="1134"/>
    </row>
    <row r="437" spans="1:7">
      <c r="A437" s="942" t="s">
        <v>1232</v>
      </c>
      <c r="B437" s="3">
        <v>9</v>
      </c>
      <c r="C437" s="3">
        <v>9</v>
      </c>
      <c r="D437" s="3">
        <v>9</v>
      </c>
      <c r="G437" s="1134"/>
    </row>
    <row r="438" spans="1:7">
      <c r="A438" s="942" t="s">
        <v>1240</v>
      </c>
      <c r="B438" s="3">
        <v>10</v>
      </c>
      <c r="C438" s="3">
        <v>10</v>
      </c>
      <c r="D438" s="3">
        <v>10</v>
      </c>
      <c r="G438" s="1134"/>
    </row>
    <row r="439" spans="1:7">
      <c r="A439" s="942" t="s">
        <v>3368</v>
      </c>
      <c r="B439" s="3">
        <v>10</v>
      </c>
      <c r="C439" s="3">
        <v>10</v>
      </c>
      <c r="D439" s="3">
        <v>10</v>
      </c>
      <c r="G439" s="1134"/>
    </row>
    <row r="440" spans="1:7" ht="30">
      <c r="A440" s="942" t="s">
        <v>632</v>
      </c>
      <c r="B440" s="3">
        <v>9</v>
      </c>
      <c r="C440" s="3">
        <v>9</v>
      </c>
      <c r="D440" s="3">
        <v>9</v>
      </c>
      <c r="G440" s="1134"/>
    </row>
    <row r="441" spans="1:7">
      <c r="A441" s="942"/>
      <c r="G441" s="1134"/>
    </row>
    <row r="442" spans="1:7">
      <c r="A442" s="942"/>
      <c r="G442" s="1134"/>
    </row>
    <row r="443" spans="1:7">
      <c r="A443" s="942"/>
    </row>
    <row r="444" spans="1:7">
      <c r="A444" s="942"/>
    </row>
    <row r="445" spans="1:7">
      <c r="A445" s="942"/>
    </row>
    <row r="446" spans="1:7">
      <c r="A446" s="942"/>
    </row>
    <row r="447" spans="1:7">
      <c r="A447" s="942"/>
    </row>
    <row r="448" spans="1:7">
      <c r="A448" s="942"/>
    </row>
    <row r="449" spans="1:1">
      <c r="A449" s="942"/>
    </row>
    <row r="450" spans="1:1">
      <c r="A450" s="942"/>
    </row>
    <row r="451" spans="1:1">
      <c r="A451" s="942"/>
    </row>
    <row r="452" spans="1:1">
      <c r="A452" s="942"/>
    </row>
    <row r="453" spans="1:1">
      <c r="A453" s="942"/>
    </row>
    <row r="454" spans="1:1">
      <c r="A454" s="942"/>
    </row>
    <row r="455" spans="1:1">
      <c r="A455" s="942"/>
    </row>
    <row r="456" spans="1:1">
      <c r="A456" s="942"/>
    </row>
    <row r="457" spans="1:1">
      <c r="A457" s="942"/>
    </row>
    <row r="458" spans="1:1">
      <c r="A458" s="942"/>
    </row>
    <row r="459" spans="1:1">
      <c r="A459" s="942"/>
    </row>
    <row r="460" spans="1:1">
      <c r="A460" s="942"/>
    </row>
    <row r="461" spans="1:1">
      <c r="A461" s="942"/>
    </row>
    <row r="462" spans="1:1">
      <c r="A462" s="942"/>
    </row>
    <row r="463" spans="1:1">
      <c r="A463" s="942"/>
    </row>
    <row r="464" spans="1:1">
      <c r="A464" s="942"/>
    </row>
    <row r="465" spans="1:1">
      <c r="A465" s="942"/>
    </row>
    <row r="466" spans="1:1">
      <c r="A466" s="942"/>
    </row>
    <row r="467" spans="1:1">
      <c r="A467" s="942"/>
    </row>
    <row r="468" spans="1:1">
      <c r="A468" s="942"/>
    </row>
    <row r="469" spans="1:1">
      <c r="A469" s="942"/>
    </row>
    <row r="470" spans="1:1">
      <c r="A470" s="942"/>
    </row>
    <row r="471" spans="1:1">
      <c r="A471" s="942"/>
    </row>
    <row r="472" spans="1:1">
      <c r="A472" s="942"/>
    </row>
    <row r="473" spans="1:1">
      <c r="A473" s="942"/>
    </row>
    <row r="474" spans="1:1">
      <c r="A474" s="942"/>
    </row>
    <row r="475" spans="1:1">
      <c r="A475" s="942"/>
    </row>
    <row r="476" spans="1:1">
      <c r="A476" s="942"/>
    </row>
    <row r="477" spans="1:1">
      <c r="A477" s="942"/>
    </row>
    <row r="478" spans="1:1">
      <c r="A478" s="942"/>
    </row>
    <row r="479" spans="1:1">
      <c r="A479" s="942"/>
    </row>
    <row r="480" spans="1:1">
      <c r="A480" s="942"/>
    </row>
    <row r="481" spans="1:1">
      <c r="A481" s="942"/>
    </row>
    <row r="482" spans="1:1">
      <c r="A482" s="942"/>
    </row>
    <row r="483" spans="1:1">
      <c r="A483" s="942"/>
    </row>
    <row r="484" spans="1:1">
      <c r="A484" s="942"/>
    </row>
    <row r="485" spans="1:1">
      <c r="A485" s="942"/>
    </row>
    <row r="486" spans="1:1">
      <c r="A486" s="942"/>
    </row>
    <row r="487" spans="1:1">
      <c r="A487" s="942"/>
    </row>
    <row r="488" spans="1:1">
      <c r="A488" s="942"/>
    </row>
    <row r="489" spans="1:1">
      <c r="A489" s="942"/>
    </row>
    <row r="490" spans="1:1">
      <c r="A490" s="942"/>
    </row>
    <row r="491" spans="1:1">
      <c r="A491" s="942"/>
    </row>
    <row r="492" spans="1:1">
      <c r="A492" s="942"/>
    </row>
    <row r="493" spans="1:1">
      <c r="A493" s="942"/>
    </row>
    <row r="494" spans="1:1">
      <c r="A494" s="942"/>
    </row>
    <row r="495" spans="1:1">
      <c r="A495" s="942"/>
    </row>
    <row r="496" spans="1:1">
      <c r="A496" s="942"/>
    </row>
    <row r="497" spans="1:1">
      <c r="A497" s="942"/>
    </row>
    <row r="498" spans="1:1">
      <c r="A498" s="942"/>
    </row>
    <row r="499" spans="1:1">
      <c r="A499" s="942"/>
    </row>
    <row r="500" spans="1:1">
      <c r="A500" s="942"/>
    </row>
    <row r="501" spans="1:1">
      <c r="A501" s="942"/>
    </row>
    <row r="502" spans="1:1">
      <c r="A502" s="942"/>
    </row>
    <row r="503" spans="1:1">
      <c r="A503" s="942"/>
    </row>
    <row r="504" spans="1:1">
      <c r="A504" s="942"/>
    </row>
    <row r="505" spans="1:1">
      <c r="A505" s="942"/>
    </row>
    <row r="506" spans="1:1">
      <c r="A506" s="942"/>
    </row>
    <row r="507" spans="1:1">
      <c r="A507" s="942"/>
    </row>
    <row r="508" spans="1:1">
      <c r="A508" s="942"/>
    </row>
    <row r="509" spans="1:1">
      <c r="A509" s="942"/>
    </row>
    <row r="510" spans="1:1">
      <c r="A510" s="942"/>
    </row>
    <row r="511" spans="1:1">
      <c r="A511" s="942"/>
    </row>
    <row r="512" spans="1:1">
      <c r="A512" s="942"/>
    </row>
    <row r="513" spans="1:1">
      <c r="A513" s="942"/>
    </row>
    <row r="514" spans="1:1">
      <c r="A514" s="942"/>
    </row>
    <row r="515" spans="1:1">
      <c r="A515" s="942"/>
    </row>
    <row r="516" spans="1:1">
      <c r="A516" s="942"/>
    </row>
    <row r="517" spans="1:1">
      <c r="A517" s="942"/>
    </row>
    <row r="518" spans="1:1">
      <c r="A518" s="942"/>
    </row>
    <row r="519" spans="1:1">
      <c r="A519" s="942"/>
    </row>
    <row r="520" spans="1:1">
      <c r="A520" s="942"/>
    </row>
    <row r="521" spans="1:1">
      <c r="A521" s="942"/>
    </row>
    <row r="522" spans="1:1">
      <c r="A522" s="942"/>
    </row>
    <row r="523" spans="1:1">
      <c r="A523" s="942"/>
    </row>
    <row r="524" spans="1:1">
      <c r="A524" s="942"/>
    </row>
    <row r="525" spans="1:1">
      <c r="A525" s="942"/>
    </row>
    <row r="526" spans="1:1">
      <c r="A526" s="942"/>
    </row>
    <row r="527" spans="1:1">
      <c r="A527" s="942"/>
    </row>
    <row r="528" spans="1:1">
      <c r="A528" s="942"/>
    </row>
    <row r="529" spans="1:1">
      <c r="A529" s="942"/>
    </row>
    <row r="530" spans="1:1">
      <c r="A530" s="942"/>
    </row>
    <row r="531" spans="1:1">
      <c r="A531" s="942"/>
    </row>
    <row r="532" spans="1:1">
      <c r="A532" s="942"/>
    </row>
    <row r="533" spans="1:1">
      <c r="A533" s="942"/>
    </row>
    <row r="534" spans="1:1">
      <c r="A534" s="942"/>
    </row>
    <row r="535" spans="1:1">
      <c r="A535" s="942"/>
    </row>
    <row r="536" spans="1:1">
      <c r="A536" s="942"/>
    </row>
    <row r="537" spans="1:1">
      <c r="A537" s="942"/>
    </row>
    <row r="538" spans="1:1">
      <c r="A538" s="942"/>
    </row>
    <row r="539" spans="1:1">
      <c r="A539" s="942"/>
    </row>
    <row r="540" spans="1:1">
      <c r="A540" s="942"/>
    </row>
    <row r="541" spans="1:1">
      <c r="A541" s="942"/>
    </row>
    <row r="542" spans="1:1">
      <c r="A542" s="942"/>
    </row>
    <row r="543" spans="1:1">
      <c r="A543" s="942"/>
    </row>
    <row r="544" spans="1:1">
      <c r="A544" s="942"/>
    </row>
    <row r="545" spans="1:1">
      <c r="A545" s="942"/>
    </row>
    <row r="546" spans="1:1">
      <c r="A546" s="942"/>
    </row>
    <row r="547" spans="1:1">
      <c r="A547" s="942"/>
    </row>
    <row r="548" spans="1:1">
      <c r="A548" s="942"/>
    </row>
    <row r="549" spans="1:1">
      <c r="A549" s="942"/>
    </row>
    <row r="550" spans="1:1">
      <c r="A550" s="942"/>
    </row>
    <row r="551" spans="1:1">
      <c r="A551" s="942"/>
    </row>
    <row r="552" spans="1:1">
      <c r="A552" s="942"/>
    </row>
    <row r="553" spans="1:1">
      <c r="A553" s="942"/>
    </row>
    <row r="554" spans="1:1">
      <c r="A554" s="942"/>
    </row>
    <row r="555" spans="1:1">
      <c r="A555" s="942"/>
    </row>
    <row r="556" spans="1:1">
      <c r="A556" s="942"/>
    </row>
    <row r="557" spans="1:1">
      <c r="A557" s="942"/>
    </row>
    <row r="558" spans="1:1">
      <c r="A558" s="942"/>
    </row>
    <row r="559" spans="1:1">
      <c r="A559" s="942"/>
    </row>
    <row r="560" spans="1:1">
      <c r="A560" s="942"/>
    </row>
    <row r="561" spans="1:1">
      <c r="A561" s="942"/>
    </row>
    <row r="562" spans="1:1">
      <c r="A562" s="942"/>
    </row>
    <row r="563" spans="1:1">
      <c r="A563" s="942"/>
    </row>
    <row r="564" spans="1:1">
      <c r="A564" s="942"/>
    </row>
    <row r="565" spans="1:1">
      <c r="A565" s="942"/>
    </row>
    <row r="566" spans="1:1">
      <c r="A566" s="942"/>
    </row>
    <row r="567" spans="1:1">
      <c r="A567" s="942"/>
    </row>
    <row r="568" spans="1:1">
      <c r="A568" s="942"/>
    </row>
    <row r="569" spans="1:1">
      <c r="A569" s="942"/>
    </row>
    <row r="570" spans="1:1">
      <c r="A570" s="942"/>
    </row>
    <row r="571" spans="1:1">
      <c r="A571" s="942"/>
    </row>
    <row r="572" spans="1:1">
      <c r="A572" s="942"/>
    </row>
    <row r="573" spans="1:1">
      <c r="A573" s="942"/>
    </row>
    <row r="574" spans="1:1">
      <c r="A574" s="942"/>
    </row>
    <row r="575" spans="1:1">
      <c r="A575" s="942"/>
    </row>
    <row r="576" spans="1:1">
      <c r="A576" s="942"/>
    </row>
    <row r="577" spans="1:1">
      <c r="A577" s="942"/>
    </row>
    <row r="578" spans="1:1">
      <c r="A578" s="942"/>
    </row>
    <row r="579" spans="1:1">
      <c r="A579" s="942"/>
    </row>
    <row r="580" spans="1:1">
      <c r="A580" s="942"/>
    </row>
    <row r="581" spans="1:1">
      <c r="A581" s="942"/>
    </row>
    <row r="582" spans="1:1">
      <c r="A582" s="942"/>
    </row>
    <row r="583" spans="1:1">
      <c r="A583" s="942"/>
    </row>
    <row r="584" spans="1:1">
      <c r="A584" s="942"/>
    </row>
    <row r="585" spans="1:1">
      <c r="A585" s="942"/>
    </row>
    <row r="586" spans="1:1">
      <c r="A586" s="942"/>
    </row>
    <row r="587" spans="1:1">
      <c r="A587" s="942"/>
    </row>
    <row r="588" spans="1:1">
      <c r="A588" s="942"/>
    </row>
    <row r="589" spans="1:1">
      <c r="A589" s="942"/>
    </row>
    <row r="590" spans="1:1">
      <c r="A590" s="942"/>
    </row>
    <row r="591" spans="1:1">
      <c r="A591" s="942"/>
    </row>
    <row r="592" spans="1:1">
      <c r="A592" s="942"/>
    </row>
    <row r="593" spans="1:1">
      <c r="A593" s="942"/>
    </row>
    <row r="594" spans="1:1">
      <c r="A594" s="942"/>
    </row>
    <row r="595" spans="1:1">
      <c r="A595" s="942"/>
    </row>
    <row r="596" spans="1:1">
      <c r="A596" s="942"/>
    </row>
    <row r="597" spans="1:1">
      <c r="A597" s="942"/>
    </row>
    <row r="598" spans="1:1">
      <c r="A598" s="942"/>
    </row>
    <row r="599" spans="1:1">
      <c r="A599" s="942"/>
    </row>
    <row r="600" spans="1:1">
      <c r="A600" s="942"/>
    </row>
    <row r="601" spans="1:1">
      <c r="A601" s="942"/>
    </row>
    <row r="602" spans="1:1">
      <c r="A602" s="942"/>
    </row>
    <row r="603" spans="1:1">
      <c r="A603" s="942"/>
    </row>
    <row r="604" spans="1:1">
      <c r="A604" s="942"/>
    </row>
    <row r="605" spans="1:1">
      <c r="A605" s="942"/>
    </row>
    <row r="606" spans="1:1">
      <c r="A606" s="942"/>
    </row>
    <row r="607" spans="1:1">
      <c r="A607" s="942"/>
    </row>
    <row r="608" spans="1:1">
      <c r="A608" s="942"/>
    </row>
    <row r="609" spans="1:1">
      <c r="A609" s="942"/>
    </row>
    <row r="610" spans="1:1">
      <c r="A610" s="942"/>
    </row>
    <row r="611" spans="1:1">
      <c r="A611" s="942"/>
    </row>
    <row r="612" spans="1:1">
      <c r="A612" s="942"/>
    </row>
    <row r="613" spans="1:1">
      <c r="A613" s="942"/>
    </row>
    <row r="614" spans="1:1">
      <c r="A614" s="942"/>
    </row>
    <row r="615" spans="1:1">
      <c r="A615" s="942"/>
    </row>
    <row r="616" spans="1:1">
      <c r="A616" s="942"/>
    </row>
    <row r="617" spans="1:1">
      <c r="A617" s="942"/>
    </row>
    <row r="618" spans="1:1">
      <c r="A618" s="942"/>
    </row>
    <row r="619" spans="1:1">
      <c r="A619" s="942"/>
    </row>
    <row r="620" spans="1:1">
      <c r="A620" s="942"/>
    </row>
    <row r="621" spans="1:1">
      <c r="A621" s="942"/>
    </row>
    <row r="622" spans="1:1">
      <c r="A622" s="942"/>
    </row>
    <row r="623" spans="1:1">
      <c r="A623" s="942"/>
    </row>
    <row r="624" spans="1:1">
      <c r="A624" s="942"/>
    </row>
    <row r="625" spans="1:1">
      <c r="A625" s="942"/>
    </row>
    <row r="626" spans="1:1">
      <c r="A626" s="942"/>
    </row>
    <row r="627" spans="1:1">
      <c r="A627" s="942"/>
    </row>
    <row r="628" spans="1:1">
      <c r="A628" s="942"/>
    </row>
    <row r="629" spans="1:1">
      <c r="A629" s="942"/>
    </row>
    <row r="630" spans="1:1">
      <c r="A630" s="942"/>
    </row>
    <row r="631" spans="1:1">
      <c r="A631" s="942"/>
    </row>
    <row r="632" spans="1:1">
      <c r="A632" s="942"/>
    </row>
    <row r="633" spans="1:1">
      <c r="A633" s="942"/>
    </row>
    <row r="634" spans="1:1">
      <c r="A634" s="942"/>
    </row>
    <row r="635" spans="1:1">
      <c r="A635" s="942"/>
    </row>
    <row r="636" spans="1:1">
      <c r="A636" s="942"/>
    </row>
    <row r="637" spans="1:1">
      <c r="A637" s="942"/>
    </row>
    <row r="638" spans="1:1">
      <c r="A638" s="942"/>
    </row>
    <row r="639" spans="1:1">
      <c r="A639" s="942"/>
    </row>
    <row r="640" spans="1:1">
      <c r="A640" s="942"/>
    </row>
    <row r="641" spans="1:1">
      <c r="A641" s="942"/>
    </row>
    <row r="642" spans="1:1">
      <c r="A642" s="942"/>
    </row>
    <row r="643" spans="1:1">
      <c r="A643" s="942"/>
    </row>
    <row r="644" spans="1:1">
      <c r="A644" s="942"/>
    </row>
    <row r="645" spans="1:1">
      <c r="A645" s="942"/>
    </row>
    <row r="646" spans="1:1">
      <c r="A646" s="942"/>
    </row>
    <row r="647" spans="1:1">
      <c r="A647" s="942"/>
    </row>
    <row r="648" spans="1:1">
      <c r="A648" s="942"/>
    </row>
    <row r="649" spans="1:1">
      <c r="A649" s="942"/>
    </row>
    <row r="650" spans="1:1">
      <c r="A650" s="942"/>
    </row>
    <row r="651" spans="1:1">
      <c r="A651" s="942"/>
    </row>
    <row r="652" spans="1:1">
      <c r="A652" s="942"/>
    </row>
    <row r="653" spans="1:1">
      <c r="A653" s="942"/>
    </row>
    <row r="654" spans="1:1">
      <c r="A654" s="942"/>
    </row>
    <row r="655" spans="1:1">
      <c r="A655" s="942"/>
    </row>
    <row r="656" spans="1:1">
      <c r="A656" s="942"/>
    </row>
    <row r="657" spans="1:1">
      <c r="A657" s="942"/>
    </row>
    <row r="658" spans="1:1">
      <c r="A658" s="942"/>
    </row>
    <row r="659" spans="1:1">
      <c r="A659" s="942"/>
    </row>
    <row r="660" spans="1:1">
      <c r="A660" s="942"/>
    </row>
    <row r="661" spans="1:1">
      <c r="A661" s="942"/>
    </row>
    <row r="662" spans="1:1">
      <c r="A662" s="942"/>
    </row>
    <row r="663" spans="1:1">
      <c r="A663" s="942"/>
    </row>
    <row r="664" spans="1:1">
      <c r="A664" s="942"/>
    </row>
    <row r="665" spans="1:1">
      <c r="A665" s="942"/>
    </row>
    <row r="666" spans="1:1">
      <c r="A666" s="942"/>
    </row>
    <row r="667" spans="1:1">
      <c r="A667" s="942"/>
    </row>
    <row r="668" spans="1:1">
      <c r="A668" s="942"/>
    </row>
    <row r="669" spans="1:1">
      <c r="A669" s="942"/>
    </row>
    <row r="670" spans="1:1">
      <c r="A670" s="942"/>
    </row>
    <row r="671" spans="1:1">
      <c r="A671" s="942"/>
    </row>
    <row r="672" spans="1:1">
      <c r="A672" s="942"/>
    </row>
    <row r="673" spans="1:1">
      <c r="A673" s="942"/>
    </row>
    <row r="674" spans="1:1">
      <c r="A674" s="942"/>
    </row>
    <row r="675" spans="1:1">
      <c r="A675" s="942"/>
    </row>
    <row r="676" spans="1:1">
      <c r="A676" s="942"/>
    </row>
    <row r="677" spans="1:1">
      <c r="A677" s="942"/>
    </row>
    <row r="678" spans="1:1">
      <c r="A678" s="942"/>
    </row>
    <row r="679" spans="1:1">
      <c r="A679" s="942"/>
    </row>
    <row r="680" spans="1:1">
      <c r="A680" s="942"/>
    </row>
    <row r="681" spans="1:1">
      <c r="A681" s="942"/>
    </row>
    <row r="682" spans="1:1">
      <c r="A682" s="942"/>
    </row>
    <row r="683" spans="1:1">
      <c r="A683" s="942"/>
    </row>
    <row r="684" spans="1:1">
      <c r="A684" s="942"/>
    </row>
    <row r="685" spans="1:1">
      <c r="A685" s="942"/>
    </row>
    <row r="686" spans="1:1">
      <c r="A686" s="942"/>
    </row>
    <row r="687" spans="1:1">
      <c r="A687" s="942"/>
    </row>
    <row r="688" spans="1:1">
      <c r="A688" s="942"/>
    </row>
    <row r="689" spans="1:1">
      <c r="A689" s="942"/>
    </row>
    <row r="690" spans="1:1">
      <c r="A690" s="942"/>
    </row>
    <row r="691" spans="1:1">
      <c r="A691" s="942"/>
    </row>
    <row r="692" spans="1:1">
      <c r="A692" s="942"/>
    </row>
    <row r="693" spans="1:1">
      <c r="A693" s="942"/>
    </row>
    <row r="694" spans="1:1">
      <c r="A694" s="942"/>
    </row>
    <row r="695" spans="1:1">
      <c r="A695" s="942"/>
    </row>
    <row r="696" spans="1:1">
      <c r="A696" s="942"/>
    </row>
    <row r="697" spans="1:1">
      <c r="A697" s="942"/>
    </row>
    <row r="698" spans="1:1">
      <c r="A698" s="942"/>
    </row>
    <row r="699" spans="1:1">
      <c r="A699" s="942"/>
    </row>
    <row r="700" spans="1:1">
      <c r="A700" s="942"/>
    </row>
    <row r="701" spans="1:1">
      <c r="A701" s="942"/>
    </row>
    <row r="702" spans="1:1">
      <c r="A702" s="942"/>
    </row>
    <row r="703" spans="1:1">
      <c r="A703" s="942"/>
    </row>
    <row r="704" spans="1:1">
      <c r="A704" s="942"/>
    </row>
    <row r="705" spans="1:1">
      <c r="A705" s="942"/>
    </row>
    <row r="706" spans="1:1">
      <c r="A706" s="942"/>
    </row>
    <row r="707" spans="1:1">
      <c r="A707" s="942"/>
    </row>
    <row r="708" spans="1:1">
      <c r="A708" s="942"/>
    </row>
    <row r="709" spans="1:1">
      <c r="A709" s="942"/>
    </row>
    <row r="710" spans="1:1">
      <c r="A710" s="942"/>
    </row>
    <row r="711" spans="1:1">
      <c r="A711" s="942"/>
    </row>
    <row r="712" spans="1:1">
      <c r="A712" s="942"/>
    </row>
    <row r="713" spans="1:1">
      <c r="A713" s="942"/>
    </row>
    <row r="714" spans="1:1">
      <c r="A714" s="942"/>
    </row>
    <row r="715" spans="1:1">
      <c r="A715" s="942"/>
    </row>
    <row r="716" spans="1:1">
      <c r="A716" s="942"/>
    </row>
    <row r="717" spans="1:1">
      <c r="A717" s="942"/>
    </row>
    <row r="718" spans="1:1">
      <c r="A718" s="942"/>
    </row>
    <row r="719" spans="1:1">
      <c r="A719" s="942"/>
    </row>
    <row r="720" spans="1:1">
      <c r="A720" s="942"/>
    </row>
    <row r="721" spans="1:1">
      <c r="A721" s="942"/>
    </row>
    <row r="722" spans="1:1">
      <c r="A722" s="942"/>
    </row>
    <row r="723" spans="1:1">
      <c r="A723" s="942"/>
    </row>
    <row r="724" spans="1:1">
      <c r="A724" s="942"/>
    </row>
    <row r="725" spans="1:1">
      <c r="A725" s="942"/>
    </row>
    <row r="726" spans="1:1">
      <c r="A726" s="942"/>
    </row>
    <row r="727" spans="1:1">
      <c r="A727" s="942"/>
    </row>
    <row r="728" spans="1:1">
      <c r="A728" s="942"/>
    </row>
    <row r="729" spans="1:1">
      <c r="A729" s="942"/>
    </row>
    <row r="730" spans="1:1">
      <c r="A730" s="942"/>
    </row>
    <row r="731" spans="1:1">
      <c r="A731" s="942"/>
    </row>
    <row r="732" spans="1:1">
      <c r="A732" s="942"/>
    </row>
    <row r="733" spans="1:1">
      <c r="A733" s="942"/>
    </row>
  </sheetData>
  <autoFilter ref="A1:A733" xr:uid="{5B8B5717-0CAA-424E-825A-7A3D0F8112B7}"/>
  <mergeCells count="7">
    <mergeCell ref="G374:G442"/>
    <mergeCell ref="G1:G45"/>
    <mergeCell ref="G47:G108"/>
    <mergeCell ref="G110:G188"/>
    <mergeCell ref="G190:G243"/>
    <mergeCell ref="G245:G291"/>
    <mergeCell ref="G302:G3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CE55-222D-40B8-9AD5-1544DC88FECC}">
  <sheetPr codeName="Φύλλο2">
    <tabColor theme="9" tint="0.39997558519241921"/>
  </sheetPr>
  <dimension ref="A1:D24"/>
  <sheetViews>
    <sheetView zoomScale="118" zoomScaleNormal="118" workbookViewId="0">
      <selection activeCell="F4" sqref="F4"/>
    </sheetView>
  </sheetViews>
  <sheetFormatPr defaultRowHeight="15"/>
  <cols>
    <col min="1" max="1" width="23.140625" style="136" customWidth="1"/>
    <col min="2" max="2" width="37.42578125" customWidth="1"/>
    <col min="3" max="3" width="79.85546875" style="2" customWidth="1"/>
    <col min="4" max="4" width="10.85546875" bestFit="1" customWidth="1"/>
  </cols>
  <sheetData>
    <row r="1" spans="1:4">
      <c r="A1" s="634" t="s">
        <v>0</v>
      </c>
      <c r="B1" s="634" t="s">
        <v>1</v>
      </c>
      <c r="C1" s="635" t="s">
        <v>2</v>
      </c>
    </row>
    <row r="2" spans="1:4" ht="75">
      <c r="A2" s="643" t="s">
        <v>771</v>
      </c>
      <c r="B2" s="986" t="s">
        <v>3550</v>
      </c>
      <c r="C2" s="534" t="s">
        <v>3551</v>
      </c>
    </row>
    <row r="3" spans="1:4" ht="30">
      <c r="A3" s="48">
        <v>1</v>
      </c>
      <c r="B3" s="254" t="s">
        <v>3803</v>
      </c>
      <c r="C3" s="53" t="s">
        <v>3</v>
      </c>
    </row>
    <row r="4" spans="1:4" ht="30">
      <c r="A4" s="48">
        <v>2</v>
      </c>
      <c r="B4" s="1087" t="s">
        <v>3695</v>
      </c>
      <c r="C4" s="53" t="s">
        <v>3699</v>
      </c>
    </row>
    <row r="5" spans="1:4" ht="30">
      <c r="A5" s="48">
        <v>3</v>
      </c>
      <c r="B5" s="182" t="s">
        <v>4</v>
      </c>
      <c r="C5" s="53" t="s">
        <v>5</v>
      </c>
    </row>
    <row r="6" spans="1:4" ht="45">
      <c r="A6" s="48">
        <v>4</v>
      </c>
      <c r="B6" s="1092" t="s">
        <v>3733</v>
      </c>
      <c r="C6" s="53" t="s">
        <v>3734</v>
      </c>
    </row>
    <row r="7" spans="1:4" ht="45">
      <c r="A7" s="48">
        <v>5</v>
      </c>
      <c r="B7" s="431" t="s">
        <v>7</v>
      </c>
      <c r="C7" s="53" t="s">
        <v>3798</v>
      </c>
    </row>
    <row r="8" spans="1:4" ht="60">
      <c r="A8" s="48">
        <v>6</v>
      </c>
      <c r="B8" s="377" t="s">
        <v>6</v>
      </c>
      <c r="C8" s="53" t="s">
        <v>3548</v>
      </c>
    </row>
    <row r="9" spans="1:4" ht="45">
      <c r="A9" s="48">
        <v>7</v>
      </c>
      <c r="B9" s="181" t="s">
        <v>8</v>
      </c>
      <c r="C9" s="53" t="s">
        <v>9</v>
      </c>
    </row>
    <row r="10" spans="1:4" ht="30">
      <c r="A10" s="48">
        <v>8</v>
      </c>
      <c r="B10" s="181" t="s">
        <v>3696</v>
      </c>
      <c r="C10" s="53" t="s">
        <v>3697</v>
      </c>
    </row>
    <row r="11" spans="1:4" ht="30">
      <c r="A11" s="48">
        <v>9</v>
      </c>
      <c r="B11" s="183" t="s">
        <v>10</v>
      </c>
      <c r="C11" s="53" t="s">
        <v>11</v>
      </c>
    </row>
    <row r="12" spans="1:4" ht="30">
      <c r="A12" s="48">
        <v>10</v>
      </c>
      <c r="B12" s="255" t="s">
        <v>12</v>
      </c>
      <c r="C12" s="53" t="s">
        <v>13</v>
      </c>
    </row>
    <row r="13" spans="1:4" ht="45">
      <c r="A13" s="48">
        <v>11</v>
      </c>
      <c r="B13" s="378" t="s">
        <v>14</v>
      </c>
      <c r="C13" s="53" t="s">
        <v>15</v>
      </c>
      <c r="D13" t="s">
        <v>625</v>
      </c>
    </row>
    <row r="14" spans="1:4" ht="30">
      <c r="A14" s="48">
        <v>12</v>
      </c>
      <c r="B14" s="378" t="s">
        <v>16</v>
      </c>
      <c r="C14" s="53" t="s">
        <v>17</v>
      </c>
    </row>
    <row r="15" spans="1:4" ht="30">
      <c r="A15" s="48">
        <v>13</v>
      </c>
      <c r="B15" s="128" t="s">
        <v>18</v>
      </c>
      <c r="C15" s="53" t="s">
        <v>19</v>
      </c>
    </row>
    <row r="16" spans="1:4" ht="30">
      <c r="A16" s="48">
        <v>14</v>
      </c>
      <c r="B16" s="255" t="s">
        <v>20</v>
      </c>
      <c r="C16" s="53" t="s">
        <v>21</v>
      </c>
    </row>
    <row r="17" spans="1:3" ht="30">
      <c r="A17" s="48">
        <v>15</v>
      </c>
      <c r="B17" s="714" t="s">
        <v>22</v>
      </c>
      <c r="C17" s="53" t="s">
        <v>23</v>
      </c>
    </row>
    <row r="18" spans="1:3" ht="30">
      <c r="A18" s="48">
        <v>16</v>
      </c>
      <c r="B18" s="713" t="s">
        <v>24</v>
      </c>
      <c r="C18" s="53" t="s">
        <v>25</v>
      </c>
    </row>
    <row r="19" spans="1:3" ht="30">
      <c r="A19" s="48">
        <v>17</v>
      </c>
      <c r="B19" s="182" t="s">
        <v>26</v>
      </c>
      <c r="C19" s="53" t="s">
        <v>29</v>
      </c>
    </row>
    <row r="20" spans="1:3" ht="30">
      <c r="A20" s="48">
        <v>18</v>
      </c>
      <c r="B20" s="160" t="s">
        <v>28</v>
      </c>
      <c r="C20" s="53" t="s">
        <v>27</v>
      </c>
    </row>
    <row r="21" spans="1:3" ht="30">
      <c r="A21" s="48">
        <v>19</v>
      </c>
      <c r="B21" s="160" t="s">
        <v>3620</v>
      </c>
      <c r="C21" s="53" t="s">
        <v>3621</v>
      </c>
    </row>
    <row r="22" spans="1:3" ht="75">
      <c r="A22" s="48">
        <v>20</v>
      </c>
      <c r="B22" s="1109" t="s">
        <v>3545</v>
      </c>
      <c r="C22" s="53" t="s">
        <v>3546</v>
      </c>
    </row>
    <row r="23" spans="1:3">
      <c r="A23" s="3"/>
      <c r="B23" s="3"/>
    </row>
    <row r="24" spans="1:3">
      <c r="A24" s="3"/>
      <c r="B24" s="3"/>
    </row>
  </sheetData>
  <autoFilter ref="A1:C1" xr:uid="{26A2CE55-222D-40B8-9AD5-1544DC88FECC}"/>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6A38-1727-4C6C-889A-037D84EE4AF5}">
  <sheetPr>
    <tabColor rgb="FF0070C0"/>
  </sheetPr>
  <dimension ref="A1:AA76"/>
  <sheetViews>
    <sheetView topLeftCell="A8" zoomScaleNormal="100" workbookViewId="0">
      <selection activeCell="B20" sqref="B20:AA30"/>
    </sheetView>
  </sheetViews>
  <sheetFormatPr defaultRowHeight="15"/>
  <cols>
    <col min="1" max="1" width="31.42578125" bestFit="1" customWidth="1"/>
  </cols>
  <sheetData>
    <row r="1" spans="1:27">
      <c r="A1" s="1158" t="s">
        <v>3700</v>
      </c>
      <c r="B1" s="1158"/>
      <c r="C1" s="1158"/>
      <c r="D1" s="1158"/>
      <c r="E1" s="1158"/>
      <c r="F1" s="1158"/>
      <c r="G1" s="1158"/>
      <c r="H1" s="1158"/>
      <c r="I1" s="1158"/>
      <c r="J1" s="1158"/>
      <c r="K1" s="1158"/>
      <c r="L1" s="1158"/>
      <c r="M1" s="1158"/>
      <c r="N1" s="1158"/>
      <c r="O1" s="1158"/>
      <c r="P1" s="1158"/>
      <c r="Q1" s="1158"/>
      <c r="R1" s="1158"/>
      <c r="S1" s="1158"/>
      <c r="T1" s="1158"/>
      <c r="U1" s="1158"/>
      <c r="V1" s="1158"/>
      <c r="W1" s="1158"/>
      <c r="X1" s="1158"/>
      <c r="Y1" s="1158"/>
      <c r="Z1" s="1158"/>
      <c r="AA1" s="1158"/>
    </row>
    <row r="2" spans="1:27" ht="54.75" customHeight="1">
      <c r="A2" s="1088" t="s">
        <v>3702</v>
      </c>
      <c r="B2" s="1159" t="s">
        <v>3703</v>
      </c>
      <c r="C2" s="1159"/>
      <c r="D2" s="1159"/>
      <c r="E2" s="1159"/>
      <c r="F2" s="1159"/>
      <c r="G2" s="1159"/>
      <c r="H2" s="1159"/>
      <c r="I2" s="1159"/>
      <c r="J2" s="1159"/>
      <c r="K2" s="1159"/>
      <c r="L2" s="1159"/>
      <c r="M2" s="1159"/>
      <c r="N2" s="1159"/>
      <c r="O2" s="1159"/>
      <c r="P2" s="1159"/>
      <c r="Q2" s="1159"/>
      <c r="R2" s="1159"/>
      <c r="S2" s="1159"/>
      <c r="T2" s="1159"/>
      <c r="U2" s="1159"/>
      <c r="V2" s="1159"/>
      <c r="W2" s="1159"/>
      <c r="X2" s="1159"/>
      <c r="Y2" s="1159"/>
      <c r="Z2" s="1159"/>
      <c r="AA2" s="1159"/>
    </row>
    <row r="3" spans="1:27">
      <c r="A3" s="3" t="s">
        <v>3707</v>
      </c>
      <c r="B3" s="1147" t="s">
        <v>3708</v>
      </c>
      <c r="C3" s="1147"/>
      <c r="D3" s="1147"/>
      <c r="E3" s="1147"/>
      <c r="F3" s="1147"/>
      <c r="G3" s="1147"/>
      <c r="H3" s="1147"/>
      <c r="I3" s="1147"/>
      <c r="J3" s="1147"/>
      <c r="K3" s="1147"/>
      <c r="L3" s="1147"/>
      <c r="M3" s="1147"/>
      <c r="N3" s="1147"/>
      <c r="O3" s="1147"/>
      <c r="P3" s="1147"/>
      <c r="Q3" s="1147"/>
      <c r="R3" s="1147"/>
      <c r="S3" s="1147"/>
      <c r="T3" s="1147"/>
      <c r="U3" s="1147"/>
      <c r="V3" s="1147"/>
      <c r="W3" s="1147"/>
      <c r="X3" s="1147"/>
      <c r="Y3" s="1147"/>
      <c r="Z3" s="1147"/>
      <c r="AA3" s="1147"/>
    </row>
    <row r="4" spans="1:27">
      <c r="A4" s="3" t="s">
        <v>3709</v>
      </c>
      <c r="B4" s="1147" t="s">
        <v>3710</v>
      </c>
      <c r="C4" s="1147"/>
      <c r="D4" s="1147"/>
      <c r="E4" s="1147"/>
      <c r="F4" s="1147"/>
      <c r="G4" s="1147"/>
      <c r="H4" s="1147"/>
      <c r="I4" s="1147"/>
      <c r="J4" s="1147"/>
      <c r="K4" s="1147"/>
      <c r="L4" s="1147"/>
      <c r="M4" s="1147"/>
      <c r="N4" s="1147"/>
      <c r="O4" s="1147"/>
      <c r="P4" s="1147"/>
      <c r="Q4" s="1147"/>
      <c r="R4" s="1147"/>
      <c r="S4" s="1147"/>
      <c r="T4" s="1147"/>
      <c r="U4" s="1147"/>
      <c r="V4" s="1147"/>
      <c r="W4" s="1147"/>
      <c r="X4" s="1147"/>
      <c r="Y4" s="1147"/>
      <c r="Z4" s="1147"/>
      <c r="AA4" s="1147"/>
    </row>
    <row r="5" spans="1:27">
      <c r="A5" s="3" t="s">
        <v>3711</v>
      </c>
      <c r="B5" s="1147" t="s">
        <v>3712</v>
      </c>
      <c r="C5" s="1147"/>
      <c r="D5" s="1147"/>
      <c r="E5" s="1147"/>
      <c r="F5" s="1147"/>
      <c r="G5" s="1147"/>
      <c r="H5" s="1147"/>
      <c r="I5" s="1147"/>
      <c r="J5" s="1147"/>
      <c r="K5" s="1147"/>
      <c r="L5" s="1147"/>
      <c r="M5" s="1147"/>
      <c r="N5" s="1147"/>
      <c r="O5" s="1147"/>
      <c r="P5" s="1147"/>
      <c r="Q5" s="1147"/>
      <c r="R5" s="1147"/>
      <c r="S5" s="1147"/>
      <c r="T5" s="1147"/>
      <c r="U5" s="1147"/>
      <c r="V5" s="1147"/>
      <c r="W5" s="1147"/>
      <c r="X5" s="1147"/>
      <c r="Y5" s="1147"/>
      <c r="Z5" s="1147"/>
      <c r="AA5" s="1147"/>
    </row>
    <row r="6" spans="1:27">
      <c r="A6" s="3" t="s">
        <v>375</v>
      </c>
      <c r="B6" s="1147" t="s">
        <v>3713</v>
      </c>
      <c r="C6" s="1147"/>
      <c r="D6" s="1147"/>
      <c r="E6" s="1147"/>
      <c r="F6" s="1147"/>
      <c r="G6" s="1147"/>
      <c r="H6" s="1147"/>
      <c r="I6" s="1147"/>
      <c r="J6" s="1147"/>
      <c r="K6" s="1147"/>
      <c r="L6" s="1147"/>
      <c r="M6" s="1147"/>
      <c r="N6" s="1147"/>
      <c r="O6" s="1147"/>
      <c r="P6" s="1147"/>
      <c r="Q6" s="1147"/>
      <c r="R6" s="1147"/>
      <c r="S6" s="1147"/>
      <c r="T6" s="1147"/>
      <c r="U6" s="1147"/>
      <c r="V6" s="1147"/>
      <c r="W6" s="1147"/>
      <c r="X6" s="1147"/>
      <c r="Y6" s="1147"/>
      <c r="Z6" s="1147"/>
      <c r="AA6" s="1147"/>
    </row>
    <row r="7" spans="1:27">
      <c r="A7" s="3" t="s">
        <v>48</v>
      </c>
      <c r="B7" s="1147" t="s">
        <v>3714</v>
      </c>
      <c r="C7" s="1147"/>
      <c r="D7" s="1147"/>
      <c r="E7" s="1147"/>
      <c r="F7" s="1147"/>
      <c r="G7" s="1147"/>
      <c r="H7" s="1147"/>
      <c r="I7" s="1147"/>
      <c r="J7" s="1147"/>
      <c r="K7" s="1147"/>
      <c r="L7" s="1147"/>
      <c r="M7" s="1147"/>
      <c r="N7" s="1147"/>
      <c r="O7" s="1147"/>
      <c r="P7" s="1147"/>
      <c r="Q7" s="1147"/>
      <c r="R7" s="1147"/>
      <c r="S7" s="1147"/>
      <c r="T7" s="1147"/>
      <c r="U7" s="1147"/>
      <c r="V7" s="1147"/>
      <c r="W7" s="1147"/>
      <c r="X7" s="1147"/>
      <c r="Y7" s="1147"/>
      <c r="Z7" s="1147"/>
      <c r="AA7" s="1147"/>
    </row>
    <row r="8" spans="1:27">
      <c r="A8" s="3" t="s">
        <v>3715</v>
      </c>
      <c r="B8" s="1147" t="s">
        <v>3716</v>
      </c>
      <c r="C8" s="1147"/>
      <c r="D8" s="1147"/>
      <c r="E8" s="1147"/>
      <c r="F8" s="1147"/>
      <c r="G8" s="1147"/>
      <c r="H8" s="1147"/>
      <c r="I8" s="1147"/>
      <c r="J8" s="1147"/>
      <c r="K8" s="1147"/>
      <c r="L8" s="1147"/>
      <c r="M8" s="1147"/>
      <c r="N8" s="1147"/>
      <c r="O8" s="1147"/>
      <c r="P8" s="1147"/>
      <c r="Q8" s="1147"/>
      <c r="R8" s="1147"/>
      <c r="S8" s="1147"/>
      <c r="T8" s="1147"/>
      <c r="U8" s="1147"/>
      <c r="V8" s="1147"/>
      <c r="W8" s="1147"/>
      <c r="X8" s="1147"/>
      <c r="Y8" s="1147"/>
      <c r="Z8" s="1147"/>
      <c r="AA8" s="1147"/>
    </row>
    <row r="9" spans="1:27">
      <c r="A9" s="3" t="s">
        <v>3717</v>
      </c>
      <c r="B9" s="1161" t="s">
        <v>3718</v>
      </c>
      <c r="C9" s="1161"/>
      <c r="D9" s="1161"/>
      <c r="E9" s="1161"/>
      <c r="F9" s="1161"/>
      <c r="G9" s="1161"/>
      <c r="H9" s="1161"/>
      <c r="I9" s="1161"/>
      <c r="J9" s="1161"/>
      <c r="K9" s="1161"/>
      <c r="L9" s="1161"/>
      <c r="M9" s="1161"/>
      <c r="N9" s="1161"/>
      <c r="O9" s="1161"/>
      <c r="P9" s="1161"/>
      <c r="Q9" s="1161"/>
      <c r="R9" s="1161"/>
      <c r="S9" s="1161"/>
      <c r="T9" s="1161"/>
      <c r="U9" s="1161"/>
      <c r="V9" s="1161"/>
      <c r="W9" s="1161"/>
      <c r="X9" s="1161"/>
      <c r="Y9" s="1161"/>
      <c r="Z9" s="1161"/>
      <c r="AA9" s="1161"/>
    </row>
    <row r="10" spans="1:27">
      <c r="A10" s="7" t="s">
        <v>3719</v>
      </c>
      <c r="B10" s="1160" t="s">
        <v>3720</v>
      </c>
      <c r="C10" s="1160"/>
      <c r="D10" s="1160"/>
      <c r="E10" s="1160"/>
      <c r="F10" s="1160"/>
      <c r="G10" s="1160"/>
      <c r="H10" s="1160"/>
      <c r="I10" s="1160"/>
      <c r="J10" s="1160"/>
      <c r="K10" s="1160"/>
      <c r="L10" s="1160"/>
      <c r="M10" s="1160"/>
      <c r="N10" s="1160"/>
      <c r="O10" s="1160"/>
      <c r="P10" s="1160"/>
      <c r="Q10" s="1160"/>
      <c r="R10" s="1160"/>
      <c r="S10" s="1160"/>
      <c r="T10" s="1160"/>
      <c r="U10" s="1160"/>
      <c r="V10" s="1160"/>
      <c r="W10" s="1160"/>
      <c r="X10" s="1160"/>
      <c r="Y10" s="1160"/>
      <c r="Z10" s="1160"/>
      <c r="AA10" s="1160"/>
    </row>
    <row r="11" spans="1:27">
      <c r="A11" s="7" t="s">
        <v>3721</v>
      </c>
      <c r="B11" s="1160" t="s">
        <v>3722</v>
      </c>
      <c r="C11" s="1160"/>
      <c r="D11" s="1160"/>
      <c r="E11" s="1160"/>
      <c r="F11" s="1160"/>
      <c r="G11" s="1160"/>
      <c r="H11" s="1160"/>
      <c r="I11" s="1160"/>
      <c r="J11" s="1160"/>
      <c r="K11" s="1160"/>
      <c r="L11" s="1160"/>
      <c r="M11" s="1160"/>
      <c r="N11" s="1160"/>
      <c r="O11" s="1160"/>
      <c r="P11" s="1160"/>
      <c r="Q11" s="1160"/>
      <c r="R11" s="1160"/>
      <c r="S11" s="1160"/>
      <c r="T11" s="1160"/>
      <c r="U11" s="1160"/>
      <c r="V11" s="1160"/>
      <c r="W11" s="1160"/>
      <c r="X11" s="1160"/>
      <c r="Y11" s="1160"/>
      <c r="Z11" s="1160"/>
      <c r="AA11" s="1160"/>
    </row>
    <row r="12" spans="1:27">
      <c r="A12" s="3"/>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row>
    <row r="13" spans="1:27" ht="15.75" thickBot="1"/>
    <row r="14" spans="1:27" ht="15.75" thickTop="1">
      <c r="A14" s="1141" t="s">
        <v>3655</v>
      </c>
      <c r="B14" s="1142"/>
      <c r="C14" s="1142"/>
      <c r="D14" s="1142"/>
      <c r="E14" s="1142"/>
      <c r="F14" s="1142"/>
      <c r="G14" s="1142"/>
      <c r="H14" s="1142"/>
      <c r="I14" s="1142"/>
      <c r="J14" s="1142"/>
      <c r="K14" s="1142"/>
      <c r="L14" s="1142"/>
      <c r="M14" s="1142"/>
      <c r="N14" s="1142"/>
      <c r="O14" s="1142"/>
      <c r="P14" s="1142"/>
      <c r="Q14" s="1142"/>
      <c r="R14" s="1142"/>
      <c r="S14" s="1142"/>
      <c r="T14" s="1142"/>
      <c r="U14" s="1142"/>
      <c r="V14" s="1142"/>
      <c r="W14" s="1142"/>
      <c r="X14" s="1142"/>
      <c r="Y14" s="1142"/>
      <c r="Z14" s="1142"/>
      <c r="AA14" s="1143"/>
    </row>
    <row r="15" spans="1:27" ht="67.5" customHeight="1">
      <c r="A15" s="1086" t="s">
        <v>3677</v>
      </c>
      <c r="B15" s="1150" t="s">
        <v>3679</v>
      </c>
      <c r="C15" s="1150"/>
      <c r="D15" s="1150"/>
      <c r="E15" s="1150"/>
      <c r="F15" s="1150"/>
      <c r="G15" s="1150"/>
      <c r="H15" s="1150"/>
      <c r="I15" s="1150"/>
      <c r="J15" s="1150"/>
      <c r="K15" s="1150"/>
      <c r="L15" s="1150"/>
      <c r="M15" s="1150"/>
      <c r="N15" s="1150"/>
      <c r="O15" s="1150"/>
      <c r="P15" s="1150"/>
      <c r="Q15" s="1150"/>
      <c r="R15" s="1150"/>
      <c r="S15" s="1150"/>
      <c r="T15" s="1150"/>
      <c r="U15" s="1150"/>
      <c r="V15" s="1150"/>
      <c r="W15" s="1150"/>
      <c r="X15" s="1150"/>
      <c r="Y15" s="1150"/>
      <c r="Z15" s="1150"/>
      <c r="AA15" s="1151"/>
    </row>
    <row r="16" spans="1:27">
      <c r="A16" s="1149" t="s">
        <v>3653</v>
      </c>
      <c r="B16" s="1145" t="s">
        <v>3654</v>
      </c>
      <c r="C16" s="1145"/>
      <c r="D16" s="1145"/>
      <c r="E16" s="1145"/>
      <c r="F16" s="1145"/>
      <c r="G16" s="1145"/>
      <c r="H16" s="1145"/>
      <c r="I16" s="1145"/>
      <c r="J16" s="1145"/>
      <c r="K16" s="1145"/>
      <c r="L16" s="1145"/>
      <c r="M16" s="1145"/>
      <c r="N16" s="1145"/>
      <c r="O16" s="1145"/>
      <c r="P16" s="1145"/>
      <c r="Q16" s="1145"/>
      <c r="R16" s="1145"/>
      <c r="S16" s="1145"/>
      <c r="T16" s="1145"/>
      <c r="U16" s="1145"/>
      <c r="V16" s="1145"/>
      <c r="W16" s="1145"/>
      <c r="X16" s="1145"/>
      <c r="Y16" s="1145"/>
      <c r="Z16" s="1145"/>
      <c r="AA16" s="1146"/>
    </row>
    <row r="17" spans="1:27">
      <c r="A17" s="1149"/>
      <c r="B17" s="1145"/>
      <c r="C17" s="1145"/>
      <c r="D17" s="1145"/>
      <c r="E17" s="1145"/>
      <c r="F17" s="1145"/>
      <c r="G17" s="1145"/>
      <c r="H17" s="1145"/>
      <c r="I17" s="1145"/>
      <c r="J17" s="1145"/>
      <c r="K17" s="1145"/>
      <c r="L17" s="1145"/>
      <c r="M17" s="1145"/>
      <c r="N17" s="1145"/>
      <c r="O17" s="1145"/>
      <c r="P17" s="1145"/>
      <c r="Q17" s="1145"/>
      <c r="R17" s="1145"/>
      <c r="S17" s="1145"/>
      <c r="T17" s="1145"/>
      <c r="U17" s="1145"/>
      <c r="V17" s="1145"/>
      <c r="W17" s="1145"/>
      <c r="X17" s="1145"/>
      <c r="Y17" s="1145"/>
      <c r="Z17" s="1145"/>
      <c r="AA17" s="1146"/>
    </row>
    <row r="18" spans="1:27">
      <c r="A18" s="1149"/>
      <c r="B18" s="1145"/>
      <c r="C18" s="1145"/>
      <c r="D18" s="1145"/>
      <c r="E18" s="1145"/>
      <c r="F18" s="1145"/>
      <c r="G18" s="1145"/>
      <c r="H18" s="1145"/>
      <c r="I18" s="1145"/>
      <c r="J18" s="1145"/>
      <c r="K18" s="1145"/>
      <c r="L18" s="1145"/>
      <c r="M18" s="1145"/>
      <c r="N18" s="1145"/>
      <c r="O18" s="1145"/>
      <c r="P18" s="1145"/>
      <c r="Q18" s="1145"/>
      <c r="R18" s="1145"/>
      <c r="S18" s="1145"/>
      <c r="T18" s="1145"/>
      <c r="U18" s="1145"/>
      <c r="V18" s="1145"/>
      <c r="W18" s="1145"/>
      <c r="X18" s="1145"/>
      <c r="Y18" s="1145"/>
      <c r="Z18" s="1145"/>
      <c r="AA18" s="1146"/>
    </row>
    <row r="19" spans="1:27">
      <c r="A19" s="1149"/>
      <c r="B19" s="1145"/>
      <c r="C19" s="1145"/>
      <c r="D19" s="1145"/>
      <c r="E19" s="1145"/>
      <c r="F19" s="1145"/>
      <c r="G19" s="1145"/>
      <c r="H19" s="1145"/>
      <c r="I19" s="1145"/>
      <c r="J19" s="1145"/>
      <c r="K19" s="1145"/>
      <c r="L19" s="1145"/>
      <c r="M19" s="1145"/>
      <c r="N19" s="1145"/>
      <c r="O19" s="1145"/>
      <c r="P19" s="1145"/>
      <c r="Q19" s="1145"/>
      <c r="R19" s="1145"/>
      <c r="S19" s="1145"/>
      <c r="T19" s="1145"/>
      <c r="U19" s="1145"/>
      <c r="V19" s="1145"/>
      <c r="W19" s="1145"/>
      <c r="X19" s="1145"/>
      <c r="Y19" s="1145"/>
      <c r="Z19" s="1145"/>
      <c r="AA19" s="1146"/>
    </row>
    <row r="20" spans="1:27" ht="15" customHeight="1">
      <c r="A20" s="1144" t="s">
        <v>3670</v>
      </c>
      <c r="B20" s="1145" t="s">
        <v>3657</v>
      </c>
      <c r="C20" s="1145"/>
      <c r="D20" s="1145"/>
      <c r="E20" s="1145"/>
      <c r="F20" s="1145"/>
      <c r="G20" s="1145"/>
      <c r="H20" s="1145"/>
      <c r="I20" s="1145"/>
      <c r="J20" s="1145"/>
      <c r="K20" s="1145"/>
      <c r="L20" s="1145"/>
      <c r="M20" s="1145"/>
      <c r="N20" s="1145"/>
      <c r="O20" s="1145"/>
      <c r="P20" s="1145"/>
      <c r="Q20" s="1145"/>
      <c r="R20" s="1145"/>
      <c r="S20" s="1145"/>
      <c r="T20" s="1145"/>
      <c r="U20" s="1145"/>
      <c r="V20" s="1145"/>
      <c r="W20" s="1145"/>
      <c r="X20" s="1145"/>
      <c r="Y20" s="1145"/>
      <c r="Z20" s="1145"/>
      <c r="AA20" s="1146"/>
    </row>
    <row r="21" spans="1:27">
      <c r="A21" s="1144"/>
      <c r="B21" s="1145"/>
      <c r="C21" s="1145"/>
      <c r="D21" s="1145"/>
      <c r="E21" s="1145"/>
      <c r="F21" s="1145"/>
      <c r="G21" s="1145"/>
      <c r="H21" s="1145"/>
      <c r="I21" s="1145"/>
      <c r="J21" s="1145"/>
      <c r="K21" s="1145"/>
      <c r="L21" s="1145"/>
      <c r="M21" s="1145"/>
      <c r="N21" s="1145"/>
      <c r="O21" s="1145"/>
      <c r="P21" s="1145"/>
      <c r="Q21" s="1145"/>
      <c r="R21" s="1145"/>
      <c r="S21" s="1145"/>
      <c r="T21" s="1145"/>
      <c r="U21" s="1145"/>
      <c r="V21" s="1145"/>
      <c r="W21" s="1145"/>
      <c r="X21" s="1145"/>
      <c r="Y21" s="1145"/>
      <c r="Z21" s="1145"/>
      <c r="AA21" s="1146"/>
    </row>
    <row r="22" spans="1:27">
      <c r="A22" s="1144"/>
      <c r="B22" s="1145"/>
      <c r="C22" s="1145"/>
      <c r="D22" s="1145"/>
      <c r="E22" s="1145"/>
      <c r="F22" s="1145"/>
      <c r="G22" s="1145"/>
      <c r="H22" s="1145"/>
      <c r="I22" s="1145"/>
      <c r="J22" s="1145"/>
      <c r="K22" s="1145"/>
      <c r="L22" s="1145"/>
      <c r="M22" s="1145"/>
      <c r="N22" s="1145"/>
      <c r="O22" s="1145"/>
      <c r="P22" s="1145"/>
      <c r="Q22" s="1145"/>
      <c r="R22" s="1145"/>
      <c r="S22" s="1145"/>
      <c r="T22" s="1145"/>
      <c r="U22" s="1145"/>
      <c r="V22" s="1145"/>
      <c r="W22" s="1145"/>
      <c r="X22" s="1145"/>
      <c r="Y22" s="1145"/>
      <c r="Z22" s="1145"/>
      <c r="AA22" s="1146"/>
    </row>
    <row r="23" spans="1:27">
      <c r="A23" s="1144"/>
      <c r="B23" s="1145"/>
      <c r="C23" s="1145"/>
      <c r="D23" s="1145"/>
      <c r="E23" s="1145"/>
      <c r="F23" s="1145"/>
      <c r="G23" s="1145"/>
      <c r="H23" s="1145"/>
      <c r="I23" s="1145"/>
      <c r="J23" s="1145"/>
      <c r="K23" s="1145"/>
      <c r="L23" s="1145"/>
      <c r="M23" s="1145"/>
      <c r="N23" s="1145"/>
      <c r="O23" s="1145"/>
      <c r="P23" s="1145"/>
      <c r="Q23" s="1145"/>
      <c r="R23" s="1145"/>
      <c r="S23" s="1145"/>
      <c r="T23" s="1145"/>
      <c r="U23" s="1145"/>
      <c r="V23" s="1145"/>
      <c r="W23" s="1145"/>
      <c r="X23" s="1145"/>
      <c r="Y23" s="1145"/>
      <c r="Z23" s="1145"/>
      <c r="AA23" s="1146"/>
    </row>
    <row r="24" spans="1:27">
      <c r="A24" s="1144"/>
      <c r="B24" s="1145"/>
      <c r="C24" s="1145"/>
      <c r="D24" s="1145"/>
      <c r="E24" s="1145"/>
      <c r="F24" s="1145"/>
      <c r="G24" s="1145"/>
      <c r="H24" s="1145"/>
      <c r="I24" s="1145"/>
      <c r="J24" s="1145"/>
      <c r="K24" s="1145"/>
      <c r="L24" s="1145"/>
      <c r="M24" s="1145"/>
      <c r="N24" s="1145"/>
      <c r="O24" s="1145"/>
      <c r="P24" s="1145"/>
      <c r="Q24" s="1145"/>
      <c r="R24" s="1145"/>
      <c r="S24" s="1145"/>
      <c r="T24" s="1145"/>
      <c r="U24" s="1145"/>
      <c r="V24" s="1145"/>
      <c r="W24" s="1145"/>
      <c r="X24" s="1145"/>
      <c r="Y24" s="1145"/>
      <c r="Z24" s="1145"/>
      <c r="AA24" s="1146"/>
    </row>
    <row r="25" spans="1:27">
      <c r="A25" s="1144"/>
      <c r="B25" s="1145"/>
      <c r="C25" s="1145"/>
      <c r="D25" s="1145"/>
      <c r="E25" s="1145"/>
      <c r="F25" s="1145"/>
      <c r="G25" s="1145"/>
      <c r="H25" s="1145"/>
      <c r="I25" s="1145"/>
      <c r="J25" s="1145"/>
      <c r="K25" s="1145"/>
      <c r="L25" s="1145"/>
      <c r="M25" s="1145"/>
      <c r="N25" s="1145"/>
      <c r="O25" s="1145"/>
      <c r="P25" s="1145"/>
      <c r="Q25" s="1145"/>
      <c r="R25" s="1145"/>
      <c r="S25" s="1145"/>
      <c r="T25" s="1145"/>
      <c r="U25" s="1145"/>
      <c r="V25" s="1145"/>
      <c r="W25" s="1145"/>
      <c r="X25" s="1145"/>
      <c r="Y25" s="1145"/>
      <c r="Z25" s="1145"/>
      <c r="AA25" s="1146"/>
    </row>
    <row r="26" spans="1:27">
      <c r="A26" s="1144"/>
      <c r="B26" s="1145"/>
      <c r="C26" s="1145"/>
      <c r="D26" s="1145"/>
      <c r="E26" s="1145"/>
      <c r="F26" s="1145"/>
      <c r="G26" s="1145"/>
      <c r="H26" s="1145"/>
      <c r="I26" s="1145"/>
      <c r="J26" s="1145"/>
      <c r="K26" s="1145"/>
      <c r="L26" s="1145"/>
      <c r="M26" s="1145"/>
      <c r="N26" s="1145"/>
      <c r="O26" s="1145"/>
      <c r="P26" s="1145"/>
      <c r="Q26" s="1145"/>
      <c r="R26" s="1145"/>
      <c r="S26" s="1145"/>
      <c r="T26" s="1145"/>
      <c r="U26" s="1145"/>
      <c r="V26" s="1145"/>
      <c r="W26" s="1145"/>
      <c r="X26" s="1145"/>
      <c r="Y26" s="1145"/>
      <c r="Z26" s="1145"/>
      <c r="AA26" s="1146"/>
    </row>
    <row r="27" spans="1:27">
      <c r="A27" s="1144"/>
      <c r="B27" s="1145"/>
      <c r="C27" s="1145"/>
      <c r="D27" s="1145"/>
      <c r="E27" s="1145"/>
      <c r="F27" s="1145"/>
      <c r="G27" s="1145"/>
      <c r="H27" s="1145"/>
      <c r="I27" s="1145"/>
      <c r="J27" s="1145"/>
      <c r="K27" s="1145"/>
      <c r="L27" s="1145"/>
      <c r="M27" s="1145"/>
      <c r="N27" s="1145"/>
      <c r="O27" s="1145"/>
      <c r="P27" s="1145"/>
      <c r="Q27" s="1145"/>
      <c r="R27" s="1145"/>
      <c r="S27" s="1145"/>
      <c r="T27" s="1145"/>
      <c r="U27" s="1145"/>
      <c r="V27" s="1145"/>
      <c r="W27" s="1145"/>
      <c r="X27" s="1145"/>
      <c r="Y27" s="1145"/>
      <c r="Z27" s="1145"/>
      <c r="AA27" s="1146"/>
    </row>
    <row r="28" spans="1:27">
      <c r="A28" s="1144"/>
      <c r="B28" s="1145"/>
      <c r="C28" s="1145"/>
      <c r="D28" s="1145"/>
      <c r="E28" s="1145"/>
      <c r="F28" s="1145"/>
      <c r="G28" s="1145"/>
      <c r="H28" s="1145"/>
      <c r="I28" s="1145"/>
      <c r="J28" s="1145"/>
      <c r="K28" s="1145"/>
      <c r="L28" s="1145"/>
      <c r="M28" s="1145"/>
      <c r="N28" s="1145"/>
      <c r="O28" s="1145"/>
      <c r="P28" s="1145"/>
      <c r="Q28" s="1145"/>
      <c r="R28" s="1145"/>
      <c r="S28" s="1145"/>
      <c r="T28" s="1145"/>
      <c r="U28" s="1145"/>
      <c r="V28" s="1145"/>
      <c r="W28" s="1145"/>
      <c r="X28" s="1145"/>
      <c r="Y28" s="1145"/>
      <c r="Z28" s="1145"/>
      <c r="AA28" s="1146"/>
    </row>
    <row r="29" spans="1:27">
      <c r="A29" s="1144"/>
      <c r="B29" s="1145"/>
      <c r="C29" s="1145"/>
      <c r="D29" s="1145"/>
      <c r="E29" s="1145"/>
      <c r="F29" s="1145"/>
      <c r="G29" s="1145"/>
      <c r="H29" s="1145"/>
      <c r="I29" s="1145"/>
      <c r="J29" s="1145"/>
      <c r="K29" s="1145"/>
      <c r="L29" s="1145"/>
      <c r="M29" s="1145"/>
      <c r="N29" s="1145"/>
      <c r="O29" s="1145"/>
      <c r="P29" s="1145"/>
      <c r="Q29" s="1145"/>
      <c r="R29" s="1145"/>
      <c r="S29" s="1145"/>
      <c r="T29" s="1145"/>
      <c r="U29" s="1145"/>
      <c r="V29" s="1145"/>
      <c r="W29" s="1145"/>
      <c r="X29" s="1145"/>
      <c r="Y29" s="1145"/>
      <c r="Z29" s="1145"/>
      <c r="AA29" s="1146"/>
    </row>
    <row r="30" spans="1:27">
      <c r="A30" s="1144"/>
      <c r="B30" s="1145"/>
      <c r="C30" s="1145"/>
      <c r="D30" s="1145"/>
      <c r="E30" s="1145"/>
      <c r="F30" s="1145"/>
      <c r="G30" s="1145"/>
      <c r="H30" s="1145"/>
      <c r="I30" s="1145"/>
      <c r="J30" s="1145"/>
      <c r="K30" s="1145"/>
      <c r="L30" s="1145"/>
      <c r="M30" s="1145"/>
      <c r="N30" s="1145"/>
      <c r="O30" s="1145"/>
      <c r="P30" s="1145"/>
      <c r="Q30" s="1145"/>
      <c r="R30" s="1145"/>
      <c r="S30" s="1145"/>
      <c r="T30" s="1145"/>
      <c r="U30" s="1145"/>
      <c r="V30" s="1145"/>
      <c r="W30" s="1145"/>
      <c r="X30" s="1145"/>
      <c r="Y30" s="1145"/>
      <c r="Z30" s="1145"/>
      <c r="AA30" s="1146"/>
    </row>
    <row r="31" spans="1:27">
      <c r="A31" s="1144" t="s">
        <v>3675</v>
      </c>
      <c r="B31" s="1145" t="s">
        <v>3658</v>
      </c>
      <c r="C31" s="1145"/>
      <c r="D31" s="1145"/>
      <c r="E31" s="1145"/>
      <c r="F31" s="1145"/>
      <c r="G31" s="1145"/>
      <c r="H31" s="1145"/>
      <c r="I31" s="1145"/>
      <c r="J31" s="1145"/>
      <c r="K31" s="1145"/>
      <c r="L31" s="1145"/>
      <c r="M31" s="1145"/>
      <c r="N31" s="1145"/>
      <c r="O31" s="1145"/>
      <c r="P31" s="1145"/>
      <c r="Q31" s="1145"/>
      <c r="R31" s="1145"/>
      <c r="S31" s="1145"/>
      <c r="T31" s="1145"/>
      <c r="U31" s="1145"/>
      <c r="V31" s="1145"/>
      <c r="W31" s="1145"/>
      <c r="X31" s="1145"/>
      <c r="Y31" s="1145"/>
      <c r="Z31" s="1145"/>
      <c r="AA31" s="1146"/>
    </row>
    <row r="32" spans="1:27">
      <c r="A32" s="1144"/>
      <c r="B32" s="1145"/>
      <c r="C32" s="1145"/>
      <c r="D32" s="1145"/>
      <c r="E32" s="1145"/>
      <c r="F32" s="1145"/>
      <c r="G32" s="1145"/>
      <c r="H32" s="1145"/>
      <c r="I32" s="1145"/>
      <c r="J32" s="1145"/>
      <c r="K32" s="1145"/>
      <c r="L32" s="1145"/>
      <c r="M32" s="1145"/>
      <c r="N32" s="1145"/>
      <c r="O32" s="1145"/>
      <c r="P32" s="1145"/>
      <c r="Q32" s="1145"/>
      <c r="R32" s="1145"/>
      <c r="S32" s="1145"/>
      <c r="T32" s="1145"/>
      <c r="U32" s="1145"/>
      <c r="V32" s="1145"/>
      <c r="W32" s="1145"/>
      <c r="X32" s="1145"/>
      <c r="Y32" s="1145"/>
      <c r="Z32" s="1145"/>
      <c r="AA32" s="1146"/>
    </row>
    <row r="33" spans="1:27">
      <c r="A33" s="1144"/>
      <c r="B33" s="1145"/>
      <c r="C33" s="1145"/>
      <c r="D33" s="1145"/>
      <c r="E33" s="1145"/>
      <c r="F33" s="1145"/>
      <c r="G33" s="1145"/>
      <c r="H33" s="1145"/>
      <c r="I33" s="1145"/>
      <c r="J33" s="1145"/>
      <c r="K33" s="1145"/>
      <c r="L33" s="1145"/>
      <c r="M33" s="1145"/>
      <c r="N33" s="1145"/>
      <c r="O33" s="1145"/>
      <c r="P33" s="1145"/>
      <c r="Q33" s="1145"/>
      <c r="R33" s="1145"/>
      <c r="S33" s="1145"/>
      <c r="T33" s="1145"/>
      <c r="U33" s="1145"/>
      <c r="V33" s="1145"/>
      <c r="W33" s="1145"/>
      <c r="X33" s="1145"/>
      <c r="Y33" s="1145"/>
      <c r="Z33" s="1145"/>
      <c r="AA33" s="1146"/>
    </row>
    <row r="34" spans="1:27">
      <c r="A34" s="1144"/>
      <c r="B34" s="1145"/>
      <c r="C34" s="1145"/>
      <c r="D34" s="1145"/>
      <c r="E34" s="1145"/>
      <c r="F34" s="1145"/>
      <c r="G34" s="1145"/>
      <c r="H34" s="1145"/>
      <c r="I34" s="1145"/>
      <c r="J34" s="1145"/>
      <c r="K34" s="1145"/>
      <c r="L34" s="1145"/>
      <c r="M34" s="1145"/>
      <c r="N34" s="1145"/>
      <c r="O34" s="1145"/>
      <c r="P34" s="1145"/>
      <c r="Q34" s="1145"/>
      <c r="R34" s="1145"/>
      <c r="S34" s="1145"/>
      <c r="T34" s="1145"/>
      <c r="U34" s="1145"/>
      <c r="V34" s="1145"/>
      <c r="W34" s="1145"/>
      <c r="X34" s="1145"/>
      <c r="Y34" s="1145"/>
      <c r="Z34" s="1145"/>
      <c r="AA34" s="1146"/>
    </row>
    <row r="35" spans="1:27">
      <c r="A35" s="1144" t="s">
        <v>3671</v>
      </c>
      <c r="B35" s="1147" t="s">
        <v>3672</v>
      </c>
      <c r="C35" s="1147"/>
      <c r="D35" s="1147"/>
      <c r="E35" s="1147"/>
      <c r="F35" s="1147"/>
      <c r="G35" s="1147"/>
      <c r="H35" s="1147"/>
      <c r="I35" s="1147"/>
      <c r="J35" s="1147"/>
      <c r="K35" s="1147"/>
      <c r="L35" s="1147"/>
      <c r="M35" s="1147"/>
      <c r="N35" s="1147"/>
      <c r="O35" s="1147"/>
      <c r="P35" s="1147"/>
      <c r="Q35" s="1147"/>
      <c r="R35" s="1147"/>
      <c r="S35" s="1147"/>
      <c r="T35" s="1147"/>
      <c r="U35" s="1147"/>
      <c r="V35" s="1147"/>
      <c r="W35" s="1147"/>
      <c r="X35" s="1147"/>
      <c r="Y35" s="1147"/>
      <c r="Z35" s="1147"/>
      <c r="AA35" s="1148"/>
    </row>
    <row r="36" spans="1:27">
      <c r="A36" s="1144"/>
      <c r="B36" s="1147"/>
      <c r="C36" s="1147"/>
      <c r="D36" s="1147"/>
      <c r="E36" s="1147"/>
      <c r="F36" s="1147"/>
      <c r="G36" s="1147"/>
      <c r="H36" s="1147"/>
      <c r="I36" s="1147"/>
      <c r="J36" s="1147"/>
      <c r="K36" s="1147"/>
      <c r="L36" s="1147"/>
      <c r="M36" s="1147"/>
      <c r="N36" s="1147"/>
      <c r="O36" s="1147"/>
      <c r="P36" s="1147"/>
      <c r="Q36" s="1147"/>
      <c r="R36" s="1147"/>
      <c r="S36" s="1147"/>
      <c r="T36" s="1147"/>
      <c r="U36" s="1147"/>
      <c r="V36" s="1147"/>
      <c r="W36" s="1147"/>
      <c r="X36" s="1147"/>
      <c r="Y36" s="1147"/>
      <c r="Z36" s="1147"/>
      <c r="AA36" s="1148"/>
    </row>
    <row r="37" spans="1:27">
      <c r="A37" s="1144"/>
      <c r="B37" s="1147"/>
      <c r="C37" s="1147"/>
      <c r="D37" s="1147"/>
      <c r="E37" s="1147"/>
      <c r="F37" s="1147"/>
      <c r="G37" s="1147"/>
      <c r="H37" s="1147"/>
      <c r="I37" s="1147"/>
      <c r="J37" s="1147"/>
      <c r="K37" s="1147"/>
      <c r="L37" s="1147"/>
      <c r="M37" s="1147"/>
      <c r="N37" s="1147"/>
      <c r="O37" s="1147"/>
      <c r="P37" s="1147"/>
      <c r="Q37" s="1147"/>
      <c r="R37" s="1147"/>
      <c r="S37" s="1147"/>
      <c r="T37" s="1147"/>
      <c r="U37" s="1147"/>
      <c r="V37" s="1147"/>
      <c r="W37" s="1147"/>
      <c r="X37" s="1147"/>
      <c r="Y37" s="1147"/>
      <c r="Z37" s="1147"/>
      <c r="AA37" s="1148"/>
    </row>
    <row r="38" spans="1:27">
      <c r="A38" s="1144"/>
      <c r="B38" s="1147"/>
      <c r="C38" s="1147"/>
      <c r="D38" s="1147"/>
      <c r="E38" s="1147"/>
      <c r="F38" s="1147"/>
      <c r="G38" s="1147"/>
      <c r="H38" s="1147"/>
      <c r="I38" s="1147"/>
      <c r="J38" s="1147"/>
      <c r="K38" s="1147"/>
      <c r="L38" s="1147"/>
      <c r="M38" s="1147"/>
      <c r="N38" s="1147"/>
      <c r="O38" s="1147"/>
      <c r="P38" s="1147"/>
      <c r="Q38" s="1147"/>
      <c r="R38" s="1147"/>
      <c r="S38" s="1147"/>
      <c r="T38" s="1147"/>
      <c r="U38" s="1147"/>
      <c r="V38" s="1147"/>
      <c r="W38" s="1147"/>
      <c r="X38" s="1147"/>
      <c r="Y38" s="1147"/>
      <c r="Z38" s="1147"/>
      <c r="AA38" s="1148"/>
    </row>
    <row r="39" spans="1:27">
      <c r="A39" s="1149" t="s">
        <v>3673</v>
      </c>
      <c r="B39" s="1145" t="s">
        <v>3674</v>
      </c>
      <c r="C39" s="1145"/>
      <c r="D39" s="1145"/>
      <c r="E39" s="1145"/>
      <c r="F39" s="1145"/>
      <c r="G39" s="1145"/>
      <c r="H39" s="1145"/>
      <c r="I39" s="1145"/>
      <c r="J39" s="1145"/>
      <c r="K39" s="1145"/>
      <c r="L39" s="1145"/>
      <c r="M39" s="1145"/>
      <c r="N39" s="1145"/>
      <c r="O39" s="1145"/>
      <c r="P39" s="1145"/>
      <c r="Q39" s="1145"/>
      <c r="R39" s="1145"/>
      <c r="S39" s="1145"/>
      <c r="T39" s="1145"/>
      <c r="U39" s="1145"/>
      <c r="V39" s="1145"/>
      <c r="W39" s="1145"/>
      <c r="X39" s="1145"/>
      <c r="Y39" s="1145"/>
      <c r="Z39" s="1145"/>
      <c r="AA39" s="1146"/>
    </row>
    <row r="40" spans="1:27">
      <c r="A40" s="1149"/>
      <c r="B40" s="1145"/>
      <c r="C40" s="1145"/>
      <c r="D40" s="1145"/>
      <c r="E40" s="1145"/>
      <c r="F40" s="1145"/>
      <c r="G40" s="1145"/>
      <c r="H40" s="1145"/>
      <c r="I40" s="1145"/>
      <c r="J40" s="1145"/>
      <c r="K40" s="1145"/>
      <c r="L40" s="1145"/>
      <c r="M40" s="1145"/>
      <c r="N40" s="1145"/>
      <c r="O40" s="1145"/>
      <c r="P40" s="1145"/>
      <c r="Q40" s="1145"/>
      <c r="R40" s="1145"/>
      <c r="S40" s="1145"/>
      <c r="T40" s="1145"/>
      <c r="U40" s="1145"/>
      <c r="V40" s="1145"/>
      <c r="W40" s="1145"/>
      <c r="X40" s="1145"/>
      <c r="Y40" s="1145"/>
      <c r="Z40" s="1145"/>
      <c r="AA40" s="1146"/>
    </row>
    <row r="41" spans="1:27">
      <c r="A41" s="1149"/>
      <c r="B41" s="1145"/>
      <c r="C41" s="1145"/>
      <c r="D41" s="1145"/>
      <c r="E41" s="1145"/>
      <c r="F41" s="1145"/>
      <c r="G41" s="1145"/>
      <c r="H41" s="1145"/>
      <c r="I41" s="1145"/>
      <c r="J41" s="1145"/>
      <c r="K41" s="1145"/>
      <c r="L41" s="1145"/>
      <c r="M41" s="1145"/>
      <c r="N41" s="1145"/>
      <c r="O41" s="1145"/>
      <c r="P41" s="1145"/>
      <c r="Q41" s="1145"/>
      <c r="R41" s="1145"/>
      <c r="S41" s="1145"/>
      <c r="T41" s="1145"/>
      <c r="U41" s="1145"/>
      <c r="V41" s="1145"/>
      <c r="W41" s="1145"/>
      <c r="X41" s="1145"/>
      <c r="Y41" s="1145"/>
      <c r="Z41" s="1145"/>
      <c r="AA41" s="1146"/>
    </row>
    <row r="42" spans="1:27">
      <c r="A42" s="1149"/>
      <c r="B42" s="1145"/>
      <c r="C42" s="1145"/>
      <c r="D42" s="1145"/>
      <c r="E42" s="1145"/>
      <c r="F42" s="1145"/>
      <c r="G42" s="1145"/>
      <c r="H42" s="1145"/>
      <c r="I42" s="1145"/>
      <c r="J42" s="1145"/>
      <c r="K42" s="1145"/>
      <c r="L42" s="1145"/>
      <c r="M42" s="1145"/>
      <c r="N42" s="1145"/>
      <c r="O42" s="1145"/>
      <c r="P42" s="1145"/>
      <c r="Q42" s="1145"/>
      <c r="R42" s="1145"/>
      <c r="S42" s="1145"/>
      <c r="T42" s="1145"/>
      <c r="U42" s="1145"/>
      <c r="V42" s="1145"/>
      <c r="W42" s="1145"/>
      <c r="X42" s="1145"/>
      <c r="Y42" s="1145"/>
      <c r="Z42" s="1145"/>
      <c r="AA42" s="1146"/>
    </row>
    <row r="43" spans="1:27">
      <c r="A43" s="1149" t="s">
        <v>3676</v>
      </c>
      <c r="B43" s="1147" t="s">
        <v>3680</v>
      </c>
      <c r="C43" s="1147"/>
      <c r="D43" s="1147"/>
      <c r="E43" s="1147"/>
      <c r="F43" s="1147"/>
      <c r="G43" s="1147"/>
      <c r="H43" s="1147"/>
      <c r="I43" s="1147"/>
      <c r="J43" s="1147"/>
      <c r="K43" s="1147"/>
      <c r="L43" s="1147"/>
      <c r="M43" s="1147"/>
      <c r="N43" s="1147"/>
      <c r="O43" s="1147"/>
      <c r="P43" s="1147"/>
      <c r="Q43" s="1147"/>
      <c r="R43" s="1147"/>
      <c r="S43" s="1147"/>
      <c r="T43" s="1147"/>
      <c r="U43" s="1147"/>
      <c r="V43" s="1147"/>
      <c r="W43" s="1147"/>
      <c r="X43" s="1147"/>
      <c r="Y43" s="1147"/>
      <c r="Z43" s="1147"/>
      <c r="AA43" s="1148"/>
    </row>
    <row r="44" spans="1:27" ht="15.75" thickBot="1">
      <c r="A44" s="1154"/>
      <c r="B44" s="1152"/>
      <c r="C44" s="1152"/>
      <c r="D44" s="1152"/>
      <c r="E44" s="1152"/>
      <c r="F44" s="1152"/>
      <c r="G44" s="1152"/>
      <c r="H44" s="1152"/>
      <c r="I44" s="1152"/>
      <c r="J44" s="1152"/>
      <c r="K44" s="1152"/>
      <c r="L44" s="1152"/>
      <c r="M44" s="1152"/>
      <c r="N44" s="1152"/>
      <c r="O44" s="1152"/>
      <c r="P44" s="1152"/>
      <c r="Q44" s="1152"/>
      <c r="R44" s="1152"/>
      <c r="S44" s="1152"/>
      <c r="T44" s="1152"/>
      <c r="U44" s="1152"/>
      <c r="V44" s="1152"/>
      <c r="W44" s="1152"/>
      <c r="X44" s="1152"/>
      <c r="Y44" s="1152"/>
      <c r="Z44" s="1152"/>
      <c r="AA44" s="1153"/>
    </row>
    <row r="45" spans="1:27" ht="15.75" thickTop="1"/>
    <row r="46" spans="1:27" ht="15.75" thickBot="1"/>
    <row r="47" spans="1:27" ht="15.75" thickTop="1">
      <c r="A47" s="1141" t="s">
        <v>3701</v>
      </c>
      <c r="B47" s="1142"/>
      <c r="C47" s="1142"/>
      <c r="D47" s="1142"/>
      <c r="E47" s="1142"/>
      <c r="F47" s="1142"/>
      <c r="G47" s="1142"/>
      <c r="H47" s="1142"/>
      <c r="I47" s="1142"/>
      <c r="J47" s="1142"/>
      <c r="K47" s="1142"/>
      <c r="L47" s="1142"/>
      <c r="M47" s="1142"/>
      <c r="N47" s="1142"/>
      <c r="O47" s="1142"/>
      <c r="P47" s="1142"/>
      <c r="Q47" s="1142"/>
      <c r="R47" s="1142"/>
      <c r="S47" s="1142"/>
      <c r="T47" s="1142"/>
      <c r="U47" s="1142"/>
      <c r="V47" s="1142"/>
      <c r="W47" s="1142"/>
      <c r="X47" s="1142"/>
      <c r="Y47" s="1142"/>
      <c r="Z47" s="1142"/>
      <c r="AA47" s="1143"/>
    </row>
    <row r="48" spans="1:27">
      <c r="A48" s="1086" t="s">
        <v>3681</v>
      </c>
      <c r="B48" s="1150" t="s">
        <v>3678</v>
      </c>
      <c r="C48" s="1150"/>
      <c r="D48" s="1150"/>
      <c r="E48" s="1150"/>
      <c r="F48" s="1150"/>
      <c r="G48" s="1150"/>
      <c r="H48" s="1150"/>
      <c r="I48" s="1150"/>
      <c r="J48" s="1150"/>
      <c r="K48" s="1150"/>
      <c r="L48" s="1150"/>
      <c r="M48" s="1150"/>
      <c r="N48" s="1150"/>
      <c r="O48" s="1150"/>
      <c r="P48" s="1150"/>
      <c r="Q48" s="1150"/>
      <c r="R48" s="1150"/>
      <c r="S48" s="1150"/>
      <c r="T48" s="1150"/>
      <c r="U48" s="1150"/>
      <c r="V48" s="1150"/>
      <c r="W48" s="1150"/>
      <c r="X48" s="1150"/>
      <c r="Y48" s="1150"/>
      <c r="Z48" s="1150"/>
      <c r="AA48" s="1151"/>
    </row>
    <row r="49" spans="1:27">
      <c r="A49" s="1149" t="e" vm="1">
        <v>#VALUE!</v>
      </c>
      <c r="B49" s="1145" t="s">
        <v>3682</v>
      </c>
      <c r="C49" s="1145"/>
      <c r="D49" s="1145"/>
      <c r="E49" s="1145"/>
      <c r="F49" s="1145"/>
      <c r="G49" s="1145"/>
      <c r="H49" s="1145"/>
      <c r="I49" s="1145"/>
      <c r="J49" s="1145"/>
      <c r="K49" s="1145"/>
      <c r="L49" s="1145"/>
      <c r="M49" s="1145"/>
      <c r="N49" s="1145"/>
      <c r="O49" s="1145"/>
      <c r="P49" s="1145"/>
      <c r="Q49" s="1145"/>
      <c r="R49" s="1145"/>
      <c r="S49" s="1145"/>
      <c r="T49" s="1145"/>
      <c r="U49" s="1145"/>
      <c r="V49" s="1145"/>
      <c r="W49" s="1145"/>
      <c r="X49" s="1145"/>
      <c r="Y49" s="1145"/>
      <c r="Z49" s="1145"/>
      <c r="AA49" s="1146"/>
    </row>
    <row r="50" spans="1:27">
      <c r="A50" s="1149"/>
      <c r="B50" s="1145"/>
      <c r="C50" s="1145"/>
      <c r="D50" s="1145"/>
      <c r="E50" s="1145"/>
      <c r="F50" s="1145"/>
      <c r="G50" s="1145"/>
      <c r="H50" s="1145"/>
      <c r="I50" s="1145"/>
      <c r="J50" s="1145"/>
      <c r="K50" s="1145"/>
      <c r="L50" s="1145"/>
      <c r="M50" s="1145"/>
      <c r="N50" s="1145"/>
      <c r="O50" s="1145"/>
      <c r="P50" s="1145"/>
      <c r="Q50" s="1145"/>
      <c r="R50" s="1145"/>
      <c r="S50" s="1145"/>
      <c r="T50" s="1145"/>
      <c r="U50" s="1145"/>
      <c r="V50" s="1145"/>
      <c r="W50" s="1145"/>
      <c r="X50" s="1145"/>
      <c r="Y50" s="1145"/>
      <c r="Z50" s="1145"/>
      <c r="AA50" s="1146"/>
    </row>
    <row r="51" spans="1:27">
      <c r="A51" s="1149"/>
      <c r="B51" s="1145"/>
      <c r="C51" s="1145"/>
      <c r="D51" s="1145"/>
      <c r="E51" s="1145"/>
      <c r="F51" s="1145"/>
      <c r="G51" s="1145"/>
      <c r="H51" s="1145"/>
      <c r="I51" s="1145"/>
      <c r="J51" s="1145"/>
      <c r="K51" s="1145"/>
      <c r="L51" s="1145"/>
      <c r="M51" s="1145"/>
      <c r="N51" s="1145"/>
      <c r="O51" s="1145"/>
      <c r="P51" s="1145"/>
      <c r="Q51" s="1145"/>
      <c r="R51" s="1145"/>
      <c r="S51" s="1145"/>
      <c r="T51" s="1145"/>
      <c r="U51" s="1145"/>
      <c r="V51" s="1145"/>
      <c r="W51" s="1145"/>
      <c r="X51" s="1145"/>
      <c r="Y51" s="1145"/>
      <c r="Z51" s="1145"/>
      <c r="AA51" s="1146"/>
    </row>
    <row r="52" spans="1:27">
      <c r="A52" s="1149"/>
      <c r="B52" s="1145"/>
      <c r="C52" s="1145"/>
      <c r="D52" s="1145"/>
      <c r="E52" s="1145"/>
      <c r="F52" s="1145"/>
      <c r="G52" s="1145"/>
      <c r="H52" s="1145"/>
      <c r="I52" s="1145"/>
      <c r="J52" s="1145"/>
      <c r="K52" s="1145"/>
      <c r="L52" s="1145"/>
      <c r="M52" s="1145"/>
      <c r="N52" s="1145"/>
      <c r="O52" s="1145"/>
      <c r="P52" s="1145"/>
      <c r="Q52" s="1145"/>
      <c r="R52" s="1145"/>
      <c r="S52" s="1145"/>
      <c r="T52" s="1145"/>
      <c r="U52" s="1145"/>
      <c r="V52" s="1145"/>
      <c r="W52" s="1145"/>
      <c r="X52" s="1145"/>
      <c r="Y52" s="1145"/>
      <c r="Z52" s="1145"/>
      <c r="AA52" s="1146"/>
    </row>
    <row r="53" spans="1:27">
      <c r="A53" s="1144" t="s">
        <v>3683</v>
      </c>
      <c r="B53" s="1145" t="s">
        <v>3684</v>
      </c>
      <c r="C53" s="1145"/>
      <c r="D53" s="1145"/>
      <c r="E53" s="1145"/>
      <c r="F53" s="1145"/>
      <c r="G53" s="1145"/>
      <c r="H53" s="1145"/>
      <c r="I53" s="1145"/>
      <c r="J53" s="1145"/>
      <c r="K53" s="1145"/>
      <c r="L53" s="1145"/>
      <c r="M53" s="1145"/>
      <c r="N53" s="1145"/>
      <c r="O53" s="1145"/>
      <c r="P53" s="1145"/>
      <c r="Q53" s="1145"/>
      <c r="R53" s="1145"/>
      <c r="S53" s="1145"/>
      <c r="T53" s="1145"/>
      <c r="U53" s="1145"/>
      <c r="V53" s="1145"/>
      <c r="W53" s="1145"/>
      <c r="X53" s="1145"/>
      <c r="Y53" s="1145"/>
      <c r="Z53" s="1145"/>
      <c r="AA53" s="1146"/>
    </row>
    <row r="54" spans="1:27">
      <c r="A54" s="1144"/>
      <c r="B54" s="1145"/>
      <c r="C54" s="1145"/>
      <c r="D54" s="1145"/>
      <c r="E54" s="1145"/>
      <c r="F54" s="1145"/>
      <c r="G54" s="1145"/>
      <c r="H54" s="1145"/>
      <c r="I54" s="1145"/>
      <c r="J54" s="1145"/>
      <c r="K54" s="1145"/>
      <c r="L54" s="1145"/>
      <c r="M54" s="1145"/>
      <c r="N54" s="1145"/>
      <c r="O54" s="1145"/>
      <c r="P54" s="1145"/>
      <c r="Q54" s="1145"/>
      <c r="R54" s="1145"/>
      <c r="S54" s="1145"/>
      <c r="T54" s="1145"/>
      <c r="U54" s="1145"/>
      <c r="V54" s="1145"/>
      <c r="W54" s="1145"/>
      <c r="X54" s="1145"/>
      <c r="Y54" s="1145"/>
      <c r="Z54" s="1145"/>
      <c r="AA54" s="1146"/>
    </row>
    <row r="55" spans="1:27">
      <c r="A55" s="1144"/>
      <c r="B55" s="1145"/>
      <c r="C55" s="1145"/>
      <c r="D55" s="1145"/>
      <c r="E55" s="1145"/>
      <c r="F55" s="1145"/>
      <c r="G55" s="1145"/>
      <c r="H55" s="1145"/>
      <c r="I55" s="1145"/>
      <c r="J55" s="1145"/>
      <c r="K55" s="1145"/>
      <c r="L55" s="1145"/>
      <c r="M55" s="1145"/>
      <c r="N55" s="1145"/>
      <c r="O55" s="1145"/>
      <c r="P55" s="1145"/>
      <c r="Q55" s="1145"/>
      <c r="R55" s="1145"/>
      <c r="S55" s="1145"/>
      <c r="T55" s="1145"/>
      <c r="U55" s="1145"/>
      <c r="V55" s="1145"/>
      <c r="W55" s="1145"/>
      <c r="X55" s="1145"/>
      <c r="Y55" s="1145"/>
      <c r="Z55" s="1145"/>
      <c r="AA55" s="1146"/>
    </row>
    <row r="56" spans="1:27">
      <c r="A56" s="1144"/>
      <c r="B56" s="1145"/>
      <c r="C56" s="1145"/>
      <c r="D56" s="1145"/>
      <c r="E56" s="1145"/>
      <c r="F56" s="1145"/>
      <c r="G56" s="1145"/>
      <c r="H56" s="1145"/>
      <c r="I56" s="1145"/>
      <c r="J56" s="1145"/>
      <c r="K56" s="1145"/>
      <c r="L56" s="1145"/>
      <c r="M56" s="1145"/>
      <c r="N56" s="1145"/>
      <c r="O56" s="1145"/>
      <c r="P56" s="1145"/>
      <c r="Q56" s="1145"/>
      <c r="R56" s="1145"/>
      <c r="S56" s="1145"/>
      <c r="T56" s="1145"/>
      <c r="U56" s="1145"/>
      <c r="V56" s="1145"/>
      <c r="W56" s="1145"/>
      <c r="X56" s="1145"/>
      <c r="Y56" s="1145"/>
      <c r="Z56" s="1145"/>
      <c r="AA56" s="1146"/>
    </row>
    <row r="57" spans="1:27">
      <c r="A57" s="1144"/>
      <c r="B57" s="1145"/>
      <c r="C57" s="1145"/>
      <c r="D57" s="1145"/>
      <c r="E57" s="1145"/>
      <c r="F57" s="1145"/>
      <c r="G57" s="1145"/>
      <c r="H57" s="1145"/>
      <c r="I57" s="1145"/>
      <c r="J57" s="1145"/>
      <c r="K57" s="1145"/>
      <c r="L57" s="1145"/>
      <c r="M57" s="1145"/>
      <c r="N57" s="1145"/>
      <c r="O57" s="1145"/>
      <c r="P57" s="1145"/>
      <c r="Q57" s="1145"/>
      <c r="R57" s="1145"/>
      <c r="S57" s="1145"/>
      <c r="T57" s="1145"/>
      <c r="U57" s="1145"/>
      <c r="V57" s="1145"/>
      <c r="W57" s="1145"/>
      <c r="X57" s="1145"/>
      <c r="Y57" s="1145"/>
      <c r="Z57" s="1145"/>
      <c r="AA57" s="1146"/>
    </row>
    <row r="58" spans="1:27">
      <c r="A58" s="1144"/>
      <c r="B58" s="1145"/>
      <c r="C58" s="1145"/>
      <c r="D58" s="1145"/>
      <c r="E58" s="1145"/>
      <c r="F58" s="1145"/>
      <c r="G58" s="1145"/>
      <c r="H58" s="1145"/>
      <c r="I58" s="1145"/>
      <c r="J58" s="1145"/>
      <c r="K58" s="1145"/>
      <c r="L58" s="1145"/>
      <c r="M58" s="1145"/>
      <c r="N58" s="1145"/>
      <c r="O58" s="1145"/>
      <c r="P58" s="1145"/>
      <c r="Q58" s="1145"/>
      <c r="R58" s="1145"/>
      <c r="S58" s="1145"/>
      <c r="T58" s="1145"/>
      <c r="U58" s="1145"/>
      <c r="V58" s="1145"/>
      <c r="W58" s="1145"/>
      <c r="X58" s="1145"/>
      <c r="Y58" s="1145"/>
      <c r="Z58" s="1145"/>
      <c r="AA58" s="1146"/>
    </row>
    <row r="59" spans="1:27">
      <c r="A59" s="1144"/>
      <c r="B59" s="1145"/>
      <c r="C59" s="1145"/>
      <c r="D59" s="1145"/>
      <c r="E59" s="1145"/>
      <c r="F59" s="1145"/>
      <c r="G59" s="1145"/>
      <c r="H59" s="1145"/>
      <c r="I59" s="1145"/>
      <c r="J59" s="1145"/>
      <c r="K59" s="1145"/>
      <c r="L59" s="1145"/>
      <c r="M59" s="1145"/>
      <c r="N59" s="1145"/>
      <c r="O59" s="1145"/>
      <c r="P59" s="1145"/>
      <c r="Q59" s="1145"/>
      <c r="R59" s="1145"/>
      <c r="S59" s="1145"/>
      <c r="T59" s="1145"/>
      <c r="U59" s="1145"/>
      <c r="V59" s="1145"/>
      <c r="W59" s="1145"/>
      <c r="X59" s="1145"/>
      <c r="Y59" s="1145"/>
      <c r="Z59" s="1145"/>
      <c r="AA59" s="1146"/>
    </row>
    <row r="60" spans="1:27">
      <c r="A60" s="1144"/>
      <c r="B60" s="1145"/>
      <c r="C60" s="1145"/>
      <c r="D60" s="1145"/>
      <c r="E60" s="1145"/>
      <c r="F60" s="1145"/>
      <c r="G60" s="1145"/>
      <c r="H60" s="1145"/>
      <c r="I60" s="1145"/>
      <c r="J60" s="1145"/>
      <c r="K60" s="1145"/>
      <c r="L60" s="1145"/>
      <c r="M60" s="1145"/>
      <c r="N60" s="1145"/>
      <c r="O60" s="1145"/>
      <c r="P60" s="1145"/>
      <c r="Q60" s="1145"/>
      <c r="R60" s="1145"/>
      <c r="S60" s="1145"/>
      <c r="T60" s="1145"/>
      <c r="U60" s="1145"/>
      <c r="V60" s="1145"/>
      <c r="W60" s="1145"/>
      <c r="X60" s="1145"/>
      <c r="Y60" s="1145"/>
      <c r="Z60" s="1145"/>
      <c r="AA60" s="1146"/>
    </row>
    <row r="61" spans="1:27">
      <c r="A61" s="1144"/>
      <c r="B61" s="1145"/>
      <c r="C61" s="1145"/>
      <c r="D61" s="1145"/>
      <c r="E61" s="1145"/>
      <c r="F61" s="1145"/>
      <c r="G61" s="1145"/>
      <c r="H61" s="1145"/>
      <c r="I61" s="1145"/>
      <c r="J61" s="1145"/>
      <c r="K61" s="1145"/>
      <c r="L61" s="1145"/>
      <c r="M61" s="1145"/>
      <c r="N61" s="1145"/>
      <c r="O61" s="1145"/>
      <c r="P61" s="1145"/>
      <c r="Q61" s="1145"/>
      <c r="R61" s="1145"/>
      <c r="S61" s="1145"/>
      <c r="T61" s="1145"/>
      <c r="U61" s="1145"/>
      <c r="V61" s="1145"/>
      <c r="W61" s="1145"/>
      <c r="X61" s="1145"/>
      <c r="Y61" s="1145"/>
      <c r="Z61" s="1145"/>
      <c r="AA61" s="1146"/>
    </row>
    <row r="62" spans="1:27">
      <c r="A62" s="1144"/>
      <c r="B62" s="1145"/>
      <c r="C62" s="1145"/>
      <c r="D62" s="1145"/>
      <c r="E62" s="1145"/>
      <c r="F62" s="1145"/>
      <c r="G62" s="1145"/>
      <c r="H62" s="1145"/>
      <c r="I62" s="1145"/>
      <c r="J62" s="1145"/>
      <c r="K62" s="1145"/>
      <c r="L62" s="1145"/>
      <c r="M62" s="1145"/>
      <c r="N62" s="1145"/>
      <c r="O62" s="1145"/>
      <c r="P62" s="1145"/>
      <c r="Q62" s="1145"/>
      <c r="R62" s="1145"/>
      <c r="S62" s="1145"/>
      <c r="T62" s="1145"/>
      <c r="U62" s="1145"/>
      <c r="V62" s="1145"/>
      <c r="W62" s="1145"/>
      <c r="X62" s="1145"/>
      <c r="Y62" s="1145"/>
      <c r="Z62" s="1145"/>
      <c r="AA62" s="1146"/>
    </row>
    <row r="63" spans="1:27">
      <c r="A63" s="1144"/>
      <c r="B63" s="1145"/>
      <c r="C63" s="1145"/>
      <c r="D63" s="1145"/>
      <c r="E63" s="1145"/>
      <c r="F63" s="1145"/>
      <c r="G63" s="1145"/>
      <c r="H63" s="1145"/>
      <c r="I63" s="1145"/>
      <c r="J63" s="1145"/>
      <c r="K63" s="1145"/>
      <c r="L63" s="1145"/>
      <c r="M63" s="1145"/>
      <c r="N63" s="1145"/>
      <c r="O63" s="1145"/>
      <c r="P63" s="1145"/>
      <c r="Q63" s="1145"/>
      <c r="R63" s="1145"/>
      <c r="S63" s="1145"/>
      <c r="T63" s="1145"/>
      <c r="U63" s="1145"/>
      <c r="V63" s="1145"/>
      <c r="W63" s="1145"/>
      <c r="X63" s="1145"/>
      <c r="Y63" s="1145"/>
      <c r="Z63" s="1145"/>
      <c r="AA63" s="1146"/>
    </row>
    <row r="64" spans="1:27">
      <c r="A64" s="1144" t="s">
        <v>3692</v>
      </c>
      <c r="B64" s="1145" t="s">
        <v>3691</v>
      </c>
      <c r="C64" s="1145"/>
      <c r="D64" s="1145"/>
      <c r="E64" s="1145"/>
      <c r="F64" s="1145"/>
      <c r="G64" s="1145"/>
      <c r="H64" s="1145"/>
      <c r="I64" s="1145"/>
      <c r="J64" s="1145"/>
      <c r="K64" s="1145"/>
      <c r="L64" s="1145"/>
      <c r="M64" s="1145"/>
      <c r="N64" s="1145"/>
      <c r="O64" s="1145"/>
      <c r="P64" s="1145"/>
      <c r="Q64" s="1145"/>
      <c r="R64" s="1145"/>
      <c r="S64" s="1145"/>
      <c r="T64" s="1145"/>
      <c r="U64" s="1145"/>
      <c r="V64" s="1145"/>
      <c r="W64" s="1145"/>
      <c r="X64" s="1145"/>
      <c r="Y64" s="1145"/>
      <c r="Z64" s="1145"/>
      <c r="AA64" s="1146"/>
    </row>
    <row r="65" spans="1:27">
      <c r="A65" s="1144"/>
      <c r="B65" s="1145"/>
      <c r="C65" s="1145"/>
      <c r="D65" s="1145"/>
      <c r="E65" s="1145"/>
      <c r="F65" s="1145"/>
      <c r="G65" s="1145"/>
      <c r="H65" s="1145"/>
      <c r="I65" s="1145"/>
      <c r="J65" s="1145"/>
      <c r="K65" s="1145"/>
      <c r="L65" s="1145"/>
      <c r="M65" s="1145"/>
      <c r="N65" s="1145"/>
      <c r="O65" s="1145"/>
      <c r="P65" s="1145"/>
      <c r="Q65" s="1145"/>
      <c r="R65" s="1145"/>
      <c r="S65" s="1145"/>
      <c r="T65" s="1145"/>
      <c r="U65" s="1145"/>
      <c r="V65" s="1145"/>
      <c r="W65" s="1145"/>
      <c r="X65" s="1145"/>
      <c r="Y65" s="1145"/>
      <c r="Z65" s="1145"/>
      <c r="AA65" s="1146"/>
    </row>
    <row r="66" spans="1:27">
      <c r="A66" s="1144"/>
      <c r="B66" s="1145"/>
      <c r="C66" s="1145"/>
      <c r="D66" s="1145"/>
      <c r="E66" s="1145"/>
      <c r="F66" s="1145"/>
      <c r="G66" s="1145"/>
      <c r="H66" s="1145"/>
      <c r="I66" s="1145"/>
      <c r="J66" s="1145"/>
      <c r="K66" s="1145"/>
      <c r="L66" s="1145"/>
      <c r="M66" s="1145"/>
      <c r="N66" s="1145"/>
      <c r="O66" s="1145"/>
      <c r="P66" s="1145"/>
      <c r="Q66" s="1145"/>
      <c r="R66" s="1145"/>
      <c r="S66" s="1145"/>
      <c r="T66" s="1145"/>
      <c r="U66" s="1145"/>
      <c r="V66" s="1145"/>
      <c r="W66" s="1145"/>
      <c r="X66" s="1145"/>
      <c r="Y66" s="1145"/>
      <c r="Z66" s="1145"/>
      <c r="AA66" s="1146"/>
    </row>
    <row r="67" spans="1:27" ht="62.25" customHeight="1">
      <c r="A67" s="1144"/>
      <c r="B67" s="1145"/>
      <c r="C67" s="1145"/>
      <c r="D67" s="1145"/>
      <c r="E67" s="1145"/>
      <c r="F67" s="1145"/>
      <c r="G67" s="1145"/>
      <c r="H67" s="1145"/>
      <c r="I67" s="1145"/>
      <c r="J67" s="1145"/>
      <c r="K67" s="1145"/>
      <c r="L67" s="1145"/>
      <c r="M67" s="1145"/>
      <c r="N67" s="1145"/>
      <c r="O67" s="1145"/>
      <c r="P67" s="1145"/>
      <c r="Q67" s="1145"/>
      <c r="R67" s="1145"/>
      <c r="S67" s="1145"/>
      <c r="T67" s="1145"/>
      <c r="U67" s="1145"/>
      <c r="V67" s="1145"/>
      <c r="W67" s="1145"/>
      <c r="X67" s="1145"/>
      <c r="Y67" s="1145"/>
      <c r="Z67" s="1145"/>
      <c r="AA67" s="1146"/>
    </row>
    <row r="68" spans="1:27" ht="15" customHeight="1">
      <c r="A68" s="1144" t="s">
        <v>3693</v>
      </c>
      <c r="B68" s="1145" t="s">
        <v>3694</v>
      </c>
      <c r="C68" s="1145"/>
      <c r="D68" s="1145"/>
      <c r="E68" s="1145"/>
      <c r="F68" s="1145"/>
      <c r="G68" s="1145"/>
      <c r="H68" s="1145"/>
      <c r="I68" s="1145"/>
      <c r="J68" s="1145"/>
      <c r="K68" s="1145"/>
      <c r="L68" s="1145"/>
      <c r="M68" s="1145"/>
      <c r="N68" s="1145"/>
      <c r="O68" s="1145"/>
      <c r="P68" s="1145"/>
      <c r="Q68" s="1145"/>
      <c r="R68" s="1145"/>
      <c r="S68" s="1145"/>
      <c r="T68" s="1145"/>
      <c r="U68" s="1145"/>
      <c r="V68" s="1145"/>
      <c r="W68" s="1145"/>
      <c r="X68" s="1145"/>
      <c r="Y68" s="1145"/>
      <c r="Z68" s="1145"/>
      <c r="AA68" s="1146"/>
    </row>
    <row r="69" spans="1:27">
      <c r="A69" s="1144"/>
      <c r="B69" s="1145"/>
      <c r="C69" s="1145"/>
      <c r="D69" s="1145"/>
      <c r="E69" s="1145"/>
      <c r="F69" s="1145"/>
      <c r="G69" s="1145"/>
      <c r="H69" s="1145"/>
      <c r="I69" s="1145"/>
      <c r="J69" s="1145"/>
      <c r="K69" s="1145"/>
      <c r="L69" s="1145"/>
      <c r="M69" s="1145"/>
      <c r="N69" s="1145"/>
      <c r="O69" s="1145"/>
      <c r="P69" s="1145"/>
      <c r="Q69" s="1145"/>
      <c r="R69" s="1145"/>
      <c r="S69" s="1145"/>
      <c r="T69" s="1145"/>
      <c r="U69" s="1145"/>
      <c r="V69" s="1145"/>
      <c r="W69" s="1145"/>
      <c r="X69" s="1145"/>
      <c r="Y69" s="1145"/>
      <c r="Z69" s="1145"/>
      <c r="AA69" s="1146"/>
    </row>
    <row r="70" spans="1:27">
      <c r="A70" s="1144"/>
      <c r="B70" s="1145"/>
      <c r="C70" s="1145"/>
      <c r="D70" s="1145"/>
      <c r="E70" s="1145"/>
      <c r="F70" s="1145"/>
      <c r="G70" s="1145"/>
      <c r="H70" s="1145"/>
      <c r="I70" s="1145"/>
      <c r="J70" s="1145"/>
      <c r="K70" s="1145"/>
      <c r="L70" s="1145"/>
      <c r="M70" s="1145"/>
      <c r="N70" s="1145"/>
      <c r="O70" s="1145"/>
      <c r="P70" s="1145"/>
      <c r="Q70" s="1145"/>
      <c r="R70" s="1145"/>
      <c r="S70" s="1145"/>
      <c r="T70" s="1145"/>
      <c r="U70" s="1145"/>
      <c r="V70" s="1145"/>
      <c r="W70" s="1145"/>
      <c r="X70" s="1145"/>
      <c r="Y70" s="1145"/>
      <c r="Z70" s="1145"/>
      <c r="AA70" s="1146"/>
    </row>
    <row r="71" spans="1:27">
      <c r="A71" s="1144"/>
      <c r="B71" s="1145"/>
      <c r="C71" s="1145"/>
      <c r="D71" s="1145"/>
      <c r="E71" s="1145"/>
      <c r="F71" s="1145"/>
      <c r="G71" s="1145"/>
      <c r="H71" s="1145"/>
      <c r="I71" s="1145"/>
      <c r="J71" s="1145"/>
      <c r="K71" s="1145"/>
      <c r="L71" s="1145"/>
      <c r="M71" s="1145"/>
      <c r="N71" s="1145"/>
      <c r="O71" s="1145"/>
      <c r="P71" s="1145"/>
      <c r="Q71" s="1145"/>
      <c r="R71" s="1145"/>
      <c r="S71" s="1145"/>
      <c r="T71" s="1145"/>
      <c r="U71" s="1145"/>
      <c r="V71" s="1145"/>
      <c r="W71" s="1145"/>
      <c r="X71" s="1145"/>
      <c r="Y71" s="1145"/>
      <c r="Z71" s="1145"/>
      <c r="AA71" s="1146"/>
    </row>
    <row r="72" spans="1:27">
      <c r="A72" s="1144"/>
      <c r="B72" s="1145"/>
      <c r="C72" s="1145"/>
      <c r="D72" s="1145"/>
      <c r="E72" s="1145"/>
      <c r="F72" s="1145"/>
      <c r="G72" s="1145"/>
      <c r="H72" s="1145"/>
      <c r="I72" s="1145"/>
      <c r="J72" s="1145"/>
      <c r="K72" s="1145"/>
      <c r="L72" s="1145"/>
      <c r="M72" s="1145"/>
      <c r="N72" s="1145"/>
      <c r="O72" s="1145"/>
      <c r="P72" s="1145"/>
      <c r="Q72" s="1145"/>
      <c r="R72" s="1145"/>
      <c r="S72" s="1145"/>
      <c r="T72" s="1145"/>
      <c r="U72" s="1145"/>
      <c r="V72" s="1145"/>
      <c r="W72" s="1145"/>
      <c r="X72" s="1145"/>
      <c r="Y72" s="1145"/>
      <c r="Z72" s="1145"/>
      <c r="AA72" s="1146"/>
    </row>
    <row r="73" spans="1:27">
      <c r="A73" s="1144"/>
      <c r="B73" s="1145"/>
      <c r="C73" s="1145"/>
      <c r="D73" s="1145"/>
      <c r="E73" s="1145"/>
      <c r="F73" s="1145"/>
      <c r="G73" s="1145"/>
      <c r="H73" s="1145"/>
      <c r="I73" s="1145"/>
      <c r="J73" s="1145"/>
      <c r="K73" s="1145"/>
      <c r="L73" s="1145"/>
      <c r="M73" s="1145"/>
      <c r="N73" s="1145"/>
      <c r="O73" s="1145"/>
      <c r="P73" s="1145"/>
      <c r="Q73" s="1145"/>
      <c r="R73" s="1145"/>
      <c r="S73" s="1145"/>
      <c r="T73" s="1145"/>
      <c r="U73" s="1145"/>
      <c r="V73" s="1145"/>
      <c r="W73" s="1145"/>
      <c r="X73" s="1145"/>
      <c r="Y73" s="1145"/>
      <c r="Z73" s="1145"/>
      <c r="AA73" s="1146"/>
    </row>
    <row r="74" spans="1:27">
      <c r="A74" s="1144"/>
      <c r="B74" s="1145"/>
      <c r="C74" s="1145"/>
      <c r="D74" s="1145"/>
      <c r="E74" s="1145"/>
      <c r="F74" s="1145"/>
      <c r="G74" s="1145"/>
      <c r="H74" s="1145"/>
      <c r="I74" s="1145"/>
      <c r="J74" s="1145"/>
      <c r="K74" s="1145"/>
      <c r="L74" s="1145"/>
      <c r="M74" s="1145"/>
      <c r="N74" s="1145"/>
      <c r="O74" s="1145"/>
      <c r="P74" s="1145"/>
      <c r="Q74" s="1145"/>
      <c r="R74" s="1145"/>
      <c r="S74" s="1145"/>
      <c r="T74" s="1145"/>
      <c r="U74" s="1145"/>
      <c r="V74" s="1145"/>
      <c r="W74" s="1145"/>
      <c r="X74" s="1145"/>
      <c r="Y74" s="1145"/>
      <c r="Z74" s="1145"/>
      <c r="AA74" s="1146"/>
    </row>
    <row r="75" spans="1:27" ht="15.75" thickBot="1">
      <c r="A75" s="1157"/>
      <c r="B75" s="1155"/>
      <c r="C75" s="1155"/>
      <c r="D75" s="1155"/>
      <c r="E75" s="1155"/>
      <c r="F75" s="1155"/>
      <c r="G75" s="1155"/>
      <c r="H75" s="1155"/>
      <c r="I75" s="1155"/>
      <c r="J75" s="1155"/>
      <c r="K75" s="1155"/>
      <c r="L75" s="1155"/>
      <c r="M75" s="1155"/>
      <c r="N75" s="1155"/>
      <c r="O75" s="1155"/>
      <c r="P75" s="1155"/>
      <c r="Q75" s="1155"/>
      <c r="R75" s="1155"/>
      <c r="S75" s="1155"/>
      <c r="T75" s="1155"/>
      <c r="U75" s="1155"/>
      <c r="V75" s="1155"/>
      <c r="W75" s="1155"/>
      <c r="X75" s="1155"/>
      <c r="Y75" s="1155"/>
      <c r="Z75" s="1155"/>
      <c r="AA75" s="1156"/>
    </row>
    <row r="76" spans="1:27" ht="15.75" thickTop="1"/>
  </sheetData>
  <mergeCells count="35">
    <mergeCell ref="B11:AA11"/>
    <mergeCell ref="B6:AA6"/>
    <mergeCell ref="B7:AA7"/>
    <mergeCell ref="B8:AA8"/>
    <mergeCell ref="B9:AA9"/>
    <mergeCell ref="B10:AA10"/>
    <mergeCell ref="A1:AA1"/>
    <mergeCell ref="B2:AA2"/>
    <mergeCell ref="B3:AA3"/>
    <mergeCell ref="B4:AA4"/>
    <mergeCell ref="B5:AA5"/>
    <mergeCell ref="B68:AA75"/>
    <mergeCell ref="A68:A75"/>
    <mergeCell ref="A53:A63"/>
    <mergeCell ref="B53:AA63"/>
    <mergeCell ref="A64:A67"/>
    <mergeCell ref="B64:AA67"/>
    <mergeCell ref="B43:AA44"/>
    <mergeCell ref="A43:A44"/>
    <mergeCell ref="A47:AA47"/>
    <mergeCell ref="B48:AA48"/>
    <mergeCell ref="A49:A52"/>
    <mergeCell ref="B49:AA52"/>
    <mergeCell ref="A39:A42"/>
    <mergeCell ref="B39:AA42"/>
    <mergeCell ref="B15:AA15"/>
    <mergeCell ref="A31:A34"/>
    <mergeCell ref="B31:AA34"/>
    <mergeCell ref="B16:AA19"/>
    <mergeCell ref="A16:A19"/>
    <mergeCell ref="A14:AA14"/>
    <mergeCell ref="A20:A30"/>
    <mergeCell ref="B20:AA30"/>
    <mergeCell ref="A35:A38"/>
    <mergeCell ref="B35:AA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C918-A0BB-4CC0-AD1E-F0F40EF9D762}">
  <sheetPr codeName="Φύλλο4">
    <tabColor rgb="FFFFFFCC"/>
  </sheetPr>
  <dimension ref="A1:O346"/>
  <sheetViews>
    <sheetView zoomScale="91" zoomScaleNormal="91" workbookViewId="0">
      <pane ySplit="1" topLeftCell="A335" activePane="bottomLeft" state="frozen"/>
      <selection pane="bottomLeft" activeCell="B347" sqref="B347"/>
    </sheetView>
  </sheetViews>
  <sheetFormatPr defaultRowHeight="15"/>
  <cols>
    <col min="1" max="1" width="23.140625" style="3" bestFit="1" customWidth="1"/>
    <col min="2" max="2" width="98.140625" style="2" customWidth="1"/>
    <col min="3" max="3" width="61.7109375" style="2" customWidth="1"/>
    <col min="4" max="4" width="26.7109375" style="2" customWidth="1"/>
    <col min="5" max="5" width="34.5703125" customWidth="1"/>
    <col min="6" max="6" width="27" customWidth="1"/>
    <col min="8" max="8" width="21.42578125" customWidth="1"/>
  </cols>
  <sheetData>
    <row r="1" spans="1:6">
      <c r="A1" s="4" t="s">
        <v>30</v>
      </c>
      <c r="B1" s="4" t="s">
        <v>31</v>
      </c>
      <c r="C1" s="4" t="s">
        <v>32</v>
      </c>
      <c r="D1" s="4" t="s">
        <v>33</v>
      </c>
      <c r="F1" s="141" t="s">
        <v>34</v>
      </c>
    </row>
    <row r="2" spans="1:6" ht="30">
      <c r="A2" s="5">
        <v>45757</v>
      </c>
      <c r="B2" s="6" t="s">
        <v>35</v>
      </c>
      <c r="C2" s="6" t="s">
        <v>36</v>
      </c>
      <c r="D2" s="6" t="s">
        <v>37</v>
      </c>
      <c r="F2" s="142" t="s">
        <v>3093</v>
      </c>
    </row>
    <row r="3" spans="1:6" ht="30">
      <c r="A3" s="5">
        <v>45758</v>
      </c>
      <c r="B3" s="6" t="s">
        <v>38</v>
      </c>
      <c r="C3" s="6" t="s">
        <v>39</v>
      </c>
      <c r="D3" s="6" t="s">
        <v>40</v>
      </c>
      <c r="F3" s="143" t="s">
        <v>41</v>
      </c>
    </row>
    <row r="4" spans="1:6" ht="30.75" thickBot="1">
      <c r="A4" s="47">
        <v>45758</v>
      </c>
      <c r="B4" s="6" t="s">
        <v>42</v>
      </c>
      <c r="C4" s="6" t="s">
        <v>43</v>
      </c>
      <c r="D4" s="6" t="s">
        <v>44</v>
      </c>
      <c r="F4" s="359" t="s">
        <v>50</v>
      </c>
    </row>
    <row r="5" spans="1:6" ht="60.75" thickBot="1">
      <c r="A5" s="5">
        <v>45761</v>
      </c>
      <c r="B5" s="6" t="s">
        <v>45</v>
      </c>
      <c r="C5" s="6" t="s">
        <v>20</v>
      </c>
      <c r="D5" s="6" t="s">
        <v>46</v>
      </c>
      <c r="F5" s="381" t="s">
        <v>54</v>
      </c>
    </row>
    <row r="6" spans="1:6" ht="30">
      <c r="A6" s="5">
        <v>45761</v>
      </c>
      <c r="B6" s="6" t="s">
        <v>47</v>
      </c>
      <c r="C6" s="6" t="s">
        <v>48</v>
      </c>
      <c r="D6" s="6" t="s">
        <v>49</v>
      </c>
    </row>
    <row r="7" spans="1:6">
      <c r="A7" s="5">
        <v>45761</v>
      </c>
      <c r="B7" s="6" t="s">
        <v>51</v>
      </c>
      <c r="C7" s="6" t="s">
        <v>52</v>
      </c>
      <c r="D7" s="6" t="s">
        <v>53</v>
      </c>
    </row>
    <row r="8" spans="1:6" ht="45">
      <c r="A8" s="5">
        <v>45761</v>
      </c>
      <c r="B8" s="6" t="s">
        <v>55</v>
      </c>
      <c r="C8" s="6" t="s">
        <v>52</v>
      </c>
      <c r="D8" s="6" t="s">
        <v>56</v>
      </c>
    </row>
    <row r="9" spans="1:6">
      <c r="A9" s="5">
        <v>45761</v>
      </c>
      <c r="B9" s="6" t="s">
        <v>57</v>
      </c>
      <c r="C9" s="6" t="s">
        <v>58</v>
      </c>
      <c r="D9" s="6" t="s">
        <v>53</v>
      </c>
    </row>
    <row r="10" spans="1:6" ht="30">
      <c r="A10" s="5">
        <v>45761</v>
      </c>
      <c r="B10" s="6" t="s">
        <v>59</v>
      </c>
      <c r="C10" s="6" t="s">
        <v>58</v>
      </c>
      <c r="D10" s="6" t="s">
        <v>53</v>
      </c>
    </row>
    <row r="11" spans="1:6" ht="30">
      <c r="A11" s="5">
        <v>45761</v>
      </c>
      <c r="B11" s="6" t="s">
        <v>60</v>
      </c>
      <c r="C11" s="6" t="s">
        <v>61</v>
      </c>
      <c r="D11" s="6" t="s">
        <v>53</v>
      </c>
    </row>
    <row r="12" spans="1:6">
      <c r="A12" s="5">
        <v>45761</v>
      </c>
      <c r="B12" s="6" t="s">
        <v>62</v>
      </c>
      <c r="C12" s="6" t="s">
        <v>39</v>
      </c>
      <c r="D12" s="6" t="s">
        <v>56</v>
      </c>
    </row>
    <row r="13" spans="1:6" ht="30">
      <c r="A13" s="5">
        <v>45761</v>
      </c>
      <c r="B13" s="6" t="s">
        <v>63</v>
      </c>
      <c r="C13" s="6" t="s">
        <v>64</v>
      </c>
      <c r="D13" s="6" t="s">
        <v>65</v>
      </c>
    </row>
    <row r="14" spans="1:6" ht="45">
      <c r="A14" s="5">
        <v>45762</v>
      </c>
      <c r="B14" s="6" t="s">
        <v>66</v>
      </c>
      <c r="C14" s="6" t="s">
        <v>64</v>
      </c>
      <c r="D14" s="6" t="s">
        <v>53</v>
      </c>
    </row>
    <row r="15" spans="1:6">
      <c r="A15" s="5">
        <v>45762</v>
      </c>
      <c r="B15" s="6" t="s">
        <v>67</v>
      </c>
      <c r="C15" s="6" t="s">
        <v>58</v>
      </c>
      <c r="D15" s="6" t="s">
        <v>56</v>
      </c>
    </row>
    <row r="16" spans="1:6">
      <c r="A16" s="5">
        <v>45762</v>
      </c>
      <c r="B16" s="6" t="s">
        <v>68</v>
      </c>
      <c r="C16" s="6" t="s">
        <v>48</v>
      </c>
      <c r="D16" s="6" t="s">
        <v>53</v>
      </c>
    </row>
    <row r="17" spans="1:8">
      <c r="A17" s="5">
        <v>45762</v>
      </c>
      <c r="B17" s="6" t="s">
        <v>69</v>
      </c>
      <c r="C17" s="6" t="s">
        <v>48</v>
      </c>
      <c r="D17" s="6" t="s">
        <v>53</v>
      </c>
      <c r="F17" s="125"/>
      <c r="H17" s="125"/>
    </row>
    <row r="18" spans="1:8">
      <c r="A18" s="5">
        <v>45762</v>
      </c>
      <c r="B18" s="6" t="s">
        <v>70</v>
      </c>
      <c r="C18" s="6" t="s">
        <v>71</v>
      </c>
      <c r="D18" s="6" t="s">
        <v>37</v>
      </c>
    </row>
    <row r="19" spans="1:8" ht="30">
      <c r="A19" s="5">
        <v>45762</v>
      </c>
      <c r="B19" s="6" t="s">
        <v>72</v>
      </c>
      <c r="C19" s="6" t="s">
        <v>71</v>
      </c>
      <c r="D19" s="6" t="s">
        <v>73</v>
      </c>
    </row>
    <row r="20" spans="1:8" ht="30">
      <c r="A20" s="5">
        <v>45769</v>
      </c>
      <c r="B20" s="6" t="s">
        <v>74</v>
      </c>
      <c r="C20" s="6" t="s">
        <v>75</v>
      </c>
      <c r="D20" s="6" t="s">
        <v>56</v>
      </c>
    </row>
    <row r="21" spans="1:8" ht="60">
      <c r="A21" s="5">
        <v>45770</v>
      </c>
      <c r="B21" s="6" t="s">
        <v>76</v>
      </c>
      <c r="C21" s="6" t="s">
        <v>77</v>
      </c>
      <c r="D21" s="6" t="s">
        <v>78</v>
      </c>
    </row>
    <row r="22" spans="1:8" ht="45">
      <c r="A22" s="5">
        <v>45771</v>
      </c>
      <c r="B22" s="6" t="s">
        <v>79</v>
      </c>
      <c r="C22" s="6" t="s">
        <v>80</v>
      </c>
      <c r="D22" s="6" t="s">
        <v>53</v>
      </c>
    </row>
    <row r="23" spans="1:8" ht="30">
      <c r="A23" s="5">
        <v>45771</v>
      </c>
      <c r="B23" s="6" t="s">
        <v>81</v>
      </c>
      <c r="C23" s="6" t="s">
        <v>82</v>
      </c>
      <c r="D23" s="6" t="s">
        <v>53</v>
      </c>
    </row>
    <row r="24" spans="1:8">
      <c r="A24" s="5">
        <v>45771</v>
      </c>
      <c r="B24" s="6" t="s">
        <v>83</v>
      </c>
      <c r="C24" s="6" t="s">
        <v>84</v>
      </c>
      <c r="D24" s="6" t="s">
        <v>53</v>
      </c>
    </row>
    <row r="25" spans="1:8" ht="30">
      <c r="A25" s="5">
        <v>45772</v>
      </c>
      <c r="B25" s="6" t="s">
        <v>85</v>
      </c>
      <c r="C25" s="6" t="s">
        <v>82</v>
      </c>
      <c r="D25" s="6" t="s">
        <v>53</v>
      </c>
    </row>
    <row r="26" spans="1:8" ht="30">
      <c r="A26" s="5">
        <v>45772</v>
      </c>
      <c r="B26" s="6" t="s">
        <v>86</v>
      </c>
      <c r="C26" s="6" t="s">
        <v>87</v>
      </c>
      <c r="D26" s="6" t="s">
        <v>49</v>
      </c>
    </row>
    <row r="27" spans="1:8" ht="30">
      <c r="A27" s="5">
        <v>45772</v>
      </c>
      <c r="B27" s="6" t="s">
        <v>88</v>
      </c>
      <c r="C27" s="6" t="s">
        <v>48</v>
      </c>
      <c r="D27" s="6" t="s">
        <v>89</v>
      </c>
    </row>
    <row r="28" spans="1:8" ht="30">
      <c r="A28" s="5">
        <v>45772</v>
      </c>
      <c r="B28" s="6" t="s">
        <v>90</v>
      </c>
      <c r="C28" s="6" t="s">
        <v>91</v>
      </c>
      <c r="D28" s="6" t="s">
        <v>92</v>
      </c>
    </row>
    <row r="29" spans="1:8" ht="30">
      <c r="A29" s="5">
        <v>45775</v>
      </c>
      <c r="B29" s="6" t="s">
        <v>93</v>
      </c>
      <c r="C29" s="6" t="s">
        <v>94</v>
      </c>
      <c r="D29" s="6" t="s">
        <v>95</v>
      </c>
    </row>
    <row r="30" spans="1:8">
      <c r="A30" s="5">
        <v>45775</v>
      </c>
      <c r="B30" s="6" t="s">
        <v>96</v>
      </c>
      <c r="C30" s="6" t="s">
        <v>97</v>
      </c>
      <c r="D30" s="6" t="s">
        <v>98</v>
      </c>
    </row>
    <row r="31" spans="1:8">
      <c r="A31" s="5">
        <v>45775</v>
      </c>
      <c r="B31" s="6" t="s">
        <v>99</v>
      </c>
      <c r="C31" s="6" t="s">
        <v>84</v>
      </c>
      <c r="D31" s="6" t="s">
        <v>100</v>
      </c>
    </row>
    <row r="32" spans="1:8">
      <c r="A32" s="5">
        <v>45775</v>
      </c>
      <c r="B32" s="6" t="s">
        <v>101</v>
      </c>
      <c r="C32" s="6" t="s">
        <v>64</v>
      </c>
      <c r="D32" s="6" t="s">
        <v>53</v>
      </c>
    </row>
    <row r="33" spans="1:6" ht="30">
      <c r="A33" s="5">
        <v>45775</v>
      </c>
      <c r="B33" s="6" t="s">
        <v>102</v>
      </c>
      <c r="C33" s="6" t="s">
        <v>58</v>
      </c>
      <c r="D33" s="6" t="s">
        <v>103</v>
      </c>
      <c r="F33" s="125"/>
    </row>
    <row r="34" spans="1:6">
      <c r="A34" s="5">
        <v>45779</v>
      </c>
      <c r="B34" s="6" t="s">
        <v>104</v>
      </c>
      <c r="C34" s="6" t="s">
        <v>48</v>
      </c>
      <c r="D34" s="6" t="s">
        <v>56</v>
      </c>
    </row>
    <row r="35" spans="1:6">
      <c r="A35" s="5">
        <v>45782</v>
      </c>
      <c r="B35" s="6" t="s">
        <v>105</v>
      </c>
      <c r="C35" s="6" t="s">
        <v>48</v>
      </c>
      <c r="D35" s="6" t="s">
        <v>49</v>
      </c>
    </row>
    <row r="36" spans="1:6" ht="30">
      <c r="A36" s="5">
        <v>45782</v>
      </c>
      <c r="B36" s="292" t="s">
        <v>106</v>
      </c>
      <c r="C36" s="6" t="s">
        <v>58</v>
      </c>
      <c r="D36" s="6" t="s">
        <v>107</v>
      </c>
    </row>
    <row r="37" spans="1:6" ht="30">
      <c r="A37" s="5">
        <v>45782</v>
      </c>
      <c r="B37" s="6" t="s">
        <v>108</v>
      </c>
      <c r="C37" s="6" t="s">
        <v>48</v>
      </c>
      <c r="D37" s="6" t="s">
        <v>56</v>
      </c>
    </row>
    <row r="38" spans="1:6">
      <c r="A38" s="5">
        <v>45782</v>
      </c>
      <c r="B38" s="6" t="s">
        <v>109</v>
      </c>
      <c r="C38" s="6" t="s">
        <v>48</v>
      </c>
      <c r="D38" s="6" t="s">
        <v>56</v>
      </c>
    </row>
    <row r="39" spans="1:6">
      <c r="A39" s="5">
        <v>45782</v>
      </c>
      <c r="B39" s="6" t="s">
        <v>110</v>
      </c>
      <c r="C39" s="6" t="s">
        <v>111</v>
      </c>
      <c r="D39" s="6" t="s">
        <v>56</v>
      </c>
    </row>
    <row r="40" spans="1:6" ht="30">
      <c r="A40" s="5">
        <v>45782</v>
      </c>
      <c r="B40" s="6" t="s">
        <v>112</v>
      </c>
      <c r="C40" s="6" t="s">
        <v>48</v>
      </c>
      <c r="D40" s="6" t="s">
        <v>53</v>
      </c>
    </row>
    <row r="41" spans="1:6" ht="30">
      <c r="A41" s="5">
        <v>45782</v>
      </c>
      <c r="B41" s="6" t="s">
        <v>113</v>
      </c>
      <c r="C41" s="6" t="s">
        <v>48</v>
      </c>
      <c r="D41" s="6" t="s">
        <v>53</v>
      </c>
    </row>
    <row r="42" spans="1:6" ht="30">
      <c r="A42" s="5">
        <v>45783</v>
      </c>
      <c r="B42" s="6" t="s">
        <v>114</v>
      </c>
      <c r="C42" s="6" t="s">
        <v>48</v>
      </c>
      <c r="D42" s="6" t="s">
        <v>115</v>
      </c>
    </row>
    <row r="43" spans="1:6" ht="30">
      <c r="A43" s="5">
        <v>45783</v>
      </c>
      <c r="B43" s="6" t="s">
        <v>116</v>
      </c>
      <c r="C43" s="6" t="s">
        <v>58</v>
      </c>
      <c r="D43" s="6" t="s">
        <v>53</v>
      </c>
    </row>
    <row r="44" spans="1:6">
      <c r="A44" s="5">
        <v>45783</v>
      </c>
      <c r="B44" s="6" t="s">
        <v>117</v>
      </c>
      <c r="C44" s="6" t="s">
        <v>58</v>
      </c>
      <c r="D44" s="6" t="s">
        <v>53</v>
      </c>
    </row>
    <row r="45" spans="1:6">
      <c r="A45" s="5">
        <v>45784</v>
      </c>
      <c r="B45" s="6" t="s">
        <v>118</v>
      </c>
      <c r="C45" s="6" t="s">
        <v>82</v>
      </c>
      <c r="D45" s="6" t="s">
        <v>53</v>
      </c>
    </row>
    <row r="46" spans="1:6" ht="30">
      <c r="A46" s="5">
        <v>45785</v>
      </c>
      <c r="B46" s="6" t="s">
        <v>119</v>
      </c>
      <c r="C46" s="6" t="s">
        <v>48</v>
      </c>
      <c r="D46" s="6" t="s">
        <v>56</v>
      </c>
    </row>
    <row r="47" spans="1:6">
      <c r="A47" s="5">
        <v>45785</v>
      </c>
      <c r="B47" s="6" t="s">
        <v>120</v>
      </c>
      <c r="C47" s="6" t="s">
        <v>48</v>
      </c>
      <c r="D47" s="6" t="s">
        <v>56</v>
      </c>
      <c r="F47" s="81"/>
    </row>
    <row r="48" spans="1:6">
      <c r="A48" s="5">
        <v>45789</v>
      </c>
      <c r="B48" s="6" t="s">
        <v>121</v>
      </c>
      <c r="C48" s="6" t="s">
        <v>48</v>
      </c>
      <c r="D48" s="6" t="s">
        <v>56</v>
      </c>
    </row>
    <row r="49" spans="1:4">
      <c r="A49" s="5">
        <v>45789</v>
      </c>
      <c r="B49" s="6" t="s">
        <v>122</v>
      </c>
      <c r="C49" s="6" t="s">
        <v>48</v>
      </c>
      <c r="D49" s="6" t="s">
        <v>56</v>
      </c>
    </row>
    <row r="50" spans="1:4" ht="30">
      <c r="A50" s="5">
        <v>45790</v>
      </c>
      <c r="B50" s="6" t="s">
        <v>123</v>
      </c>
      <c r="C50" s="6" t="s">
        <v>48</v>
      </c>
      <c r="D50" s="6" t="s">
        <v>124</v>
      </c>
    </row>
    <row r="51" spans="1:4">
      <c r="A51" s="5">
        <v>45790</v>
      </c>
      <c r="B51" s="6" t="s">
        <v>125</v>
      </c>
      <c r="C51" s="6" t="s">
        <v>48</v>
      </c>
      <c r="D51" s="6" t="s">
        <v>126</v>
      </c>
    </row>
    <row r="52" spans="1:4">
      <c r="A52" s="5">
        <v>45790</v>
      </c>
      <c r="B52" s="6" t="s">
        <v>127</v>
      </c>
      <c r="C52" s="6" t="s">
        <v>82</v>
      </c>
      <c r="D52" s="6" t="s">
        <v>128</v>
      </c>
    </row>
    <row r="53" spans="1:4" ht="30">
      <c r="A53" s="5">
        <v>45792</v>
      </c>
      <c r="B53" s="6" t="s">
        <v>129</v>
      </c>
      <c r="C53" s="6" t="s">
        <v>82</v>
      </c>
      <c r="D53" s="6" t="s">
        <v>128</v>
      </c>
    </row>
    <row r="54" spans="1:4" ht="30">
      <c r="A54" s="5">
        <v>45792</v>
      </c>
      <c r="B54" s="6" t="s">
        <v>130</v>
      </c>
      <c r="C54" s="6" t="s">
        <v>20</v>
      </c>
      <c r="D54" s="6" t="s">
        <v>56</v>
      </c>
    </row>
    <row r="55" spans="1:4" ht="30">
      <c r="A55" s="5">
        <v>45792</v>
      </c>
      <c r="B55" s="6" t="s">
        <v>131</v>
      </c>
      <c r="C55" s="6" t="s">
        <v>64</v>
      </c>
      <c r="D55" s="6" t="s">
        <v>53</v>
      </c>
    </row>
    <row r="56" spans="1:4">
      <c r="A56" s="379">
        <v>45793</v>
      </c>
      <c r="B56" s="380" t="s">
        <v>132</v>
      </c>
      <c r="C56" s="380" t="s">
        <v>71</v>
      </c>
      <c r="D56" s="380" t="s">
        <v>56</v>
      </c>
    </row>
    <row r="57" spans="1:4" ht="30">
      <c r="A57" s="5">
        <v>45793</v>
      </c>
      <c r="B57" s="6" t="s">
        <v>133</v>
      </c>
      <c r="C57" s="6" t="s">
        <v>134</v>
      </c>
      <c r="D57" s="6" t="s">
        <v>56</v>
      </c>
    </row>
    <row r="58" spans="1:4">
      <c r="A58" s="5">
        <v>45793</v>
      </c>
      <c r="B58" s="6" t="s">
        <v>135</v>
      </c>
      <c r="C58" s="6" t="s">
        <v>84</v>
      </c>
      <c r="D58" s="6" t="s">
        <v>56</v>
      </c>
    </row>
    <row r="59" spans="1:4" ht="30">
      <c r="A59" s="5">
        <v>45793</v>
      </c>
      <c r="B59" s="6" t="s">
        <v>136</v>
      </c>
      <c r="C59" s="6" t="s">
        <v>77</v>
      </c>
      <c r="D59" s="6" t="s">
        <v>128</v>
      </c>
    </row>
    <row r="60" spans="1:4">
      <c r="A60" s="5">
        <v>45796</v>
      </c>
      <c r="B60" s="6" t="s">
        <v>137</v>
      </c>
      <c r="C60" s="6" t="s">
        <v>77</v>
      </c>
      <c r="D60" s="6" t="s">
        <v>56</v>
      </c>
    </row>
    <row r="61" spans="1:4" ht="30">
      <c r="A61" s="5">
        <v>45796</v>
      </c>
      <c r="B61" s="6" t="s">
        <v>138</v>
      </c>
      <c r="C61" s="6" t="s">
        <v>139</v>
      </c>
      <c r="D61" s="6" t="s">
        <v>98</v>
      </c>
    </row>
    <row r="62" spans="1:4">
      <c r="A62" s="5">
        <v>45797</v>
      </c>
      <c r="B62" s="6" t="s">
        <v>140</v>
      </c>
      <c r="C62" s="6" t="s">
        <v>141</v>
      </c>
      <c r="D62" s="6" t="s">
        <v>142</v>
      </c>
    </row>
    <row r="63" spans="1:4" ht="45">
      <c r="A63" s="5">
        <v>45798</v>
      </c>
      <c r="B63" s="6" t="s">
        <v>143</v>
      </c>
      <c r="C63" s="6" t="s">
        <v>64</v>
      </c>
      <c r="D63" s="6" t="s">
        <v>144</v>
      </c>
    </row>
    <row r="64" spans="1:4">
      <c r="A64" s="5">
        <v>45798</v>
      </c>
      <c r="B64" s="6" t="s">
        <v>145</v>
      </c>
      <c r="C64" s="6" t="s">
        <v>80</v>
      </c>
      <c r="D64" s="6" t="s">
        <v>144</v>
      </c>
    </row>
    <row r="65" spans="1:5" ht="90">
      <c r="A65" s="5">
        <v>45798</v>
      </c>
      <c r="B65" s="6" t="s">
        <v>146</v>
      </c>
      <c r="C65" s="6" t="s">
        <v>147</v>
      </c>
      <c r="D65" s="6" t="s">
        <v>148</v>
      </c>
    </row>
    <row r="66" spans="1:5">
      <c r="A66" s="7" t="s">
        <v>149</v>
      </c>
      <c r="B66" s="6" t="s">
        <v>150</v>
      </c>
      <c r="C66" s="6" t="s">
        <v>151</v>
      </c>
      <c r="D66" s="6" t="s">
        <v>53</v>
      </c>
    </row>
    <row r="67" spans="1:5" ht="30">
      <c r="A67" s="5">
        <v>45799</v>
      </c>
      <c r="B67" s="6" t="s">
        <v>152</v>
      </c>
      <c r="C67" s="6" t="s">
        <v>80</v>
      </c>
      <c r="D67" s="6" t="s">
        <v>128</v>
      </c>
    </row>
    <row r="68" spans="1:5" ht="45">
      <c r="A68" s="5">
        <v>45799</v>
      </c>
      <c r="B68" s="6" t="s">
        <v>153</v>
      </c>
      <c r="C68" s="6" t="s">
        <v>64</v>
      </c>
      <c r="D68" s="6" t="s">
        <v>128</v>
      </c>
    </row>
    <row r="69" spans="1:5">
      <c r="A69" s="5">
        <v>45799</v>
      </c>
      <c r="B69" s="6" t="s">
        <v>154</v>
      </c>
      <c r="C69" s="6" t="s">
        <v>155</v>
      </c>
      <c r="D69" s="6" t="s">
        <v>56</v>
      </c>
    </row>
    <row r="70" spans="1:5">
      <c r="A70" s="5">
        <v>45803</v>
      </c>
      <c r="B70" s="6" t="s">
        <v>156</v>
      </c>
      <c r="C70" s="6" t="s">
        <v>48</v>
      </c>
      <c r="D70" s="6" t="s">
        <v>56</v>
      </c>
    </row>
    <row r="71" spans="1:5" ht="30">
      <c r="A71" s="5">
        <v>45804</v>
      </c>
      <c r="B71" s="6" t="s">
        <v>157</v>
      </c>
      <c r="C71" s="6" t="s">
        <v>48</v>
      </c>
      <c r="D71" s="6" t="s">
        <v>53</v>
      </c>
    </row>
    <row r="72" spans="1:5">
      <c r="A72" s="5">
        <v>45806</v>
      </c>
      <c r="B72" s="6" t="s">
        <v>3527</v>
      </c>
      <c r="C72" s="6" t="s">
        <v>64</v>
      </c>
      <c r="D72" s="6" t="s">
        <v>53</v>
      </c>
    </row>
    <row r="73" spans="1:5" ht="30">
      <c r="A73" s="5">
        <v>45806</v>
      </c>
      <c r="B73" s="6" t="s">
        <v>158</v>
      </c>
      <c r="C73" s="6" t="s">
        <v>71</v>
      </c>
      <c r="D73" s="6" t="s">
        <v>159</v>
      </c>
    </row>
    <row r="74" spans="1:5" ht="90">
      <c r="A74" s="5">
        <v>45806</v>
      </c>
      <c r="B74" s="6" t="s">
        <v>160</v>
      </c>
      <c r="C74" s="6" t="s">
        <v>48</v>
      </c>
      <c r="D74" s="6" t="s">
        <v>159</v>
      </c>
    </row>
    <row r="75" spans="1:5">
      <c r="A75" s="5">
        <v>45807</v>
      </c>
      <c r="B75" s="6" t="s">
        <v>161</v>
      </c>
      <c r="C75" s="6" t="s">
        <v>162</v>
      </c>
      <c r="D75" s="6" t="s">
        <v>159</v>
      </c>
    </row>
    <row r="76" spans="1:5">
      <c r="A76" s="5">
        <v>45807</v>
      </c>
      <c r="B76" s="6" t="s">
        <v>163</v>
      </c>
      <c r="C76" s="6" t="s">
        <v>64</v>
      </c>
      <c r="D76" s="6" t="s">
        <v>53</v>
      </c>
    </row>
    <row r="77" spans="1:5" ht="105">
      <c r="A77" s="5">
        <v>45807</v>
      </c>
      <c r="B77" s="6" t="s">
        <v>164</v>
      </c>
      <c r="C77" s="6" t="s">
        <v>48</v>
      </c>
      <c r="D77" s="6" t="s">
        <v>53</v>
      </c>
      <c r="E77" s="82" t="s">
        <v>165</v>
      </c>
    </row>
    <row r="78" spans="1:5">
      <c r="A78" s="5">
        <v>45807</v>
      </c>
      <c r="B78" s="6" t="s">
        <v>166</v>
      </c>
      <c r="C78" s="6" t="s">
        <v>48</v>
      </c>
      <c r="D78" s="6" t="s">
        <v>53</v>
      </c>
    </row>
    <row r="79" spans="1:5" ht="30">
      <c r="A79" s="5">
        <v>45807</v>
      </c>
      <c r="B79" s="6" t="s">
        <v>167</v>
      </c>
      <c r="C79" s="6" t="s">
        <v>139</v>
      </c>
      <c r="D79" s="6" t="s">
        <v>168</v>
      </c>
    </row>
    <row r="80" spans="1:5">
      <c r="A80" s="5">
        <v>45810</v>
      </c>
      <c r="B80" s="6" t="s">
        <v>169</v>
      </c>
      <c r="C80" s="6" t="s">
        <v>48</v>
      </c>
      <c r="D80" s="6" t="s">
        <v>98</v>
      </c>
    </row>
    <row r="81" spans="1:5">
      <c r="A81" s="5">
        <v>45810</v>
      </c>
      <c r="B81" s="6" t="s">
        <v>170</v>
      </c>
      <c r="C81" s="6" t="s">
        <v>58</v>
      </c>
      <c r="D81" s="6" t="s">
        <v>98</v>
      </c>
    </row>
    <row r="82" spans="1:5" ht="30">
      <c r="A82" s="5">
        <v>45811</v>
      </c>
      <c r="B82" s="6" t="s">
        <v>171</v>
      </c>
      <c r="C82" s="6" t="s">
        <v>64</v>
      </c>
      <c r="D82" s="6" t="s">
        <v>53</v>
      </c>
      <c r="E82" s="2" t="s">
        <v>172</v>
      </c>
    </row>
    <row r="83" spans="1:5" ht="30">
      <c r="A83" s="5">
        <v>45811</v>
      </c>
      <c r="B83" s="6" t="s">
        <v>173</v>
      </c>
      <c r="C83" s="6" t="s">
        <v>48</v>
      </c>
      <c r="D83" s="6" t="s">
        <v>56</v>
      </c>
    </row>
    <row r="84" spans="1:5" ht="45">
      <c r="A84" s="5">
        <v>45812</v>
      </c>
      <c r="B84" s="6" t="s">
        <v>174</v>
      </c>
      <c r="C84" s="6" t="s">
        <v>48</v>
      </c>
      <c r="D84" s="6" t="s">
        <v>78</v>
      </c>
    </row>
    <row r="85" spans="1:5">
      <c r="A85" s="5">
        <v>45812</v>
      </c>
      <c r="B85" s="6" t="s">
        <v>175</v>
      </c>
      <c r="C85" s="6" t="s">
        <v>48</v>
      </c>
      <c r="D85" s="6" t="s">
        <v>56</v>
      </c>
    </row>
    <row r="86" spans="1:5" ht="45">
      <c r="A86" s="5">
        <v>45813</v>
      </c>
      <c r="B86" s="6" t="s">
        <v>176</v>
      </c>
      <c r="C86" s="6" t="s">
        <v>58</v>
      </c>
      <c r="D86" s="6" t="s">
        <v>148</v>
      </c>
    </row>
    <row r="87" spans="1:5">
      <c r="A87" s="5">
        <v>45814</v>
      </c>
      <c r="B87" s="6" t="s">
        <v>177</v>
      </c>
      <c r="C87" s="6" t="s">
        <v>58</v>
      </c>
      <c r="D87" s="6" t="s">
        <v>56</v>
      </c>
    </row>
    <row r="88" spans="1:5" ht="30">
      <c r="A88" s="5">
        <v>45818</v>
      </c>
      <c r="B88" s="6" t="s">
        <v>178</v>
      </c>
      <c r="C88" s="6" t="s">
        <v>58</v>
      </c>
      <c r="D88" s="6" t="s">
        <v>179</v>
      </c>
    </row>
    <row r="89" spans="1:5">
      <c r="A89" s="5">
        <v>45819</v>
      </c>
      <c r="B89" s="6" t="s">
        <v>180</v>
      </c>
      <c r="C89" s="6" t="s">
        <v>58</v>
      </c>
      <c r="D89" s="6" t="s">
        <v>56</v>
      </c>
    </row>
    <row r="90" spans="1:5">
      <c r="A90" s="5">
        <v>45819</v>
      </c>
      <c r="B90" s="6" t="s">
        <v>181</v>
      </c>
      <c r="C90" s="6" t="s">
        <v>182</v>
      </c>
      <c r="D90" s="6" t="s">
        <v>56</v>
      </c>
    </row>
    <row r="91" spans="1:5" ht="30">
      <c r="A91" s="5">
        <v>45819</v>
      </c>
      <c r="B91" s="6" t="s">
        <v>183</v>
      </c>
      <c r="C91" s="6" t="s">
        <v>64</v>
      </c>
      <c r="D91" s="6" t="s">
        <v>98</v>
      </c>
    </row>
    <row r="92" spans="1:5">
      <c r="A92" s="5">
        <v>45819</v>
      </c>
      <c r="B92" s="6" t="s">
        <v>184</v>
      </c>
      <c r="C92" s="6" t="s">
        <v>48</v>
      </c>
      <c r="D92" s="6" t="s">
        <v>98</v>
      </c>
    </row>
    <row r="93" spans="1:5" ht="45">
      <c r="A93" s="5">
        <v>45820</v>
      </c>
      <c r="B93" s="6" t="s">
        <v>185</v>
      </c>
      <c r="C93" s="6" t="s">
        <v>186</v>
      </c>
      <c r="D93" s="6" t="s">
        <v>56</v>
      </c>
      <c r="E93" s="6" t="s">
        <v>187</v>
      </c>
    </row>
    <row r="94" spans="1:5" ht="45">
      <c r="A94" s="5">
        <v>45821</v>
      </c>
      <c r="B94" s="6" t="s">
        <v>188</v>
      </c>
      <c r="C94" s="6" t="s">
        <v>20</v>
      </c>
      <c r="D94" s="6" t="s">
        <v>189</v>
      </c>
    </row>
    <row r="95" spans="1:5">
      <c r="A95" s="5">
        <v>45821</v>
      </c>
      <c r="B95" s="6" t="s">
        <v>190</v>
      </c>
      <c r="C95" s="6" t="s">
        <v>48</v>
      </c>
      <c r="D95" s="6" t="s">
        <v>56</v>
      </c>
    </row>
    <row r="96" spans="1:5" ht="30">
      <c r="A96" s="5">
        <v>45824</v>
      </c>
      <c r="B96" s="6" t="s">
        <v>191</v>
      </c>
      <c r="C96" s="6" t="s">
        <v>58</v>
      </c>
      <c r="D96" s="6" t="s">
        <v>128</v>
      </c>
    </row>
    <row r="97" spans="1:5" ht="45">
      <c r="A97" s="5">
        <v>45824</v>
      </c>
      <c r="B97" s="6" t="s">
        <v>192</v>
      </c>
      <c r="C97" s="6" t="s">
        <v>58</v>
      </c>
      <c r="D97" s="6" t="s">
        <v>193</v>
      </c>
    </row>
    <row r="98" spans="1:5" ht="30">
      <c r="A98" s="5">
        <v>45825</v>
      </c>
      <c r="B98" s="6" t="s">
        <v>194</v>
      </c>
      <c r="C98" s="6" t="s">
        <v>71</v>
      </c>
      <c r="D98" s="6" t="s">
        <v>189</v>
      </c>
    </row>
    <row r="99" spans="1:5">
      <c r="A99" s="5">
        <v>45825</v>
      </c>
      <c r="B99" s="6" t="s">
        <v>195</v>
      </c>
      <c r="C99" s="6" t="s">
        <v>48</v>
      </c>
      <c r="D99" s="6" t="s">
        <v>56</v>
      </c>
    </row>
    <row r="100" spans="1:5" ht="30">
      <c r="A100" s="5">
        <v>45825</v>
      </c>
      <c r="B100" s="6" t="s">
        <v>196</v>
      </c>
      <c r="C100" s="6" t="s">
        <v>43</v>
      </c>
      <c r="D100" s="6" t="s">
        <v>128</v>
      </c>
    </row>
    <row r="101" spans="1:5" ht="30">
      <c r="A101" s="5">
        <v>45825</v>
      </c>
      <c r="B101" s="6" t="s">
        <v>197</v>
      </c>
      <c r="C101" s="6" t="s">
        <v>198</v>
      </c>
      <c r="D101" s="6" t="s">
        <v>56</v>
      </c>
    </row>
    <row r="102" spans="1:5" ht="30">
      <c r="A102" s="5">
        <v>45825</v>
      </c>
      <c r="B102" s="6" t="s">
        <v>199</v>
      </c>
      <c r="C102" s="6" t="s">
        <v>20</v>
      </c>
      <c r="D102" s="6" t="s">
        <v>200</v>
      </c>
    </row>
    <row r="103" spans="1:5" ht="30">
      <c r="A103" s="5">
        <v>45825</v>
      </c>
      <c r="B103" s="6" t="s">
        <v>201</v>
      </c>
      <c r="C103" s="6" t="s">
        <v>20</v>
      </c>
      <c r="D103" s="6" t="s">
        <v>200</v>
      </c>
      <c r="E103" s="6" t="s">
        <v>202</v>
      </c>
    </row>
    <row r="104" spans="1:5" ht="198" customHeight="1">
      <c r="A104" s="5">
        <v>45826</v>
      </c>
      <c r="B104" s="6" t="s">
        <v>203</v>
      </c>
      <c r="C104" s="6" t="s">
        <v>204</v>
      </c>
      <c r="D104" s="6" t="s">
        <v>53</v>
      </c>
      <c r="E104" s="6" t="s">
        <v>205</v>
      </c>
    </row>
    <row r="105" spans="1:5" ht="45">
      <c r="A105" s="360">
        <v>45826</v>
      </c>
      <c r="B105" s="157" t="s">
        <v>206</v>
      </c>
      <c r="C105" s="157" t="s">
        <v>207</v>
      </c>
      <c r="D105" s="157" t="s">
        <v>179</v>
      </c>
    </row>
    <row r="106" spans="1:5">
      <c r="A106" s="5">
        <v>45826</v>
      </c>
      <c r="B106" s="6" t="s">
        <v>208</v>
      </c>
      <c r="C106" s="6" t="s">
        <v>20</v>
      </c>
      <c r="D106" s="6" t="s">
        <v>209</v>
      </c>
    </row>
    <row r="107" spans="1:5" ht="60">
      <c r="A107" s="360">
        <v>45826</v>
      </c>
      <c r="B107" s="157" t="s">
        <v>210</v>
      </c>
      <c r="C107" s="157" t="s">
        <v>207</v>
      </c>
      <c r="D107" s="157" t="s">
        <v>179</v>
      </c>
    </row>
    <row r="108" spans="1:5">
      <c r="A108" s="5">
        <v>45828</v>
      </c>
      <c r="B108" s="6" t="s">
        <v>211</v>
      </c>
      <c r="C108" s="6" t="s">
        <v>64</v>
      </c>
      <c r="D108" s="6" t="s">
        <v>168</v>
      </c>
    </row>
    <row r="109" spans="1:5">
      <c r="A109" s="5">
        <v>45831</v>
      </c>
      <c r="B109" s="6" t="s">
        <v>212</v>
      </c>
      <c r="C109" s="6" t="s">
        <v>94</v>
      </c>
      <c r="D109" s="6" t="s">
        <v>78</v>
      </c>
    </row>
    <row r="110" spans="1:5">
      <c r="A110" s="5">
        <v>45831</v>
      </c>
      <c r="B110" s="6" t="s">
        <v>213</v>
      </c>
      <c r="C110" s="6" t="s">
        <v>64</v>
      </c>
      <c r="D110" s="6" t="s">
        <v>56</v>
      </c>
    </row>
    <row r="111" spans="1:5">
      <c r="A111" s="5">
        <v>45831</v>
      </c>
      <c r="B111" s="6" t="s">
        <v>214</v>
      </c>
      <c r="C111" s="6" t="s">
        <v>20</v>
      </c>
      <c r="D111" s="6" t="s">
        <v>98</v>
      </c>
    </row>
    <row r="112" spans="1:5">
      <c r="A112" s="5">
        <v>45831</v>
      </c>
      <c r="B112" s="6" t="s">
        <v>215</v>
      </c>
      <c r="C112" s="6" t="s">
        <v>64</v>
      </c>
      <c r="D112" s="6" t="s">
        <v>98</v>
      </c>
    </row>
    <row r="113" spans="1:6" ht="30">
      <c r="A113" s="374">
        <v>45833</v>
      </c>
      <c r="B113" s="375" t="s">
        <v>216</v>
      </c>
      <c r="C113" s="375" t="s">
        <v>217</v>
      </c>
      <c r="D113" s="375" t="s">
        <v>218</v>
      </c>
    </row>
    <row r="114" spans="1:6" ht="30">
      <c r="A114" s="5">
        <v>45834</v>
      </c>
      <c r="B114" s="376" t="s">
        <v>219</v>
      </c>
      <c r="C114" s="6" t="s">
        <v>64</v>
      </c>
      <c r="D114" s="6" t="s">
        <v>56</v>
      </c>
    </row>
    <row r="115" spans="1:6">
      <c r="A115" s="5">
        <v>45834</v>
      </c>
      <c r="B115" s="6" t="s">
        <v>220</v>
      </c>
      <c r="C115" s="6" t="s">
        <v>64</v>
      </c>
      <c r="D115" s="6" t="s">
        <v>56</v>
      </c>
    </row>
    <row r="116" spans="1:6">
      <c r="A116" s="5">
        <v>45834</v>
      </c>
      <c r="B116" s="6" t="s">
        <v>221</v>
      </c>
      <c r="C116" s="6" t="s">
        <v>64</v>
      </c>
      <c r="D116" s="6" t="s">
        <v>56</v>
      </c>
    </row>
    <row r="117" spans="1:6">
      <c r="A117" s="5">
        <v>45835</v>
      </c>
      <c r="B117" s="6" t="s">
        <v>222</v>
      </c>
      <c r="C117" s="6" t="s">
        <v>223</v>
      </c>
      <c r="D117" s="6" t="s">
        <v>98</v>
      </c>
    </row>
    <row r="118" spans="1:6" ht="90">
      <c r="A118" s="5">
        <v>45835</v>
      </c>
      <c r="B118" s="6" t="s">
        <v>224</v>
      </c>
      <c r="C118" s="6" t="s">
        <v>64</v>
      </c>
      <c r="D118" s="6" t="s">
        <v>98</v>
      </c>
      <c r="E118" s="376" t="s">
        <v>225</v>
      </c>
      <c r="F118" s="6" t="s">
        <v>230</v>
      </c>
    </row>
    <row r="119" spans="1:6" ht="30">
      <c r="A119" s="5">
        <v>45835</v>
      </c>
      <c r="B119" s="6" t="s">
        <v>226</v>
      </c>
      <c r="C119" s="6" t="s">
        <v>64</v>
      </c>
      <c r="D119" s="6" t="s">
        <v>128</v>
      </c>
    </row>
    <row r="120" spans="1:6" ht="180">
      <c r="A120" s="5">
        <v>45835</v>
      </c>
      <c r="B120" s="6" t="s">
        <v>227</v>
      </c>
      <c r="C120" s="6" t="s">
        <v>228</v>
      </c>
      <c r="D120" s="6" t="s">
        <v>56</v>
      </c>
      <c r="E120" s="6" t="s">
        <v>229</v>
      </c>
    </row>
    <row r="121" spans="1:6" ht="60">
      <c r="A121" s="5">
        <v>45835</v>
      </c>
      <c r="B121" s="6" t="s">
        <v>231</v>
      </c>
      <c r="C121" s="6" t="s">
        <v>64</v>
      </c>
      <c r="D121" s="6" t="s">
        <v>98</v>
      </c>
    </row>
    <row r="122" spans="1:6" ht="30">
      <c r="A122" s="5">
        <v>45835</v>
      </c>
      <c r="B122" s="6" t="s">
        <v>232</v>
      </c>
      <c r="C122" s="6" t="s">
        <v>64</v>
      </c>
      <c r="D122" s="6" t="s">
        <v>56</v>
      </c>
    </row>
    <row r="123" spans="1:6" ht="45">
      <c r="A123" s="5">
        <v>45838</v>
      </c>
      <c r="B123" s="6" t="s">
        <v>233</v>
      </c>
      <c r="C123" s="6" t="s">
        <v>234</v>
      </c>
      <c r="D123" s="6" t="s">
        <v>98</v>
      </c>
      <c r="E123" s="6" t="s">
        <v>235</v>
      </c>
    </row>
    <row r="124" spans="1:6">
      <c r="A124" s="5">
        <v>45838</v>
      </c>
      <c r="B124" s="6" t="s">
        <v>236</v>
      </c>
      <c r="C124" s="6" t="s">
        <v>58</v>
      </c>
      <c r="D124" s="6" t="s">
        <v>98</v>
      </c>
    </row>
    <row r="125" spans="1:6" ht="30">
      <c r="A125" s="5">
        <v>45838</v>
      </c>
      <c r="B125" s="6" t="s">
        <v>237</v>
      </c>
      <c r="C125" s="6" t="s">
        <v>3554</v>
      </c>
      <c r="D125" s="6" t="s">
        <v>98</v>
      </c>
    </row>
    <row r="126" spans="1:6">
      <c r="A126" s="5">
        <v>45838</v>
      </c>
      <c r="B126" s="6" t="s">
        <v>238</v>
      </c>
      <c r="C126" s="6" t="s">
        <v>64</v>
      </c>
      <c r="D126" s="6" t="s">
        <v>56</v>
      </c>
    </row>
    <row r="127" spans="1:6" ht="30">
      <c r="A127" s="5">
        <v>45838</v>
      </c>
      <c r="B127" s="6" t="s">
        <v>239</v>
      </c>
      <c r="C127" s="6" t="s">
        <v>64</v>
      </c>
      <c r="D127" s="6" t="s">
        <v>56</v>
      </c>
    </row>
    <row r="128" spans="1:6">
      <c r="A128" s="5">
        <v>45839</v>
      </c>
      <c r="B128" s="6" t="s">
        <v>240</v>
      </c>
      <c r="C128" s="6" t="s">
        <v>217</v>
      </c>
      <c r="D128" s="6" t="s">
        <v>98</v>
      </c>
    </row>
    <row r="129" spans="1:8" ht="30">
      <c r="A129" s="5">
        <v>45839</v>
      </c>
      <c r="B129" s="6" t="s">
        <v>241</v>
      </c>
      <c r="C129" s="6" t="s">
        <v>3554</v>
      </c>
      <c r="D129" s="6" t="s">
        <v>98</v>
      </c>
    </row>
    <row r="130" spans="1:8">
      <c r="A130" s="5">
        <v>45839</v>
      </c>
      <c r="B130" s="6" t="s">
        <v>242</v>
      </c>
      <c r="C130" s="6" t="s">
        <v>3554</v>
      </c>
      <c r="D130" s="6" t="s">
        <v>98</v>
      </c>
    </row>
    <row r="131" spans="1:8" ht="30">
      <c r="A131" s="5">
        <v>45839</v>
      </c>
      <c r="B131" s="6" t="s">
        <v>243</v>
      </c>
      <c r="C131" s="6" t="s">
        <v>3554</v>
      </c>
      <c r="D131" s="6" t="s">
        <v>98</v>
      </c>
    </row>
    <row r="132" spans="1:8" ht="30">
      <c r="A132" s="5">
        <v>45840</v>
      </c>
      <c r="B132" s="6" t="s">
        <v>244</v>
      </c>
      <c r="C132" s="6" t="s">
        <v>58</v>
      </c>
      <c r="D132" s="6" t="s">
        <v>128</v>
      </c>
      <c r="F132" s="6" t="s">
        <v>250</v>
      </c>
    </row>
    <row r="133" spans="1:8" ht="30">
      <c r="A133" s="5">
        <v>45840</v>
      </c>
      <c r="B133" s="6" t="s">
        <v>245</v>
      </c>
      <c r="C133" s="6" t="s">
        <v>246</v>
      </c>
      <c r="D133" s="6" t="s">
        <v>247</v>
      </c>
    </row>
    <row r="134" spans="1:8" ht="165">
      <c r="A134" s="5">
        <v>45840</v>
      </c>
      <c r="B134" s="6" t="s">
        <v>248</v>
      </c>
      <c r="C134" s="6" t="s">
        <v>64</v>
      </c>
      <c r="D134" s="6" t="s">
        <v>98</v>
      </c>
      <c r="E134" s="6" t="s">
        <v>249</v>
      </c>
      <c r="G134" s="6" t="s">
        <v>251</v>
      </c>
      <c r="H134" s="6" t="s">
        <v>252</v>
      </c>
    </row>
    <row r="135" spans="1:8" ht="30">
      <c r="A135" s="5">
        <v>45840</v>
      </c>
      <c r="B135" s="6" t="s">
        <v>253</v>
      </c>
      <c r="C135" s="6" t="s">
        <v>64</v>
      </c>
      <c r="D135" s="6" t="s">
        <v>56</v>
      </c>
    </row>
    <row r="136" spans="1:8" ht="30">
      <c r="A136" s="5">
        <v>45840</v>
      </c>
      <c r="B136" s="6" t="s">
        <v>254</v>
      </c>
      <c r="C136" s="6" t="s">
        <v>64</v>
      </c>
      <c r="D136" s="6" t="s">
        <v>56</v>
      </c>
    </row>
    <row r="137" spans="1:8">
      <c r="A137" s="5">
        <v>45841</v>
      </c>
      <c r="B137" s="6" t="s">
        <v>255</v>
      </c>
      <c r="C137" s="6" t="s">
        <v>246</v>
      </c>
      <c r="D137" s="6" t="s">
        <v>56</v>
      </c>
    </row>
    <row r="138" spans="1:8" ht="30">
      <c r="A138" s="5">
        <v>45841</v>
      </c>
      <c r="B138" s="6" t="s">
        <v>256</v>
      </c>
      <c r="C138" s="6" t="s">
        <v>198</v>
      </c>
      <c r="D138" s="6" t="s">
        <v>56</v>
      </c>
    </row>
    <row r="139" spans="1:8" ht="75">
      <c r="A139" s="379">
        <v>45842</v>
      </c>
      <c r="B139" s="380" t="s">
        <v>257</v>
      </c>
      <c r="C139" s="380" t="s">
        <v>258</v>
      </c>
      <c r="D139" s="380" t="s">
        <v>56</v>
      </c>
    </row>
    <row r="140" spans="1:8">
      <c r="A140" s="374">
        <v>45845</v>
      </c>
      <c r="B140" s="375" t="s">
        <v>259</v>
      </c>
      <c r="C140" s="375" t="s">
        <v>246</v>
      </c>
      <c r="D140" s="375" t="s">
        <v>56</v>
      </c>
    </row>
    <row r="141" spans="1:8" ht="30">
      <c r="A141" s="374">
        <v>45845</v>
      </c>
      <c r="B141" s="375" t="s">
        <v>260</v>
      </c>
      <c r="C141" s="375" t="s">
        <v>261</v>
      </c>
      <c r="D141" s="375" t="s">
        <v>56</v>
      </c>
    </row>
    <row r="142" spans="1:8">
      <c r="A142" s="5">
        <v>45845</v>
      </c>
      <c r="B142" s="6" t="s">
        <v>262</v>
      </c>
      <c r="C142" s="6" t="s">
        <v>261</v>
      </c>
      <c r="D142" s="6" t="s">
        <v>128</v>
      </c>
    </row>
    <row r="143" spans="1:8">
      <c r="A143" s="5">
        <v>45847</v>
      </c>
      <c r="B143" s="6" t="s">
        <v>263</v>
      </c>
      <c r="C143" s="6" t="s">
        <v>94</v>
      </c>
      <c r="D143" s="6" t="s">
        <v>128</v>
      </c>
    </row>
    <row r="144" spans="1:8">
      <c r="A144" s="5">
        <v>45847</v>
      </c>
      <c r="B144" s="6" t="s">
        <v>264</v>
      </c>
      <c r="C144" s="6" t="s">
        <v>261</v>
      </c>
      <c r="D144" s="7" t="s">
        <v>128</v>
      </c>
    </row>
    <row r="145" spans="1:5" ht="90">
      <c r="A145" s="5">
        <v>45847</v>
      </c>
      <c r="B145" s="6" t="s">
        <v>265</v>
      </c>
      <c r="C145" s="6" t="s">
        <v>64</v>
      </c>
      <c r="D145" s="6" t="s">
        <v>56</v>
      </c>
    </row>
    <row r="146" spans="1:5" ht="153" customHeight="1">
      <c r="A146" s="5">
        <v>45848</v>
      </c>
      <c r="B146" s="6" t="s">
        <v>266</v>
      </c>
      <c r="C146" s="6" t="s">
        <v>64</v>
      </c>
      <c r="D146" s="6" t="s">
        <v>56</v>
      </c>
      <c r="E146" s="396" t="s">
        <v>267</v>
      </c>
    </row>
    <row r="147" spans="1:5" ht="15.75">
      <c r="A147" s="5">
        <v>45848</v>
      </c>
      <c r="B147" s="6" t="s">
        <v>268</v>
      </c>
      <c r="C147" s="6" t="s">
        <v>223</v>
      </c>
      <c r="D147" s="6" t="s">
        <v>56</v>
      </c>
      <c r="E147" s="394"/>
    </row>
    <row r="148" spans="1:5" ht="15.75">
      <c r="A148" s="5">
        <v>45848</v>
      </c>
      <c r="B148" s="6" t="s">
        <v>269</v>
      </c>
      <c r="C148" s="6" t="s">
        <v>270</v>
      </c>
      <c r="D148" s="6" t="s">
        <v>56</v>
      </c>
      <c r="E148" s="394"/>
    </row>
    <row r="149" spans="1:5" ht="15.75">
      <c r="A149" s="5">
        <v>45849</v>
      </c>
      <c r="B149" s="6" t="s">
        <v>271</v>
      </c>
      <c r="C149" s="6" t="s">
        <v>272</v>
      </c>
      <c r="D149" s="6" t="s">
        <v>56</v>
      </c>
      <c r="E149" s="394"/>
    </row>
    <row r="150" spans="1:5" ht="30">
      <c r="A150" s="5">
        <v>45849</v>
      </c>
      <c r="B150" s="6" t="s">
        <v>273</v>
      </c>
      <c r="C150" s="6" t="s">
        <v>274</v>
      </c>
      <c r="D150" s="6" t="s">
        <v>56</v>
      </c>
      <c r="E150" s="395"/>
    </row>
    <row r="151" spans="1:5" ht="30">
      <c r="A151" s="5">
        <v>45852</v>
      </c>
      <c r="B151" s="6" t="s">
        <v>275</v>
      </c>
      <c r="C151" s="6" t="s">
        <v>276</v>
      </c>
      <c r="D151" s="6" t="s">
        <v>98</v>
      </c>
    </row>
    <row r="152" spans="1:5" ht="379.5" customHeight="1">
      <c r="A152" s="379">
        <v>45852</v>
      </c>
      <c r="B152" s="380" t="s">
        <v>277</v>
      </c>
      <c r="C152" s="380" t="s">
        <v>278</v>
      </c>
      <c r="D152" s="380" t="s">
        <v>78</v>
      </c>
    </row>
    <row r="153" spans="1:5" ht="45">
      <c r="A153" s="379">
        <v>45852</v>
      </c>
      <c r="B153" s="380" t="s">
        <v>279</v>
      </c>
      <c r="C153" s="380" t="s">
        <v>278</v>
      </c>
      <c r="D153" s="380" t="s">
        <v>78</v>
      </c>
    </row>
    <row r="154" spans="1:5" ht="60" customHeight="1">
      <c r="A154" s="5">
        <v>45854</v>
      </c>
      <c r="B154" s="6" t="s">
        <v>280</v>
      </c>
      <c r="C154" s="6" t="s">
        <v>281</v>
      </c>
      <c r="D154" s="6" t="s">
        <v>98</v>
      </c>
    </row>
    <row r="155" spans="1:5" ht="72" customHeight="1">
      <c r="A155" s="5">
        <v>45855</v>
      </c>
      <c r="B155" s="6" t="s">
        <v>282</v>
      </c>
      <c r="C155" s="6" t="s">
        <v>77</v>
      </c>
      <c r="D155" s="6" t="s">
        <v>56</v>
      </c>
    </row>
    <row r="156" spans="1:5" ht="30">
      <c r="A156" s="5">
        <v>45855</v>
      </c>
      <c r="B156" s="6" t="s">
        <v>283</v>
      </c>
      <c r="C156" s="6" t="s">
        <v>284</v>
      </c>
      <c r="D156" s="6" t="s">
        <v>78</v>
      </c>
    </row>
    <row r="157" spans="1:5" ht="45">
      <c r="A157" s="5">
        <v>45856</v>
      </c>
      <c r="B157" s="6" t="s">
        <v>285</v>
      </c>
      <c r="C157" s="6" t="s">
        <v>64</v>
      </c>
      <c r="D157" s="6" t="s">
        <v>56</v>
      </c>
    </row>
    <row r="158" spans="1:5" ht="206.25" customHeight="1">
      <c r="A158" s="5">
        <v>45856</v>
      </c>
      <c r="B158" s="6" t="s">
        <v>286</v>
      </c>
      <c r="C158" s="6" t="s">
        <v>64</v>
      </c>
      <c r="D158" s="6" t="s">
        <v>56</v>
      </c>
    </row>
    <row r="159" spans="1:5" ht="60">
      <c r="A159" s="5">
        <v>45859</v>
      </c>
      <c r="B159" s="6" t="s">
        <v>287</v>
      </c>
      <c r="C159" s="6" t="s">
        <v>223</v>
      </c>
      <c r="D159" s="6" t="s">
        <v>288</v>
      </c>
    </row>
    <row r="160" spans="1:5" ht="45">
      <c r="A160" s="5">
        <v>45859</v>
      </c>
      <c r="B160" s="6" t="s">
        <v>289</v>
      </c>
      <c r="C160" s="6" t="s">
        <v>290</v>
      </c>
      <c r="D160" s="6" t="s">
        <v>98</v>
      </c>
    </row>
    <row r="161" spans="1:6">
      <c r="A161" s="5">
        <v>45859</v>
      </c>
      <c r="B161" s="6" t="s">
        <v>291</v>
      </c>
      <c r="C161" s="6" t="s">
        <v>290</v>
      </c>
      <c r="D161" s="6" t="s">
        <v>98</v>
      </c>
    </row>
    <row r="162" spans="1:6" ht="45">
      <c r="A162" s="5">
        <v>45859</v>
      </c>
      <c r="B162" s="6" t="s">
        <v>292</v>
      </c>
      <c r="C162" s="6" t="s">
        <v>71</v>
      </c>
      <c r="D162" s="6" t="s">
        <v>98</v>
      </c>
    </row>
    <row r="163" spans="1:6" ht="30">
      <c r="A163" s="5">
        <v>45861</v>
      </c>
      <c r="B163" s="6" t="s">
        <v>293</v>
      </c>
      <c r="C163" s="6" t="s">
        <v>64</v>
      </c>
      <c r="D163" s="6" t="s">
        <v>56</v>
      </c>
      <c r="E163" s="396"/>
    </row>
    <row r="164" spans="1:6" ht="30">
      <c r="A164" s="5">
        <v>45861</v>
      </c>
      <c r="B164" s="6" t="s">
        <v>294</v>
      </c>
      <c r="C164" s="6" t="s">
        <v>64</v>
      </c>
      <c r="D164" s="6" t="s">
        <v>56</v>
      </c>
    </row>
    <row r="165" spans="1:6" ht="75">
      <c r="A165" s="379">
        <v>45862</v>
      </c>
      <c r="B165" s="380" t="s">
        <v>3656</v>
      </c>
      <c r="C165" s="380" t="s">
        <v>295</v>
      </c>
      <c r="D165" s="380" t="s">
        <v>98</v>
      </c>
    </row>
    <row r="166" spans="1:6" ht="94.5">
      <c r="A166" s="5">
        <v>45863</v>
      </c>
      <c r="B166" s="6" t="s">
        <v>296</v>
      </c>
      <c r="C166" s="6" t="s">
        <v>64</v>
      </c>
      <c r="D166" s="6" t="s">
        <v>56</v>
      </c>
      <c r="E166" s="488" t="s">
        <v>297</v>
      </c>
    </row>
    <row r="167" spans="1:6" ht="30">
      <c r="A167" s="5">
        <v>45863</v>
      </c>
      <c r="B167" s="6" t="s">
        <v>298</v>
      </c>
      <c r="C167" s="6" t="s">
        <v>299</v>
      </c>
      <c r="D167" s="6" t="s">
        <v>56</v>
      </c>
    </row>
    <row r="168" spans="1:6" ht="45">
      <c r="A168" s="5">
        <v>45866</v>
      </c>
      <c r="B168" s="6" t="s">
        <v>300</v>
      </c>
      <c r="C168" s="6" t="s">
        <v>270</v>
      </c>
      <c r="D168" s="6" t="s">
        <v>56</v>
      </c>
    </row>
    <row r="169" spans="1:6" ht="45">
      <c r="A169" s="5">
        <v>45867</v>
      </c>
      <c r="B169" s="6" t="s">
        <v>301</v>
      </c>
      <c r="C169" s="6" t="s">
        <v>58</v>
      </c>
      <c r="D169" s="6" t="s">
        <v>98</v>
      </c>
      <c r="F169" s="5" t="s">
        <v>306</v>
      </c>
    </row>
    <row r="170" spans="1:6">
      <c r="A170" s="5">
        <v>45867</v>
      </c>
      <c r="B170" s="6" t="s">
        <v>302</v>
      </c>
      <c r="C170" s="6" t="s">
        <v>270</v>
      </c>
      <c r="D170" s="6" t="s">
        <v>56</v>
      </c>
    </row>
    <row r="171" spans="1:6" ht="135">
      <c r="A171" s="5">
        <v>45959</v>
      </c>
      <c r="B171" s="6" t="s">
        <v>303</v>
      </c>
      <c r="C171" s="6" t="s">
        <v>304</v>
      </c>
      <c r="D171" s="6" t="s">
        <v>200</v>
      </c>
      <c r="E171" s="6" t="s">
        <v>305</v>
      </c>
    </row>
    <row r="172" spans="1:6" ht="33">
      <c r="A172" s="5">
        <v>45959</v>
      </c>
      <c r="B172" s="407" t="s">
        <v>307</v>
      </c>
      <c r="C172" s="6" t="s">
        <v>270</v>
      </c>
      <c r="D172" s="6" t="s">
        <v>98</v>
      </c>
    </row>
    <row r="173" spans="1:6" ht="33">
      <c r="A173" s="5">
        <v>45869</v>
      </c>
      <c r="B173" s="407" t="s">
        <v>308</v>
      </c>
      <c r="C173" s="6" t="s">
        <v>276</v>
      </c>
      <c r="D173" s="6" t="s">
        <v>56</v>
      </c>
    </row>
    <row r="174" spans="1:6" ht="30">
      <c r="A174" s="5">
        <v>45870</v>
      </c>
      <c r="B174" s="6" t="s">
        <v>309</v>
      </c>
      <c r="C174" s="6" t="s">
        <v>310</v>
      </c>
      <c r="D174" s="6" t="s">
        <v>311</v>
      </c>
    </row>
    <row r="175" spans="1:6">
      <c r="A175" s="5">
        <v>45870</v>
      </c>
      <c r="B175" s="6" t="s">
        <v>312</v>
      </c>
      <c r="C175" s="6" t="s">
        <v>48</v>
      </c>
      <c r="D175" s="6" t="s">
        <v>56</v>
      </c>
    </row>
    <row r="176" spans="1:6" ht="30">
      <c r="A176" s="5">
        <v>45874</v>
      </c>
      <c r="B176" s="6" t="s">
        <v>313</v>
      </c>
      <c r="C176" s="6" t="s">
        <v>48</v>
      </c>
      <c r="D176" s="6" t="s">
        <v>179</v>
      </c>
    </row>
    <row r="177" spans="1:6">
      <c r="A177" s="5">
        <v>45877</v>
      </c>
      <c r="B177" s="6" t="s">
        <v>314</v>
      </c>
      <c r="C177" s="6" t="s">
        <v>58</v>
      </c>
      <c r="D177" s="6" t="s">
        <v>78</v>
      </c>
    </row>
    <row r="178" spans="1:6" ht="30">
      <c r="A178" s="5">
        <v>45877</v>
      </c>
      <c r="B178" s="6" t="s">
        <v>315</v>
      </c>
      <c r="C178" s="6" t="s">
        <v>316</v>
      </c>
      <c r="D178" s="6" t="s">
        <v>56</v>
      </c>
      <c r="E178" s="47" t="s">
        <v>317</v>
      </c>
    </row>
    <row r="179" spans="1:6">
      <c r="A179" s="5">
        <v>45880</v>
      </c>
      <c r="B179" s="6" t="s">
        <v>318</v>
      </c>
      <c r="C179" s="6" t="s">
        <v>82</v>
      </c>
      <c r="D179" s="6" t="s">
        <v>37</v>
      </c>
    </row>
    <row r="180" spans="1:6" ht="30">
      <c r="A180" s="5">
        <v>45880</v>
      </c>
      <c r="B180" s="6" t="s">
        <v>319</v>
      </c>
      <c r="C180" s="6" t="s">
        <v>320</v>
      </c>
      <c r="D180" s="6" t="s">
        <v>321</v>
      </c>
    </row>
    <row r="181" spans="1:6" ht="45">
      <c r="A181" s="5">
        <v>45791</v>
      </c>
      <c r="B181" s="6" t="s">
        <v>322</v>
      </c>
      <c r="C181" s="6" t="s">
        <v>58</v>
      </c>
      <c r="D181" s="6" t="s">
        <v>323</v>
      </c>
      <c r="E181" s="6" t="s">
        <v>324</v>
      </c>
    </row>
    <row r="182" spans="1:6" ht="75">
      <c r="A182" s="5">
        <v>45890</v>
      </c>
      <c r="B182" s="6" t="s">
        <v>325</v>
      </c>
      <c r="C182" s="6" t="s">
        <v>64</v>
      </c>
      <c r="D182" s="6" t="s">
        <v>49</v>
      </c>
      <c r="F182" s="6" t="s">
        <v>331</v>
      </c>
    </row>
    <row r="183" spans="1:6" ht="30">
      <c r="A183" s="5">
        <v>45890</v>
      </c>
      <c r="B183" s="6" t="s">
        <v>326</v>
      </c>
      <c r="C183" s="6" t="s">
        <v>274</v>
      </c>
      <c r="D183" s="6" t="s">
        <v>327</v>
      </c>
    </row>
    <row r="184" spans="1:6" ht="45">
      <c r="A184" s="5">
        <v>45890</v>
      </c>
      <c r="B184" s="6" t="s">
        <v>328</v>
      </c>
      <c r="C184" s="6" t="s">
        <v>316</v>
      </c>
      <c r="D184" s="6" t="s">
        <v>329</v>
      </c>
      <c r="E184" s="445" t="s">
        <v>330</v>
      </c>
    </row>
    <row r="185" spans="1:6" ht="135">
      <c r="A185" s="5">
        <v>45891</v>
      </c>
      <c r="B185" s="6" t="s">
        <v>332</v>
      </c>
      <c r="C185" s="6" t="s">
        <v>276</v>
      </c>
      <c r="D185" s="6" t="s">
        <v>333</v>
      </c>
      <c r="E185" s="6" t="s">
        <v>334</v>
      </c>
    </row>
    <row r="186" spans="1:6" ht="90">
      <c r="A186" s="5">
        <v>45891</v>
      </c>
      <c r="B186" s="6" t="s">
        <v>335</v>
      </c>
      <c r="C186" s="6" t="s">
        <v>276</v>
      </c>
      <c r="D186" s="6" t="s">
        <v>53</v>
      </c>
    </row>
    <row r="187" spans="1:6" ht="30">
      <c r="A187" s="5">
        <v>45897</v>
      </c>
      <c r="B187" s="6" t="s">
        <v>336</v>
      </c>
      <c r="C187" s="6" t="s">
        <v>64</v>
      </c>
      <c r="D187" s="6" t="s">
        <v>78</v>
      </c>
    </row>
    <row r="188" spans="1:6">
      <c r="A188" s="5">
        <v>45897</v>
      </c>
      <c r="B188" s="6" t="s">
        <v>337</v>
      </c>
      <c r="C188" s="6" t="s">
        <v>48</v>
      </c>
      <c r="D188" s="6" t="s">
        <v>56</v>
      </c>
    </row>
    <row r="189" spans="1:6" ht="180">
      <c r="A189" s="5">
        <v>45897</v>
      </c>
      <c r="B189" s="6" t="s">
        <v>338</v>
      </c>
      <c r="C189" s="6" t="s">
        <v>20</v>
      </c>
      <c r="D189" s="6" t="s">
        <v>128</v>
      </c>
      <c r="E189" s="6" t="s">
        <v>339</v>
      </c>
    </row>
    <row r="190" spans="1:6" ht="30">
      <c r="A190" s="5">
        <v>45897</v>
      </c>
      <c r="B190" s="6" t="s">
        <v>340</v>
      </c>
      <c r="C190" s="6" t="s">
        <v>341</v>
      </c>
      <c r="D190" s="6" t="s">
        <v>128</v>
      </c>
      <c r="E190" s="6" t="s">
        <v>342</v>
      </c>
    </row>
    <row r="191" spans="1:6">
      <c r="A191" s="5">
        <v>45898</v>
      </c>
      <c r="B191" s="6" t="s">
        <v>343</v>
      </c>
      <c r="C191" s="6" t="s">
        <v>48</v>
      </c>
      <c r="D191" s="6" t="s">
        <v>128</v>
      </c>
    </row>
    <row r="192" spans="1:6" ht="30">
      <c r="A192" s="5">
        <v>45901</v>
      </c>
      <c r="B192" s="6" t="s">
        <v>344</v>
      </c>
      <c r="C192" s="6" t="s">
        <v>52</v>
      </c>
      <c r="D192" s="6" t="s">
        <v>128</v>
      </c>
    </row>
    <row r="193" spans="1:15" ht="30">
      <c r="A193" s="5">
        <v>45901</v>
      </c>
      <c r="B193" s="6" t="s">
        <v>345</v>
      </c>
      <c r="C193" s="6" t="s">
        <v>71</v>
      </c>
      <c r="D193" s="6" t="s">
        <v>56</v>
      </c>
    </row>
    <row r="194" spans="1:15" ht="30">
      <c r="A194" s="5">
        <v>45901</v>
      </c>
      <c r="B194" s="6" t="s">
        <v>346</v>
      </c>
      <c r="C194" s="6" t="s">
        <v>111</v>
      </c>
      <c r="D194" s="6" t="s">
        <v>168</v>
      </c>
    </row>
    <row r="195" spans="1:15" ht="30">
      <c r="A195" s="5">
        <v>45901</v>
      </c>
      <c r="B195" s="6" t="s">
        <v>347</v>
      </c>
      <c r="C195" s="6" t="s">
        <v>111</v>
      </c>
      <c r="D195" s="6" t="s">
        <v>56</v>
      </c>
      <c r="O195" s="81"/>
    </row>
    <row r="196" spans="1:15">
      <c r="A196" s="5">
        <v>45901</v>
      </c>
      <c r="B196" s="6" t="s">
        <v>348</v>
      </c>
      <c r="C196" s="6" t="s">
        <v>58</v>
      </c>
      <c r="D196" s="6" t="s">
        <v>98</v>
      </c>
      <c r="O196" s="81"/>
    </row>
    <row r="197" spans="1:15">
      <c r="A197" s="5">
        <v>45905</v>
      </c>
      <c r="B197" s="6" t="s">
        <v>349</v>
      </c>
      <c r="C197" s="6" t="s">
        <v>20</v>
      </c>
      <c r="D197" s="6" t="s">
        <v>98</v>
      </c>
      <c r="O197" s="81"/>
    </row>
    <row r="198" spans="1:15" ht="30">
      <c r="A198" s="5">
        <v>45905</v>
      </c>
      <c r="B198" s="6" t="s">
        <v>350</v>
      </c>
      <c r="C198" s="6" t="s">
        <v>351</v>
      </c>
      <c r="D198" s="6" t="s">
        <v>56</v>
      </c>
      <c r="O198" s="81"/>
    </row>
    <row r="199" spans="1:15" ht="30">
      <c r="A199" s="5">
        <v>45905</v>
      </c>
      <c r="B199" s="6" t="s">
        <v>352</v>
      </c>
      <c r="C199" s="6" t="s">
        <v>48</v>
      </c>
      <c r="D199" s="6" t="s">
        <v>128</v>
      </c>
    </row>
    <row r="200" spans="1:15">
      <c r="A200" s="5">
        <v>45908</v>
      </c>
      <c r="B200" s="6" t="s">
        <v>353</v>
      </c>
      <c r="C200" s="6" t="s">
        <v>58</v>
      </c>
      <c r="D200" s="6" t="s">
        <v>128</v>
      </c>
    </row>
    <row r="201" spans="1:15" ht="75">
      <c r="A201" s="5">
        <v>45908</v>
      </c>
      <c r="B201" s="6" t="s">
        <v>354</v>
      </c>
      <c r="C201" s="6" t="s">
        <v>71</v>
      </c>
      <c r="D201" s="6" t="s">
        <v>107</v>
      </c>
    </row>
    <row r="202" spans="1:15" ht="45">
      <c r="A202" s="5">
        <v>45908</v>
      </c>
      <c r="B202" s="6" t="s">
        <v>355</v>
      </c>
      <c r="C202" s="6" t="s">
        <v>356</v>
      </c>
      <c r="D202" s="6" t="s">
        <v>98</v>
      </c>
    </row>
    <row r="203" spans="1:15" ht="45">
      <c r="A203" s="5">
        <v>45908</v>
      </c>
      <c r="B203" s="6" t="s">
        <v>357</v>
      </c>
      <c r="C203" s="6" t="s">
        <v>58</v>
      </c>
      <c r="D203" s="6" t="s">
        <v>98</v>
      </c>
    </row>
    <row r="204" spans="1:15">
      <c r="A204" s="5">
        <v>45911</v>
      </c>
      <c r="B204" s="6" t="s">
        <v>358</v>
      </c>
      <c r="C204" s="6" t="s">
        <v>52</v>
      </c>
      <c r="D204" s="6" t="s">
        <v>168</v>
      </c>
    </row>
    <row r="205" spans="1:15" ht="30">
      <c r="A205" s="5">
        <v>45912</v>
      </c>
      <c r="B205" s="6" t="s">
        <v>359</v>
      </c>
      <c r="C205" s="6" t="s">
        <v>52</v>
      </c>
      <c r="D205" s="6" t="s">
        <v>78</v>
      </c>
    </row>
    <row r="206" spans="1:15" ht="30">
      <c r="A206" s="5">
        <v>45918</v>
      </c>
      <c r="B206" s="6" t="s">
        <v>360</v>
      </c>
      <c r="C206" s="6" t="s">
        <v>361</v>
      </c>
      <c r="D206" s="6" t="s">
        <v>362</v>
      </c>
    </row>
    <row r="207" spans="1:15" ht="30">
      <c r="A207" s="5">
        <v>45922</v>
      </c>
      <c r="B207" s="6" t="s">
        <v>363</v>
      </c>
      <c r="C207" s="6" t="s">
        <v>39</v>
      </c>
      <c r="D207" s="6" t="s">
        <v>364</v>
      </c>
    </row>
    <row r="208" spans="1:15" ht="45">
      <c r="A208" s="5">
        <v>45923</v>
      </c>
      <c r="B208" s="6" t="s">
        <v>365</v>
      </c>
      <c r="C208" s="6" t="s">
        <v>366</v>
      </c>
      <c r="D208" s="6" t="s">
        <v>367</v>
      </c>
    </row>
    <row r="209" spans="1:4" ht="75">
      <c r="A209" s="650">
        <v>45931</v>
      </c>
      <c r="B209" s="651" t="s">
        <v>368</v>
      </c>
      <c r="C209" s="651" t="s">
        <v>369</v>
      </c>
      <c r="D209" s="651" t="s">
        <v>78</v>
      </c>
    </row>
    <row r="210" spans="1:4">
      <c r="A210" s="5">
        <v>45936</v>
      </c>
      <c r="B210" s="6" t="s">
        <v>370</v>
      </c>
      <c r="C210" s="6" t="s">
        <v>371</v>
      </c>
      <c r="D210" s="6" t="s">
        <v>78</v>
      </c>
    </row>
    <row r="211" spans="1:4" ht="30">
      <c r="A211" s="5">
        <v>45938</v>
      </c>
      <c r="B211" s="6" t="s">
        <v>372</v>
      </c>
      <c r="C211" s="6" t="s">
        <v>373</v>
      </c>
      <c r="D211" s="6" t="s">
        <v>56</v>
      </c>
    </row>
    <row r="212" spans="1:4" ht="30">
      <c r="A212" s="5">
        <v>45943</v>
      </c>
      <c r="B212" s="6" t="s">
        <v>374</v>
      </c>
      <c r="C212" s="6" t="s">
        <v>375</v>
      </c>
      <c r="D212" s="6" t="s">
        <v>78</v>
      </c>
    </row>
    <row r="213" spans="1:4" ht="30">
      <c r="A213" s="5">
        <v>45946</v>
      </c>
      <c r="B213" s="6" t="s">
        <v>376</v>
      </c>
      <c r="C213" s="6" t="s">
        <v>377</v>
      </c>
      <c r="D213" s="6" t="s">
        <v>378</v>
      </c>
    </row>
    <row r="214" spans="1:4">
      <c r="A214" s="5">
        <v>45951</v>
      </c>
      <c r="B214" s="6" t="s">
        <v>379</v>
      </c>
      <c r="C214" s="6" t="s">
        <v>380</v>
      </c>
      <c r="D214" s="6" t="s">
        <v>168</v>
      </c>
    </row>
    <row r="215" spans="1:4" ht="30">
      <c r="A215" s="5">
        <v>45951</v>
      </c>
      <c r="B215" s="6" t="s">
        <v>381</v>
      </c>
      <c r="C215" s="6" t="s">
        <v>382</v>
      </c>
      <c r="D215" s="6" t="s">
        <v>168</v>
      </c>
    </row>
    <row r="216" spans="1:4" ht="30">
      <c r="A216" s="5">
        <v>45951</v>
      </c>
      <c r="B216" s="6" t="s">
        <v>383</v>
      </c>
      <c r="C216" s="6" t="s">
        <v>384</v>
      </c>
      <c r="D216" s="6" t="s">
        <v>168</v>
      </c>
    </row>
    <row r="217" spans="1:4">
      <c r="A217" s="5">
        <v>45951</v>
      </c>
      <c r="B217" s="6" t="s">
        <v>385</v>
      </c>
      <c r="C217" s="6" t="s">
        <v>58</v>
      </c>
      <c r="D217" s="6" t="s">
        <v>56</v>
      </c>
    </row>
    <row r="218" spans="1:4">
      <c r="A218" s="5">
        <v>45951</v>
      </c>
      <c r="B218" s="6" t="s">
        <v>386</v>
      </c>
      <c r="C218" s="6" t="s">
        <v>58</v>
      </c>
      <c r="D218" s="6" t="s">
        <v>98</v>
      </c>
    </row>
    <row r="219" spans="1:4" ht="45">
      <c r="A219" s="379">
        <v>45951</v>
      </c>
      <c r="B219" s="380" t="s">
        <v>387</v>
      </c>
      <c r="C219" s="380" t="s">
        <v>388</v>
      </c>
      <c r="D219" s="380" t="s">
        <v>56</v>
      </c>
    </row>
    <row r="220" spans="1:4" ht="30">
      <c r="A220" s="5">
        <v>45957</v>
      </c>
      <c r="B220" s="6" t="s">
        <v>389</v>
      </c>
      <c r="C220" s="6" t="s">
        <v>10</v>
      </c>
      <c r="D220" s="6" t="s">
        <v>128</v>
      </c>
    </row>
    <row r="221" spans="1:4">
      <c r="A221" s="5">
        <v>45960</v>
      </c>
      <c r="B221" s="6" t="s">
        <v>390</v>
      </c>
      <c r="C221" s="6" t="s">
        <v>391</v>
      </c>
      <c r="D221" s="6" t="s">
        <v>56</v>
      </c>
    </row>
    <row r="222" spans="1:4">
      <c r="A222" s="5">
        <v>45960</v>
      </c>
      <c r="B222" s="6" t="s">
        <v>392</v>
      </c>
      <c r="C222" s="6" t="s">
        <v>111</v>
      </c>
      <c r="D222" s="6" t="s">
        <v>53</v>
      </c>
    </row>
    <row r="223" spans="1:4" ht="30">
      <c r="A223" s="5">
        <v>45966</v>
      </c>
      <c r="B223" s="6" t="s">
        <v>393</v>
      </c>
      <c r="C223" s="6" t="s">
        <v>394</v>
      </c>
      <c r="D223" s="6" t="s">
        <v>395</v>
      </c>
    </row>
    <row r="224" spans="1:4" ht="30">
      <c r="A224" s="5">
        <v>45968</v>
      </c>
      <c r="B224" s="6" t="s">
        <v>396</v>
      </c>
      <c r="C224" s="6" t="s">
        <v>397</v>
      </c>
      <c r="D224" s="6" t="s">
        <v>56</v>
      </c>
    </row>
    <row r="225" spans="1:4" ht="45">
      <c r="A225" s="5">
        <v>45968</v>
      </c>
      <c r="B225" s="6" t="s">
        <v>398</v>
      </c>
      <c r="C225" s="6" t="s">
        <v>394</v>
      </c>
      <c r="D225" s="6" t="s">
        <v>56</v>
      </c>
    </row>
    <row r="226" spans="1:4">
      <c r="A226" s="5">
        <v>45971</v>
      </c>
      <c r="B226" s="6" t="s">
        <v>399</v>
      </c>
      <c r="C226" s="6" t="s">
        <v>217</v>
      </c>
      <c r="D226" s="6" t="s">
        <v>98</v>
      </c>
    </row>
    <row r="227" spans="1:4">
      <c r="A227" s="5">
        <v>45972</v>
      </c>
      <c r="B227" s="6" t="s">
        <v>400</v>
      </c>
      <c r="C227" s="6" t="s">
        <v>272</v>
      </c>
      <c r="D227" s="6" t="s">
        <v>56</v>
      </c>
    </row>
    <row r="228" spans="1:4">
      <c r="A228" s="5">
        <v>45972</v>
      </c>
      <c r="B228" s="6" t="s">
        <v>401</v>
      </c>
      <c r="C228" s="6" t="s">
        <v>223</v>
      </c>
      <c r="D228" s="6" t="s">
        <v>56</v>
      </c>
    </row>
    <row r="229" spans="1:4" ht="45">
      <c r="A229" s="5">
        <v>45972</v>
      </c>
      <c r="B229" s="6" t="s">
        <v>402</v>
      </c>
      <c r="C229" s="6" t="s">
        <v>403</v>
      </c>
      <c r="D229" s="6" t="s">
        <v>56</v>
      </c>
    </row>
    <row r="230" spans="1:4" ht="30">
      <c r="A230" s="5">
        <v>45972</v>
      </c>
      <c r="B230" s="6" t="s">
        <v>404</v>
      </c>
      <c r="C230" s="6" t="s">
        <v>58</v>
      </c>
      <c r="D230" s="6" t="s">
        <v>128</v>
      </c>
    </row>
    <row r="231" spans="1:4">
      <c r="A231" s="5">
        <v>45973</v>
      </c>
      <c r="B231" s="6" t="s">
        <v>405</v>
      </c>
      <c r="C231" s="6" t="s">
        <v>82</v>
      </c>
      <c r="D231" s="6" t="s">
        <v>56</v>
      </c>
    </row>
    <row r="232" spans="1:4" ht="30">
      <c r="A232" s="5">
        <v>45973</v>
      </c>
      <c r="B232" s="6" t="s">
        <v>406</v>
      </c>
      <c r="C232" s="6" t="s">
        <v>58</v>
      </c>
      <c r="D232" s="6" t="s">
        <v>56</v>
      </c>
    </row>
    <row r="233" spans="1:4" ht="90">
      <c r="A233" s="5">
        <v>45974</v>
      </c>
      <c r="B233" s="6" t="s">
        <v>407</v>
      </c>
      <c r="C233" s="6" t="s">
        <v>270</v>
      </c>
      <c r="D233" s="6" t="s">
        <v>98</v>
      </c>
    </row>
    <row r="234" spans="1:4" ht="30">
      <c r="A234" s="5">
        <v>45974</v>
      </c>
      <c r="B234" s="6" t="s">
        <v>408</v>
      </c>
      <c r="C234" s="6" t="s">
        <v>409</v>
      </c>
      <c r="D234" s="6" t="s">
        <v>56</v>
      </c>
    </row>
    <row r="235" spans="1:4" ht="75">
      <c r="A235" s="5">
        <v>45978</v>
      </c>
      <c r="B235" s="6" t="s">
        <v>3100</v>
      </c>
      <c r="C235" s="6" t="s">
        <v>272</v>
      </c>
      <c r="D235" s="6" t="s">
        <v>56</v>
      </c>
    </row>
    <row r="236" spans="1:4" ht="30">
      <c r="A236" s="5">
        <v>45979</v>
      </c>
      <c r="B236" s="6" t="s">
        <v>410</v>
      </c>
      <c r="C236" s="6" t="s">
        <v>48</v>
      </c>
      <c r="D236" s="6" t="s">
        <v>128</v>
      </c>
    </row>
    <row r="237" spans="1:4" ht="90">
      <c r="A237" s="5">
        <v>45979</v>
      </c>
      <c r="B237" s="6" t="s">
        <v>411</v>
      </c>
      <c r="C237" s="6" t="s">
        <v>58</v>
      </c>
      <c r="D237" s="6" t="s">
        <v>128</v>
      </c>
    </row>
    <row r="238" spans="1:4">
      <c r="A238" s="5">
        <v>45979</v>
      </c>
      <c r="B238" s="6" t="s">
        <v>412</v>
      </c>
      <c r="C238" s="6" t="s">
        <v>261</v>
      </c>
      <c r="D238" s="6" t="s">
        <v>247</v>
      </c>
    </row>
    <row r="239" spans="1:4" ht="30">
      <c r="A239" s="5">
        <v>45981</v>
      </c>
      <c r="B239" s="6" t="s">
        <v>413</v>
      </c>
      <c r="C239" s="6" t="s">
        <v>276</v>
      </c>
      <c r="D239" s="6" t="s">
        <v>56</v>
      </c>
    </row>
    <row r="240" spans="1:4">
      <c r="A240" s="5">
        <v>45985</v>
      </c>
      <c r="B240" s="6" t="s">
        <v>414</v>
      </c>
      <c r="C240" s="6" t="s">
        <v>48</v>
      </c>
      <c r="D240" s="6" t="s">
        <v>98</v>
      </c>
    </row>
    <row r="241" spans="1:4" ht="120" customHeight="1">
      <c r="A241" s="5">
        <v>45986</v>
      </c>
      <c r="B241" s="6" t="s">
        <v>415</v>
      </c>
      <c r="C241" s="6" t="s">
        <v>416</v>
      </c>
      <c r="D241" s="6" t="s">
        <v>78</v>
      </c>
    </row>
    <row r="242" spans="1:4" ht="60">
      <c r="A242" s="5">
        <v>45987</v>
      </c>
      <c r="B242" s="6" t="s">
        <v>417</v>
      </c>
      <c r="C242" s="6" t="s">
        <v>48</v>
      </c>
      <c r="D242" s="6" t="s">
        <v>78</v>
      </c>
    </row>
    <row r="243" spans="1:4" ht="30">
      <c r="A243" s="5">
        <v>45987</v>
      </c>
      <c r="B243" s="6" t="s">
        <v>418</v>
      </c>
      <c r="C243" s="6" t="s">
        <v>58</v>
      </c>
      <c r="D243" s="6" t="s">
        <v>78</v>
      </c>
    </row>
    <row r="244" spans="1:4" ht="30">
      <c r="A244" s="5">
        <v>45989</v>
      </c>
      <c r="B244" s="6" t="s">
        <v>419</v>
      </c>
      <c r="C244" s="6" t="s">
        <v>48</v>
      </c>
      <c r="D244" s="6" t="s">
        <v>78</v>
      </c>
    </row>
    <row r="245" spans="1:4" ht="30">
      <c r="A245" s="5">
        <v>45989</v>
      </c>
      <c r="B245" s="6" t="s">
        <v>420</v>
      </c>
      <c r="C245" s="6" t="s">
        <v>58</v>
      </c>
      <c r="D245" s="6" t="s">
        <v>78</v>
      </c>
    </row>
    <row r="246" spans="1:4" ht="30">
      <c r="A246" s="5">
        <v>45989</v>
      </c>
      <c r="B246" s="6" t="s">
        <v>421</v>
      </c>
      <c r="C246" s="6" t="s">
        <v>422</v>
      </c>
      <c r="D246" s="6" t="s">
        <v>78</v>
      </c>
    </row>
    <row r="247" spans="1:4">
      <c r="A247" s="5">
        <v>45992</v>
      </c>
      <c r="B247" s="6" t="s">
        <v>423</v>
      </c>
      <c r="C247" s="6" t="s">
        <v>48</v>
      </c>
      <c r="D247" s="6" t="s">
        <v>78</v>
      </c>
    </row>
    <row r="248" spans="1:4" ht="30">
      <c r="A248" s="5">
        <v>45996</v>
      </c>
      <c r="B248" s="6" t="s">
        <v>3087</v>
      </c>
      <c r="C248" s="6" t="s">
        <v>48</v>
      </c>
      <c r="D248" s="6" t="s">
        <v>78</v>
      </c>
    </row>
    <row r="249" spans="1:4" ht="45">
      <c r="A249" s="5">
        <v>46001</v>
      </c>
      <c r="B249" s="6" t="s">
        <v>3134</v>
      </c>
      <c r="C249" s="6" t="s">
        <v>3094</v>
      </c>
      <c r="D249" s="6" t="s">
        <v>78</v>
      </c>
    </row>
    <row r="250" spans="1:4" ht="30">
      <c r="A250" s="5">
        <v>46002</v>
      </c>
      <c r="B250" s="6" t="s">
        <v>3095</v>
      </c>
      <c r="C250" s="6" t="s">
        <v>64</v>
      </c>
      <c r="D250" s="6" t="s">
        <v>78</v>
      </c>
    </row>
    <row r="251" spans="1:4" ht="30">
      <c r="A251" s="5">
        <v>46006</v>
      </c>
      <c r="B251" s="6" t="s">
        <v>3102</v>
      </c>
      <c r="C251" s="6" t="s">
        <v>43</v>
      </c>
      <c r="D251" s="6" t="s">
        <v>78</v>
      </c>
    </row>
    <row r="252" spans="1:4">
      <c r="A252" s="5">
        <v>46007</v>
      </c>
      <c r="B252" s="6" t="s">
        <v>3105</v>
      </c>
      <c r="C252" s="6" t="s">
        <v>58</v>
      </c>
      <c r="D252" s="6" t="s">
        <v>78</v>
      </c>
    </row>
    <row r="253" spans="1:4" ht="90">
      <c r="A253" s="5">
        <v>46010</v>
      </c>
      <c r="B253" s="6" t="s">
        <v>3109</v>
      </c>
      <c r="C253" s="6" t="s">
        <v>64</v>
      </c>
      <c r="D253" s="6" t="s">
        <v>78</v>
      </c>
    </row>
    <row r="254" spans="1:4" ht="30">
      <c r="A254" s="5">
        <v>46015</v>
      </c>
      <c r="B254" s="6" t="s">
        <v>3130</v>
      </c>
      <c r="C254" s="6" t="s">
        <v>3112</v>
      </c>
      <c r="D254" s="6" t="s">
        <v>78</v>
      </c>
    </row>
    <row r="255" spans="1:4">
      <c r="A255" s="5">
        <v>46029</v>
      </c>
      <c r="B255" s="6" t="s">
        <v>3122</v>
      </c>
      <c r="C255" s="6" t="s">
        <v>82</v>
      </c>
      <c r="D255" s="6" t="s">
        <v>78</v>
      </c>
    </row>
    <row r="256" spans="1:4" ht="45">
      <c r="A256" s="5">
        <v>46029</v>
      </c>
      <c r="B256" s="6" t="s">
        <v>3123</v>
      </c>
      <c r="C256" s="6" t="s">
        <v>3124</v>
      </c>
      <c r="D256" s="6" t="s">
        <v>78</v>
      </c>
    </row>
    <row r="257" spans="1:4" ht="30">
      <c r="A257" s="5">
        <v>45665</v>
      </c>
      <c r="B257" s="6" t="s">
        <v>3142</v>
      </c>
      <c r="C257" s="6" t="s">
        <v>82</v>
      </c>
      <c r="D257" s="6" t="s">
        <v>78</v>
      </c>
    </row>
    <row r="258" spans="1:4">
      <c r="A258" s="5">
        <v>45665</v>
      </c>
      <c r="B258" s="6" t="s">
        <v>3131</v>
      </c>
      <c r="C258" s="6" t="s">
        <v>270</v>
      </c>
      <c r="D258" s="6" t="s">
        <v>78</v>
      </c>
    </row>
    <row r="259" spans="1:4">
      <c r="A259" s="5">
        <v>46030</v>
      </c>
      <c r="B259" s="6" t="s">
        <v>3132</v>
      </c>
      <c r="C259" s="6" t="s">
        <v>3133</v>
      </c>
      <c r="D259" s="6" t="s">
        <v>98</v>
      </c>
    </row>
    <row r="260" spans="1:4">
      <c r="A260" s="5">
        <v>46031</v>
      </c>
      <c r="B260" s="6" t="s">
        <v>3137</v>
      </c>
      <c r="C260" s="6" t="s">
        <v>270</v>
      </c>
      <c r="D260" s="6" t="s">
        <v>78</v>
      </c>
    </row>
    <row r="261" spans="1:4" ht="30">
      <c r="A261" s="5">
        <v>46034</v>
      </c>
      <c r="B261" s="6" t="s">
        <v>3143</v>
      </c>
      <c r="C261" s="6" t="s">
        <v>270</v>
      </c>
      <c r="D261" s="6" t="s">
        <v>98</v>
      </c>
    </row>
    <row r="262" spans="1:4" ht="225">
      <c r="A262" s="5">
        <v>46036</v>
      </c>
      <c r="B262" s="6" t="s">
        <v>3152</v>
      </c>
      <c r="C262" s="6" t="s">
        <v>64</v>
      </c>
      <c r="D262" s="6" t="s">
        <v>98</v>
      </c>
    </row>
    <row r="263" spans="1:4" ht="30">
      <c r="A263" s="5">
        <v>46038</v>
      </c>
      <c r="B263" s="6" t="s">
        <v>3156</v>
      </c>
      <c r="C263" s="6" t="s">
        <v>270</v>
      </c>
      <c r="D263" s="6" t="s">
        <v>98</v>
      </c>
    </row>
    <row r="264" spans="1:4">
      <c r="A264" s="5">
        <v>46038</v>
      </c>
      <c r="B264" s="6" t="s">
        <v>3157</v>
      </c>
      <c r="C264" s="6" t="s">
        <v>58</v>
      </c>
      <c r="D264" s="6" t="s">
        <v>98</v>
      </c>
    </row>
    <row r="265" spans="1:4" ht="30">
      <c r="A265" s="5">
        <v>46041</v>
      </c>
      <c r="B265" s="6" t="s">
        <v>3169</v>
      </c>
      <c r="C265" s="6" t="s">
        <v>3162</v>
      </c>
      <c r="D265" s="6" t="s">
        <v>98</v>
      </c>
    </row>
    <row r="266" spans="1:4" ht="60">
      <c r="A266" s="5">
        <v>46045</v>
      </c>
      <c r="B266" s="6" t="s">
        <v>3177</v>
      </c>
      <c r="C266" s="6" t="s">
        <v>43</v>
      </c>
      <c r="D266" s="6" t="s">
        <v>98</v>
      </c>
    </row>
    <row r="267" spans="1:4">
      <c r="A267" s="5">
        <v>46049</v>
      </c>
      <c r="B267" s="6" t="s">
        <v>3185</v>
      </c>
      <c r="C267" s="6" t="s">
        <v>270</v>
      </c>
      <c r="D267" s="6" t="s">
        <v>98</v>
      </c>
    </row>
    <row r="268" spans="1:4">
      <c r="A268" s="5">
        <v>46049</v>
      </c>
      <c r="B268" s="6" t="s">
        <v>3186</v>
      </c>
      <c r="C268" s="6" t="s">
        <v>58</v>
      </c>
      <c r="D268" s="6" t="s">
        <v>98</v>
      </c>
    </row>
    <row r="269" spans="1:4" ht="30">
      <c r="A269" s="5">
        <v>46050</v>
      </c>
      <c r="B269" s="6" t="s">
        <v>3193</v>
      </c>
      <c r="C269" s="6" t="s">
        <v>3194</v>
      </c>
      <c r="D269" s="6" t="s">
        <v>98</v>
      </c>
    </row>
    <row r="270" spans="1:4">
      <c r="A270" s="5">
        <v>46051</v>
      </c>
      <c r="B270" s="6" t="s">
        <v>3198</v>
      </c>
      <c r="C270" s="6" t="s">
        <v>270</v>
      </c>
      <c r="D270" s="6" t="s">
        <v>98</v>
      </c>
    </row>
    <row r="271" spans="1:4" ht="60">
      <c r="A271" s="5">
        <v>46055</v>
      </c>
      <c r="B271" s="6" t="s">
        <v>3208</v>
      </c>
      <c r="C271" s="6" t="s">
        <v>64</v>
      </c>
      <c r="D271" s="6" t="s">
        <v>98</v>
      </c>
    </row>
    <row r="272" spans="1:4" ht="45">
      <c r="A272" s="5">
        <v>46055</v>
      </c>
      <c r="B272" s="6" t="s">
        <v>3214</v>
      </c>
      <c r="C272" s="6" t="s">
        <v>3704</v>
      </c>
      <c r="D272" s="6" t="s">
        <v>128</v>
      </c>
    </row>
    <row r="273" spans="1:4">
      <c r="A273" s="5">
        <v>46059</v>
      </c>
      <c r="B273" s="6" t="s">
        <v>3244</v>
      </c>
      <c r="C273" s="6" t="s">
        <v>3704</v>
      </c>
      <c r="D273" s="6" t="s">
        <v>98</v>
      </c>
    </row>
    <row r="274" spans="1:4">
      <c r="A274" s="5">
        <v>46063</v>
      </c>
      <c r="B274" s="6" t="s">
        <v>3253</v>
      </c>
      <c r="C274" s="6" t="s">
        <v>3704</v>
      </c>
      <c r="D274" s="6" t="s">
        <v>98</v>
      </c>
    </row>
    <row r="275" spans="1:4">
      <c r="A275" s="5">
        <v>46063</v>
      </c>
      <c r="B275" s="6" t="s">
        <v>3254</v>
      </c>
      <c r="C275" s="6" t="s">
        <v>3704</v>
      </c>
      <c r="D275" s="6" t="s">
        <v>98</v>
      </c>
    </row>
    <row r="276" spans="1:4" ht="30">
      <c r="A276" s="5">
        <v>46069</v>
      </c>
      <c r="B276" s="6" t="s">
        <v>3305</v>
      </c>
      <c r="C276" s="6" t="s">
        <v>3306</v>
      </c>
      <c r="D276" s="6" t="s">
        <v>98</v>
      </c>
    </row>
    <row r="277" spans="1:4" ht="30">
      <c r="A277" s="5">
        <v>46069</v>
      </c>
      <c r="B277" s="6" t="s">
        <v>3307</v>
      </c>
      <c r="C277" s="6" t="s">
        <v>3308</v>
      </c>
      <c r="D277" s="6" t="s">
        <v>98</v>
      </c>
    </row>
    <row r="278" spans="1:4" ht="30">
      <c r="A278" s="5">
        <v>46069</v>
      </c>
      <c r="B278" s="6" t="s">
        <v>3309</v>
      </c>
      <c r="C278" s="6" t="s">
        <v>3310</v>
      </c>
      <c r="D278" s="6" t="s">
        <v>98</v>
      </c>
    </row>
    <row r="279" spans="1:4">
      <c r="A279" s="5">
        <v>46069</v>
      </c>
      <c r="B279" s="6" t="s">
        <v>3313</v>
      </c>
      <c r="C279" s="6" t="s">
        <v>111</v>
      </c>
      <c r="D279" s="6" t="s">
        <v>98</v>
      </c>
    </row>
    <row r="280" spans="1:4">
      <c r="A280" s="5">
        <v>46070</v>
      </c>
      <c r="B280" s="6" t="s">
        <v>3315</v>
      </c>
      <c r="C280" s="6" t="s">
        <v>48</v>
      </c>
      <c r="D280" s="6" t="s">
        <v>98</v>
      </c>
    </row>
    <row r="281" spans="1:4" ht="45">
      <c r="A281" s="5">
        <v>46079</v>
      </c>
      <c r="B281" s="6" t="s">
        <v>3324</v>
      </c>
      <c r="C281" s="6" t="s">
        <v>3323</v>
      </c>
      <c r="D281" s="6" t="s">
        <v>98</v>
      </c>
    </row>
    <row r="282" spans="1:4" ht="60">
      <c r="A282" s="5">
        <v>46079</v>
      </c>
      <c r="B282" s="6" t="s">
        <v>3327</v>
      </c>
      <c r="C282" s="6" t="s">
        <v>3326</v>
      </c>
      <c r="D282" s="6" t="s">
        <v>98</v>
      </c>
    </row>
    <row r="283" spans="1:4">
      <c r="A283" s="5">
        <v>46079</v>
      </c>
      <c r="B283" s="6" t="s">
        <v>3332</v>
      </c>
      <c r="C283" s="6" t="s">
        <v>3704</v>
      </c>
      <c r="D283" s="6" t="s">
        <v>98</v>
      </c>
    </row>
    <row r="284" spans="1:4">
      <c r="A284" s="5">
        <v>46079</v>
      </c>
      <c r="B284" s="6" t="s">
        <v>3333</v>
      </c>
      <c r="C284" s="6" t="s">
        <v>3704</v>
      </c>
      <c r="D284" s="6" t="s">
        <v>98</v>
      </c>
    </row>
    <row r="285" spans="1:4">
      <c r="A285" s="5">
        <v>46079</v>
      </c>
      <c r="B285" s="6" t="s">
        <v>3334</v>
      </c>
      <c r="C285" s="6" t="s">
        <v>3704</v>
      </c>
      <c r="D285" s="6" t="s">
        <v>98</v>
      </c>
    </row>
    <row r="286" spans="1:4" ht="30">
      <c r="A286" s="5">
        <v>46080</v>
      </c>
      <c r="B286" s="6" t="s">
        <v>3335</v>
      </c>
      <c r="C286" s="6" t="s">
        <v>3704</v>
      </c>
      <c r="D286" s="6" t="s">
        <v>98</v>
      </c>
    </row>
    <row r="287" spans="1:4" ht="30">
      <c r="A287" s="5">
        <v>46080</v>
      </c>
      <c r="B287" s="6" t="s">
        <v>3336</v>
      </c>
      <c r="C287" s="6" t="s">
        <v>3704</v>
      </c>
      <c r="D287" s="6" t="s">
        <v>98</v>
      </c>
    </row>
    <row r="288" spans="1:4" ht="30">
      <c r="A288" s="5">
        <v>46083</v>
      </c>
      <c r="B288" s="6" t="s">
        <v>3338</v>
      </c>
      <c r="C288" s="6" t="s">
        <v>3704</v>
      </c>
      <c r="D288" s="6" t="s">
        <v>98</v>
      </c>
    </row>
    <row r="289" spans="1:4">
      <c r="A289" s="5">
        <v>46083</v>
      </c>
      <c r="B289" s="6" t="s">
        <v>3339</v>
      </c>
      <c r="C289" s="6" t="s">
        <v>3704</v>
      </c>
      <c r="D289" s="6" t="s">
        <v>98</v>
      </c>
    </row>
    <row r="290" spans="1:4" ht="30">
      <c r="A290" s="5">
        <v>46083</v>
      </c>
      <c r="B290" s="6" t="s">
        <v>3351</v>
      </c>
      <c r="C290" s="6" t="s">
        <v>3704</v>
      </c>
      <c r="D290" s="6" t="s">
        <v>98</v>
      </c>
    </row>
    <row r="291" spans="1:4" ht="30">
      <c r="A291" s="5">
        <v>45718</v>
      </c>
      <c r="B291" s="6" t="s">
        <v>3352</v>
      </c>
      <c r="C291" s="6" t="s">
        <v>3704</v>
      </c>
      <c r="D291" s="6" t="s">
        <v>98</v>
      </c>
    </row>
    <row r="292" spans="1:4">
      <c r="A292" s="5">
        <v>46084</v>
      </c>
      <c r="B292" s="6" t="s">
        <v>3353</v>
      </c>
      <c r="C292" s="6" t="s">
        <v>3704</v>
      </c>
      <c r="D292" s="6" t="s">
        <v>98</v>
      </c>
    </row>
    <row r="293" spans="1:4" ht="30">
      <c r="A293" s="5">
        <v>46085</v>
      </c>
      <c r="B293" s="6" t="s">
        <v>3354</v>
      </c>
      <c r="C293" s="6" t="s">
        <v>3704</v>
      </c>
      <c r="D293" s="6" t="s">
        <v>98</v>
      </c>
    </row>
    <row r="294" spans="1:4" ht="30">
      <c r="A294" s="5">
        <v>46085</v>
      </c>
      <c r="B294" s="6" t="s">
        <v>3370</v>
      </c>
      <c r="C294" s="6" t="s">
        <v>3704</v>
      </c>
      <c r="D294" s="6" t="s">
        <v>98</v>
      </c>
    </row>
    <row r="295" spans="1:4" ht="60">
      <c r="A295" s="5">
        <v>46085</v>
      </c>
      <c r="B295" s="6" t="s">
        <v>3371</v>
      </c>
      <c r="C295" s="6" t="s">
        <v>3704</v>
      </c>
      <c r="D295" s="6" t="s">
        <v>98</v>
      </c>
    </row>
    <row r="296" spans="1:4" ht="30">
      <c r="A296" s="5">
        <v>46086</v>
      </c>
      <c r="B296" s="6" t="s">
        <v>3372</v>
      </c>
      <c r="C296" s="6" t="s">
        <v>3704</v>
      </c>
      <c r="D296" s="6" t="s">
        <v>98</v>
      </c>
    </row>
    <row r="297" spans="1:4" ht="30">
      <c r="A297" s="5">
        <v>46086</v>
      </c>
      <c r="B297" s="6" t="s">
        <v>3373</v>
      </c>
      <c r="C297" s="6" t="s">
        <v>3704</v>
      </c>
      <c r="D297" s="6" t="s">
        <v>98</v>
      </c>
    </row>
    <row r="298" spans="1:4" ht="30">
      <c r="A298" s="5">
        <v>46086</v>
      </c>
      <c r="B298" s="6" t="s">
        <v>3406</v>
      </c>
      <c r="C298" s="6" t="s">
        <v>3704</v>
      </c>
      <c r="D298" s="6" t="s">
        <v>98</v>
      </c>
    </row>
    <row r="299" spans="1:4" ht="30">
      <c r="A299" s="5">
        <v>46086</v>
      </c>
      <c r="B299" s="6" t="s">
        <v>3374</v>
      </c>
      <c r="C299" s="6" t="s">
        <v>3704</v>
      </c>
      <c r="D299" s="6" t="s">
        <v>98</v>
      </c>
    </row>
    <row r="300" spans="1:4" ht="405">
      <c r="A300" s="379">
        <v>46087</v>
      </c>
      <c r="B300" s="380" t="s">
        <v>3808</v>
      </c>
      <c r="C300" s="380" t="s">
        <v>3375</v>
      </c>
      <c r="D300" s="380" t="s">
        <v>98</v>
      </c>
    </row>
    <row r="301" spans="1:4" ht="60">
      <c r="A301" s="5">
        <v>46087</v>
      </c>
      <c r="B301" s="6" t="s">
        <v>3377</v>
      </c>
      <c r="C301" s="6" t="s">
        <v>3704</v>
      </c>
      <c r="D301" s="376" t="s">
        <v>98</v>
      </c>
    </row>
    <row r="302" spans="1:4" ht="30">
      <c r="A302" s="5">
        <v>46087</v>
      </c>
      <c r="B302" s="6" t="s">
        <v>3378</v>
      </c>
      <c r="C302" s="6" t="s">
        <v>3704</v>
      </c>
      <c r="D302" s="376" t="s">
        <v>98</v>
      </c>
    </row>
    <row r="303" spans="1:4" ht="30">
      <c r="A303" s="5">
        <v>46087</v>
      </c>
      <c r="B303" s="6" t="s">
        <v>3379</v>
      </c>
      <c r="C303" s="6" t="s">
        <v>3704</v>
      </c>
      <c r="D303" s="376" t="s">
        <v>98</v>
      </c>
    </row>
    <row r="304" spans="1:4" ht="30">
      <c r="A304" s="5">
        <v>46087</v>
      </c>
      <c r="B304" s="6" t="s">
        <v>3380</v>
      </c>
      <c r="C304" s="6" t="s">
        <v>3704</v>
      </c>
      <c r="D304" s="376" t="s">
        <v>98</v>
      </c>
    </row>
    <row r="305" spans="1:4" ht="30">
      <c r="A305" s="5">
        <v>46087</v>
      </c>
      <c r="B305" s="6" t="s">
        <v>3381</v>
      </c>
      <c r="C305" s="6" t="s">
        <v>3704</v>
      </c>
      <c r="D305" s="376" t="s">
        <v>98</v>
      </c>
    </row>
    <row r="306" spans="1:4" ht="30">
      <c r="A306" s="5">
        <v>46087</v>
      </c>
      <c r="B306" s="6" t="s">
        <v>3382</v>
      </c>
      <c r="C306" s="6" t="s">
        <v>3704</v>
      </c>
      <c r="D306" s="376" t="s">
        <v>98</v>
      </c>
    </row>
    <row r="307" spans="1:4">
      <c r="A307" s="5">
        <v>46090</v>
      </c>
      <c r="B307" s="6" t="s">
        <v>3391</v>
      </c>
      <c r="C307" s="6" t="s">
        <v>3704</v>
      </c>
      <c r="D307" s="376" t="s">
        <v>98</v>
      </c>
    </row>
    <row r="308" spans="1:4" ht="45">
      <c r="A308" s="5">
        <v>46090</v>
      </c>
      <c r="B308" s="6" t="s">
        <v>3392</v>
      </c>
      <c r="C308" s="6" t="s">
        <v>3704</v>
      </c>
      <c r="D308" s="376" t="s">
        <v>98</v>
      </c>
    </row>
    <row r="309" spans="1:4" ht="75">
      <c r="A309" s="5">
        <v>46090</v>
      </c>
      <c r="B309" s="6" t="s">
        <v>3393</v>
      </c>
      <c r="C309" s="6" t="s">
        <v>64</v>
      </c>
      <c r="D309" s="376" t="s">
        <v>98</v>
      </c>
    </row>
    <row r="310" spans="1:4" ht="30">
      <c r="A310" s="5">
        <v>46090</v>
      </c>
      <c r="B310" s="6" t="s">
        <v>3394</v>
      </c>
      <c r="C310" s="6" t="s">
        <v>3395</v>
      </c>
      <c r="D310" s="376" t="s">
        <v>98</v>
      </c>
    </row>
    <row r="311" spans="1:4" ht="45">
      <c r="A311" s="5">
        <v>46092</v>
      </c>
      <c r="B311" s="6" t="s">
        <v>3404</v>
      </c>
      <c r="C311" s="6" t="s">
        <v>3704</v>
      </c>
      <c r="D311" s="376" t="s">
        <v>98</v>
      </c>
    </row>
    <row r="312" spans="1:4" ht="30">
      <c r="A312" s="5">
        <v>46093</v>
      </c>
      <c r="B312" s="6" t="s">
        <v>3411</v>
      </c>
      <c r="C312" s="6" t="s">
        <v>3704</v>
      </c>
      <c r="D312" s="376" t="s">
        <v>98</v>
      </c>
    </row>
    <row r="313" spans="1:4">
      <c r="A313" s="5">
        <v>46111</v>
      </c>
      <c r="B313" s="6" t="s">
        <v>3437</v>
      </c>
      <c r="C313" s="6" t="s">
        <v>3704</v>
      </c>
      <c r="D313" s="376" t="s">
        <v>98</v>
      </c>
    </row>
    <row r="314" spans="1:4" ht="30">
      <c r="A314" s="5">
        <v>46112</v>
      </c>
      <c r="B314" s="6" t="s">
        <v>3439</v>
      </c>
      <c r="C314" s="6" t="s">
        <v>3704</v>
      </c>
      <c r="D314" s="376" t="s">
        <v>98</v>
      </c>
    </row>
    <row r="315" spans="1:4" ht="30">
      <c r="A315" s="5">
        <v>46127</v>
      </c>
      <c r="B315" s="6" t="s">
        <v>3447</v>
      </c>
      <c r="C315" s="6" t="s">
        <v>3704</v>
      </c>
      <c r="D315" s="376" t="s">
        <v>98</v>
      </c>
    </row>
    <row r="316" spans="1:4" ht="30">
      <c r="A316" s="5">
        <v>46132</v>
      </c>
      <c r="B316" s="6" t="s">
        <v>3481</v>
      </c>
      <c r="C316" s="6" t="s">
        <v>3725</v>
      </c>
      <c r="D316" s="376" t="s">
        <v>98</v>
      </c>
    </row>
    <row r="317" spans="1:4" ht="30">
      <c r="A317" s="5">
        <v>46132</v>
      </c>
      <c r="B317" s="6" t="s">
        <v>3453</v>
      </c>
      <c r="C317" s="6" t="s">
        <v>3725</v>
      </c>
      <c r="D317" s="376" t="s">
        <v>98</v>
      </c>
    </row>
    <row r="318" spans="1:4">
      <c r="A318" s="5">
        <v>46133</v>
      </c>
      <c r="B318" s="6" t="s">
        <v>3458</v>
      </c>
      <c r="C318" s="6" t="s">
        <v>3704</v>
      </c>
      <c r="D318" s="376" t="s">
        <v>98</v>
      </c>
    </row>
    <row r="319" spans="1:4" ht="75">
      <c r="A319" s="5">
        <v>46139</v>
      </c>
      <c r="B319" s="6" t="s">
        <v>3464</v>
      </c>
      <c r="C319" s="6" t="s">
        <v>64</v>
      </c>
      <c r="D319" s="376" t="s">
        <v>98</v>
      </c>
    </row>
    <row r="320" spans="1:4">
      <c r="A320" s="5">
        <v>46139</v>
      </c>
      <c r="B320" s="6" t="s">
        <v>3469</v>
      </c>
      <c r="C320" s="6" t="s">
        <v>3704</v>
      </c>
      <c r="D320" s="376" t="s">
        <v>98</v>
      </c>
    </row>
    <row r="321" spans="1:5" ht="45">
      <c r="A321" s="5">
        <v>46146</v>
      </c>
      <c r="B321" s="6" t="s">
        <v>3483</v>
      </c>
      <c r="C321" s="6" t="s">
        <v>3704</v>
      </c>
      <c r="D321" s="376" t="s">
        <v>98</v>
      </c>
    </row>
    <row r="322" spans="1:5" ht="44.25" customHeight="1">
      <c r="A322" s="5">
        <v>46147</v>
      </c>
      <c r="B322" s="6" t="s">
        <v>3490</v>
      </c>
      <c r="C322" s="6" t="s">
        <v>3704</v>
      </c>
      <c r="D322" s="376" t="s">
        <v>98</v>
      </c>
    </row>
    <row r="323" spans="1:5">
      <c r="A323" s="5">
        <v>46147</v>
      </c>
      <c r="B323" s="6" t="s">
        <v>3494</v>
      </c>
      <c r="C323" s="6" t="s">
        <v>3704</v>
      </c>
      <c r="D323" s="376" t="s">
        <v>98</v>
      </c>
    </row>
    <row r="324" spans="1:5" ht="75">
      <c r="A324" s="5">
        <v>46149</v>
      </c>
      <c r="B324" s="6" t="s">
        <v>3525</v>
      </c>
      <c r="C324" s="6" t="s">
        <v>64</v>
      </c>
      <c r="D324" s="6" t="s">
        <v>78</v>
      </c>
    </row>
    <row r="325" spans="1:5" ht="75">
      <c r="A325" s="5">
        <v>46149</v>
      </c>
      <c r="B325" s="6" t="s">
        <v>3517</v>
      </c>
      <c r="C325" s="6" t="s">
        <v>64</v>
      </c>
      <c r="D325" s="6" t="s">
        <v>78</v>
      </c>
    </row>
    <row r="326" spans="1:5">
      <c r="A326" s="5">
        <v>46150</v>
      </c>
      <c r="B326" s="6" t="s">
        <v>3524</v>
      </c>
      <c r="C326" s="6" t="s">
        <v>3704</v>
      </c>
      <c r="D326" s="6" t="s">
        <v>78</v>
      </c>
    </row>
    <row r="327" spans="1:5">
      <c r="A327" s="5">
        <v>46150</v>
      </c>
      <c r="B327" s="6" t="s">
        <v>3526</v>
      </c>
      <c r="C327" s="6" t="s">
        <v>3704</v>
      </c>
      <c r="D327" s="6" t="s">
        <v>78</v>
      </c>
    </row>
    <row r="328" spans="1:5" ht="30">
      <c r="A328" s="5">
        <v>46153</v>
      </c>
      <c r="B328" s="6" t="s">
        <v>3528</v>
      </c>
      <c r="C328" s="6" t="s">
        <v>3704</v>
      </c>
      <c r="D328" s="6" t="s">
        <v>78</v>
      </c>
    </row>
    <row r="329" spans="1:5" ht="90">
      <c r="A329" s="5">
        <v>46156</v>
      </c>
      <c r="B329" s="6" t="s">
        <v>3566</v>
      </c>
      <c r="C329" s="6" t="s">
        <v>3704</v>
      </c>
      <c r="D329" s="6" t="s">
        <v>78</v>
      </c>
    </row>
    <row r="330" spans="1:5">
      <c r="A330" s="5">
        <v>46161</v>
      </c>
      <c r="B330" s="6" t="s">
        <v>3665</v>
      </c>
      <c r="C330" s="6" t="s">
        <v>3310</v>
      </c>
      <c r="D330" s="6" t="s">
        <v>78</v>
      </c>
    </row>
    <row r="331" spans="1:5">
      <c r="A331" s="5">
        <v>46162</v>
      </c>
      <c r="B331" s="6" t="s">
        <v>3561</v>
      </c>
      <c r="C331" s="6" t="s">
        <v>3704</v>
      </c>
      <c r="D331" s="6" t="s">
        <v>78</v>
      </c>
    </row>
    <row r="332" spans="1:5" ht="360">
      <c r="A332" s="5">
        <v>46162</v>
      </c>
      <c r="B332" s="6" t="s">
        <v>3562</v>
      </c>
      <c r="C332" s="6" t="s">
        <v>64</v>
      </c>
      <c r="D332" s="6" t="s">
        <v>78</v>
      </c>
      <c r="E332" s="6" t="s">
        <v>3563</v>
      </c>
    </row>
    <row r="333" spans="1:5" ht="30">
      <c r="A333" s="5">
        <v>46163</v>
      </c>
      <c r="B333" s="6" t="s">
        <v>3564</v>
      </c>
      <c r="C333" s="6" t="s">
        <v>3704</v>
      </c>
      <c r="D333" s="6" t="s">
        <v>56</v>
      </c>
    </row>
    <row r="334" spans="1:5" ht="30">
      <c r="A334" s="5">
        <v>46167</v>
      </c>
      <c r="B334" s="6" t="s">
        <v>3570</v>
      </c>
      <c r="C334" s="6" t="s">
        <v>3704</v>
      </c>
      <c r="D334" s="6" t="s">
        <v>56</v>
      </c>
    </row>
    <row r="335" spans="1:5" ht="60">
      <c r="A335" s="5">
        <v>46167</v>
      </c>
      <c r="B335" s="6" t="s">
        <v>3569</v>
      </c>
      <c r="C335" s="6" t="s">
        <v>3704</v>
      </c>
      <c r="D335" s="6" t="s">
        <v>56</v>
      </c>
    </row>
    <row r="336" spans="1:5" ht="30">
      <c r="A336" s="5">
        <v>46175</v>
      </c>
      <c r="B336" s="6" t="s">
        <v>3581</v>
      </c>
      <c r="C336" s="6" t="s">
        <v>3554</v>
      </c>
      <c r="D336" s="6" t="s">
        <v>56</v>
      </c>
    </row>
    <row r="337" spans="1:4" ht="45">
      <c r="A337" s="5">
        <v>46181</v>
      </c>
      <c r="B337" s="6" t="s">
        <v>3612</v>
      </c>
      <c r="C337" s="6" t="s">
        <v>3554</v>
      </c>
      <c r="D337" s="6" t="s">
        <v>56</v>
      </c>
    </row>
    <row r="338" spans="1:4" ht="30">
      <c r="A338" s="5">
        <v>46182</v>
      </c>
      <c r="B338" s="6" t="s">
        <v>3613</v>
      </c>
      <c r="C338" s="6" t="s">
        <v>3704</v>
      </c>
      <c r="D338" s="6" t="s">
        <v>56</v>
      </c>
    </row>
    <row r="339" spans="1:4">
      <c r="A339" s="5">
        <v>46182</v>
      </c>
      <c r="B339" s="6" t="s">
        <v>3614</v>
      </c>
      <c r="C339" s="6" t="s">
        <v>3554</v>
      </c>
      <c r="D339" s="6" t="s">
        <v>56</v>
      </c>
    </row>
    <row r="340" spans="1:4">
      <c r="A340" s="84">
        <v>46183</v>
      </c>
      <c r="B340" s="85" t="s">
        <v>3622</v>
      </c>
      <c r="C340" s="85" t="s">
        <v>3704</v>
      </c>
      <c r="D340" s="85" t="s">
        <v>56</v>
      </c>
    </row>
    <row r="341" spans="1:4" ht="75">
      <c r="A341" s="5">
        <v>46185</v>
      </c>
      <c r="B341" s="6" t="s">
        <v>3705</v>
      </c>
      <c r="C341" s="6" t="s">
        <v>3704</v>
      </c>
      <c r="D341" s="6" t="s">
        <v>56</v>
      </c>
    </row>
    <row r="342" spans="1:4">
      <c r="A342" s="5">
        <v>46189</v>
      </c>
      <c r="B342" s="6" t="s">
        <v>3731</v>
      </c>
      <c r="C342" s="6" t="s">
        <v>3704</v>
      </c>
      <c r="D342" s="6" t="s">
        <v>56</v>
      </c>
    </row>
    <row r="343" spans="1:4">
      <c r="A343" s="5">
        <v>46190</v>
      </c>
      <c r="B343" s="6" t="s">
        <v>3732</v>
      </c>
      <c r="C343" s="6" t="s">
        <v>3704</v>
      </c>
      <c r="D343" s="6" t="s">
        <v>56</v>
      </c>
    </row>
    <row r="344" spans="1:4">
      <c r="A344" s="5">
        <v>46195</v>
      </c>
      <c r="B344" s="6" t="s">
        <v>3804</v>
      </c>
      <c r="C344" s="6" t="s">
        <v>3704</v>
      </c>
      <c r="D344" s="6" t="s">
        <v>56</v>
      </c>
    </row>
    <row r="345" spans="1:4" ht="60">
      <c r="A345" s="379">
        <v>46195</v>
      </c>
      <c r="B345" s="380" t="s">
        <v>3810</v>
      </c>
      <c r="C345" s="380" t="s">
        <v>3809</v>
      </c>
      <c r="D345" s="380" t="s">
        <v>98</v>
      </c>
    </row>
    <row r="346" spans="1:4" ht="30">
      <c r="A346" s="84">
        <v>46196</v>
      </c>
      <c r="B346" s="85" t="s">
        <v>3812</v>
      </c>
      <c r="C346" s="85" t="s">
        <v>3554</v>
      </c>
      <c r="D346" s="85" t="s">
        <v>56</v>
      </c>
    </row>
  </sheetData>
  <autoFilter ref="A1:F346" xr:uid="{B84EC918-A0BB-4CC0-AD1E-F0F40EF9D762}"/>
  <hyperlinks>
    <hyperlink ref="B36" r:id="rId1" display="https://docs.google.com/forms/d/1KR5rHuEoU45OI0MOowae4yZmhL58nxI1ElN6NEFUrY4/edit" xr:uid="{D5BD3CE6-213E-47BF-9D37-AF5D6BA240C8}"/>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BA62-BCBC-407C-9C03-DEE1572C20B5}">
  <sheetPr>
    <tabColor rgb="FFFFCCCC"/>
  </sheetPr>
  <dimension ref="A1:P14"/>
  <sheetViews>
    <sheetView workbookViewId="0">
      <selection activeCell="A2" sqref="A2:C9"/>
    </sheetView>
  </sheetViews>
  <sheetFormatPr defaultRowHeight="15"/>
  <cols>
    <col min="1" max="1" width="30.42578125" style="81" customWidth="1"/>
    <col min="2" max="2" width="14.42578125" style="81" customWidth="1"/>
    <col min="3" max="3" width="15" style="81" customWidth="1"/>
    <col min="4" max="16" width="9.140625" style="81"/>
  </cols>
  <sheetData>
    <row r="1" spans="1:16" ht="30">
      <c r="A1" s="497" t="s">
        <v>439</v>
      </c>
      <c r="B1" s="498" t="s">
        <v>777</v>
      </c>
      <c r="C1" s="498" t="s">
        <v>778</v>
      </c>
    </row>
    <row r="2" spans="1:16" ht="45">
      <c r="A2" s="500" t="s">
        <v>782</v>
      </c>
      <c r="B2" s="48">
        <f>COUNT('ΚΑΤΑΣΤΑΣΗ ΣΠΟΥΔΑ ΚΑΙ ΕΚΠΑΙΔ'!G2:G12)</f>
        <v>0</v>
      </c>
      <c r="C2" s="48">
        <v>0</v>
      </c>
    </row>
    <row r="3" spans="1:16" ht="30">
      <c r="A3" s="500" t="s">
        <v>786</v>
      </c>
      <c r="B3" s="48">
        <f>COUNT('ΚΑΤΑΣΤΑΣΗ ΣΠΟΥΔΑ ΚΑΙ ΕΚΠΑΙΔ'!G22:G31)</f>
        <v>0</v>
      </c>
      <c r="C3" s="48">
        <v>0</v>
      </c>
    </row>
    <row r="4" spans="1:16" ht="30">
      <c r="A4" s="500" t="s">
        <v>788</v>
      </c>
      <c r="B4" s="48">
        <f>COUNT('ΚΑΤΑΣΤΑΣΗ ΣΠΟΥΔΑ ΚΑΙ ΕΚΠΑΙΔ'!G68:G77)</f>
        <v>0</v>
      </c>
      <c r="C4" s="48">
        <v>0</v>
      </c>
    </row>
    <row r="5" spans="1:16" ht="30">
      <c r="A5" s="500" t="s">
        <v>1300</v>
      </c>
      <c r="B5" s="48">
        <f>COUNT('ΚΑΤΑΣΤΑΣΗ ΣΠΟΥΔΑ ΚΑΙ ΕΚΠΑΙΔ'!G44:G54)</f>
        <v>1</v>
      </c>
      <c r="C5" s="48">
        <v>0</v>
      </c>
    </row>
    <row r="6" spans="1:16" ht="30">
      <c r="A6" s="500" t="s">
        <v>790</v>
      </c>
      <c r="B6" s="48">
        <f>COUNT('ΚΑΤΑΣΤΑΣΗ ΣΠΟΥΔΑ ΚΑΙ ΕΚΠΑΙΔ'!G91:'ΚΑΤΑΣΤΑΣΗ ΣΠΟΥΔΑ ΚΑΙ ΕΚΠΑΙΔ'!G100)</f>
        <v>2</v>
      </c>
      <c r="C6" s="48">
        <v>0</v>
      </c>
    </row>
    <row r="7" spans="1:16">
      <c r="A7" s="505" t="s">
        <v>3784</v>
      </c>
      <c r="B7" s="48">
        <f>COUNT('ΚΑΤΑΣΤΑΣΗ ΣΠΟΥΔΑ ΚΑΙ ΕΚΠΑΙΔ'!G113:G120)</f>
        <v>0</v>
      </c>
      <c r="C7" s="48">
        <v>0</v>
      </c>
    </row>
    <row r="8" spans="1:16">
      <c r="A8" s="505" t="s">
        <v>3785</v>
      </c>
      <c r="B8" s="505">
        <f>COUNT('ΚΑΤΑΣΤΑΣΗ ΣΠΟΥΔΑ ΚΑΙ ΕΚΠΑΙΔ'!G123:G130)</f>
        <v>0</v>
      </c>
      <c r="C8" s="505">
        <v>0</v>
      </c>
    </row>
    <row r="9" spans="1:16" ht="15.75" thickBot="1">
      <c r="A9" s="501" t="s">
        <v>792</v>
      </c>
      <c r="B9" s="502">
        <f>SUM(B2:B6)</f>
        <v>3</v>
      </c>
      <c r="C9" s="502">
        <f>SUM(C2:C8)</f>
        <v>0</v>
      </c>
    </row>
    <row r="10" spans="1:16" ht="15.75" thickBot="1">
      <c r="A10" s="457"/>
      <c r="B10" s="458"/>
      <c r="C10" s="458"/>
    </row>
    <row r="11" spans="1:16" ht="15.75" customHeight="1" thickBot="1">
      <c r="A11" s="1162" t="s">
        <v>795</v>
      </c>
      <c r="B11" s="1163"/>
      <c r="C11" s="1164"/>
    </row>
    <row r="12" spans="1:16">
      <c r="A12" s="1089" t="s">
        <v>373</v>
      </c>
      <c r="B12" s="1090" t="s">
        <v>58</v>
      </c>
      <c r="C12" s="1091" t="s">
        <v>792</v>
      </c>
      <c r="P12"/>
    </row>
    <row r="13" spans="1:16" ht="15.75" thickBot="1">
      <c r="A13" s="469">
        <f>SUM(B2:C8)</f>
        <v>3</v>
      </c>
      <c r="B13" s="471">
        <v>29</v>
      </c>
      <c r="C13" s="456">
        <f>A13+B13</f>
        <v>32</v>
      </c>
      <c r="P13"/>
    </row>
    <row r="14" spans="1:16">
      <c r="A14" s="2"/>
      <c r="B14"/>
      <c r="C14"/>
    </row>
  </sheetData>
  <mergeCells count="1">
    <mergeCell ref="A11:C1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0950-4188-437C-8F37-802B8656F848}">
  <sheetPr>
    <tabColor rgb="FF990000"/>
  </sheetPr>
  <dimension ref="A1:N554"/>
  <sheetViews>
    <sheetView topLeftCell="A81" zoomScale="87" zoomScaleNormal="87" workbookViewId="0">
      <selection activeCell="I111" sqref="I111"/>
    </sheetView>
  </sheetViews>
  <sheetFormatPr defaultRowHeight="15"/>
  <cols>
    <col min="1" max="1" width="9.140625" style="3"/>
    <col min="2" max="2" width="30.5703125" style="3" customWidth="1"/>
    <col min="3" max="3" width="9.140625" style="3"/>
    <col min="4" max="4" width="73.5703125" style="3" customWidth="1"/>
    <col min="5" max="5" width="27.140625" style="3" customWidth="1"/>
    <col min="6" max="6" width="32" style="3" customWidth="1"/>
    <col min="7" max="7" width="17.28515625" style="3" customWidth="1"/>
    <col min="8" max="8" width="41.85546875" style="3" customWidth="1"/>
    <col min="10" max="10" width="9.140625" style="3"/>
    <col min="11" max="11" width="59.28515625" style="3" customWidth="1"/>
    <col min="12" max="12" width="26.140625" style="3" customWidth="1"/>
  </cols>
  <sheetData>
    <row r="1" spans="1:14">
      <c r="A1" s="3" t="s">
        <v>424</v>
      </c>
      <c r="B1" s="3" t="s">
        <v>30</v>
      </c>
      <c r="C1" s="3" t="s">
        <v>845</v>
      </c>
      <c r="D1" s="3" t="s">
        <v>780</v>
      </c>
      <c r="E1" s="3" t="s">
        <v>781</v>
      </c>
      <c r="F1" s="3" t="s">
        <v>428</v>
      </c>
      <c r="G1" s="3" t="s">
        <v>258</v>
      </c>
      <c r="H1" s="3" t="s">
        <v>846</v>
      </c>
      <c r="I1" s="3" t="s">
        <v>847</v>
      </c>
    </row>
    <row r="2" spans="1:14">
      <c r="A2" s="3">
        <v>1</v>
      </c>
      <c r="B2" s="3" t="s">
        <v>848</v>
      </c>
      <c r="C2" s="411">
        <v>0.57013888888888886</v>
      </c>
      <c r="D2" s="3" t="s">
        <v>849</v>
      </c>
      <c r="E2" s="3" t="s">
        <v>850</v>
      </c>
      <c r="F2" s="3" t="s">
        <v>851</v>
      </c>
      <c r="G2" s="3">
        <v>6980020116</v>
      </c>
      <c r="H2" s="3" t="s">
        <v>852</v>
      </c>
      <c r="I2" s="3"/>
      <c r="J2" s="3" t="s">
        <v>792</v>
      </c>
      <c r="K2" s="3" t="s">
        <v>780</v>
      </c>
      <c r="L2" s="3" t="s">
        <v>853</v>
      </c>
    </row>
    <row r="3" spans="1:14">
      <c r="A3" s="3">
        <v>2</v>
      </c>
      <c r="B3" s="3" t="s">
        <v>854</v>
      </c>
      <c r="C3" s="411">
        <v>0.59444444444444444</v>
      </c>
      <c r="D3" s="3" t="s">
        <v>855</v>
      </c>
      <c r="E3" s="3" t="s">
        <v>856</v>
      </c>
      <c r="F3" s="3" t="s">
        <v>857</v>
      </c>
      <c r="G3" s="3">
        <v>6943802760</v>
      </c>
      <c r="H3" s="3" t="s">
        <v>852</v>
      </c>
      <c r="I3" s="3"/>
      <c r="J3" s="3">
        <f>COUNT(C2:C258)</f>
        <v>63</v>
      </c>
      <c r="K3" s="3" t="s">
        <v>456</v>
      </c>
      <c r="L3" s="3">
        <f>COUNTIF(Πίνακας2[ΕΙΔΙΚΟΤΗΤΑ],"Εσωτερική Αρχιτεκτονική Διακόσμηση και Σχεδιασμός αντικειμένων")</f>
        <v>30</v>
      </c>
    </row>
    <row r="4" spans="1:14">
      <c r="A4" s="362">
        <v>3</v>
      </c>
      <c r="B4" s="362" t="s">
        <v>854</v>
      </c>
      <c r="C4" s="413">
        <v>0.53611111111111109</v>
      </c>
      <c r="D4" s="362" t="s">
        <v>456</v>
      </c>
      <c r="E4" s="362" t="s">
        <v>858</v>
      </c>
      <c r="F4" s="362" t="s">
        <v>450</v>
      </c>
      <c r="G4" s="362">
        <v>6951957501</v>
      </c>
      <c r="H4" s="362" t="s">
        <v>859</v>
      </c>
      <c r="I4" s="3"/>
      <c r="K4" s="3" t="s">
        <v>849</v>
      </c>
      <c r="L4" s="3">
        <f>COUNTIF(Πίνακας2[ΕΙΔΙΚΟΤΗΤΑ],"Στέλεχος Δημοσίων Σχέσεων και Επικοινωνίας")</f>
        <v>4</v>
      </c>
    </row>
    <row r="5" spans="1:14">
      <c r="A5" s="3">
        <v>4</v>
      </c>
      <c r="B5" s="3" t="s">
        <v>860</v>
      </c>
      <c r="C5" s="411">
        <v>8.8888888888888892E-2</v>
      </c>
      <c r="D5" s="3" t="s">
        <v>861</v>
      </c>
      <c r="E5" s="3" t="s">
        <v>862</v>
      </c>
      <c r="F5" s="3" t="s">
        <v>863</v>
      </c>
      <c r="G5" s="3">
        <v>6940880624</v>
      </c>
      <c r="H5" s="3" t="s">
        <v>859</v>
      </c>
      <c r="I5" s="3"/>
    </row>
    <row r="6" spans="1:14">
      <c r="A6" s="3">
        <v>5</v>
      </c>
      <c r="B6" s="3" t="s">
        <v>864</v>
      </c>
      <c r="C6" s="411">
        <v>0.48819444444444443</v>
      </c>
      <c r="D6" s="3" t="s">
        <v>456</v>
      </c>
      <c r="E6" s="3" t="s">
        <v>865</v>
      </c>
      <c r="F6" s="3" t="s">
        <v>866</v>
      </c>
      <c r="G6" s="3">
        <v>6942996527</v>
      </c>
      <c r="H6" s="3" t="s">
        <v>859</v>
      </c>
      <c r="I6" s="3"/>
      <c r="K6" s="1165" t="s">
        <v>867</v>
      </c>
      <c r="L6" s="1165"/>
      <c r="M6" s="1165"/>
    </row>
    <row r="7" spans="1:14">
      <c r="A7" s="3">
        <v>6</v>
      </c>
      <c r="B7" s="3" t="s">
        <v>864</v>
      </c>
      <c r="C7" s="411">
        <v>0.56388888888888888</v>
      </c>
      <c r="D7" s="3" t="s">
        <v>560</v>
      </c>
      <c r="E7" s="3" t="s">
        <v>868</v>
      </c>
      <c r="F7" s="3" t="s">
        <v>869</v>
      </c>
      <c r="G7" s="3">
        <v>6932422976</v>
      </c>
      <c r="H7" s="3" t="s">
        <v>870</v>
      </c>
      <c r="I7" s="3"/>
      <c r="K7" s="3" t="s">
        <v>871</v>
      </c>
      <c r="L7" s="3">
        <f>COUNTIF(Πίνακας2[ΑΠΌ ΠΟΥ ΜΑΘΑΤΕ ΓΙΑ ΤΗΝ ΙΣΑΕΚ],"E-mail")</f>
        <v>11</v>
      </c>
      <c r="M7" s="415">
        <f>L7/$J$3</f>
        <v>0.17460317460317459</v>
      </c>
    </row>
    <row r="8" spans="1:14">
      <c r="A8" s="3">
        <v>7</v>
      </c>
      <c r="B8" s="3" t="s">
        <v>872</v>
      </c>
      <c r="C8" s="411">
        <v>0.66041666666666665</v>
      </c>
      <c r="D8" s="3" t="s">
        <v>456</v>
      </c>
      <c r="E8" s="3" t="s">
        <v>873</v>
      </c>
      <c r="F8" s="3" t="s">
        <v>874</v>
      </c>
      <c r="G8" s="3">
        <v>6940097540</v>
      </c>
      <c r="H8" s="3" t="s">
        <v>870</v>
      </c>
      <c r="I8" s="3"/>
      <c r="K8" s="3" t="s">
        <v>875</v>
      </c>
      <c r="L8" s="3">
        <f>COUNTIF(Πίνακας2[ΑΠΌ ΠΟΥ ΜΑΘΑΤΕ ΓΙΑ ΤΗΝ ΙΣΑΕΚ],"Facebook / Instagram")</f>
        <v>14</v>
      </c>
      <c r="M8" s="415">
        <f>L8/$J$3</f>
        <v>0.22222222222222221</v>
      </c>
    </row>
    <row r="9" spans="1:14">
      <c r="A9" s="3">
        <v>8</v>
      </c>
      <c r="B9" s="3" t="s">
        <v>876</v>
      </c>
      <c r="C9" s="411">
        <v>0.51458333333333328</v>
      </c>
      <c r="D9" s="3" t="s">
        <v>456</v>
      </c>
      <c r="E9" s="3" t="s">
        <v>877</v>
      </c>
      <c r="F9" s="3" t="s">
        <v>878</v>
      </c>
      <c r="G9" s="3">
        <v>6977731248</v>
      </c>
      <c r="H9" s="3" t="s">
        <v>870</v>
      </c>
      <c r="I9" s="3"/>
      <c r="K9" s="3" t="s">
        <v>879</v>
      </c>
      <c r="L9" s="3">
        <f>COUNTIF(Πίνακας2[ΑΠΌ ΠΟΥ ΜΑΘΑΤΕ ΓΙΑ ΤΗΝ ΙΣΑΕΚ],"Απο φίλο / γνωστό")</f>
        <v>19</v>
      </c>
      <c r="M9" s="415">
        <f>L9/$J$3</f>
        <v>0.30158730158730157</v>
      </c>
    </row>
    <row r="10" spans="1:14">
      <c r="A10" s="3">
        <v>9</v>
      </c>
      <c r="B10" s="3" t="s">
        <v>880</v>
      </c>
      <c r="C10" s="411">
        <v>0.96250000000000002</v>
      </c>
      <c r="D10" s="3" t="s">
        <v>456</v>
      </c>
      <c r="E10" s="3" t="s">
        <v>881</v>
      </c>
      <c r="F10" s="3" t="s">
        <v>882</v>
      </c>
      <c r="G10" s="3">
        <v>6949922242</v>
      </c>
      <c r="H10" s="3" t="s">
        <v>859</v>
      </c>
      <c r="I10" s="3"/>
      <c r="K10" s="485" t="s">
        <v>859</v>
      </c>
      <c r="L10" s="485">
        <f>COUNTIF(Πίνακας2[ΑΠΌ ΠΟΥ ΜΑΘΑΤΕ ΓΙΑ ΤΗΝ ΙΣΑΕΚ],"Ιστοσελίδα / Αναζήτηση")</f>
        <v>55</v>
      </c>
      <c r="M10" s="486">
        <f>L10/$J$3</f>
        <v>0.87301587301587302</v>
      </c>
      <c r="N10" s="487" t="s">
        <v>883</v>
      </c>
    </row>
    <row r="11" spans="1:14">
      <c r="A11" s="3">
        <v>10</v>
      </c>
      <c r="B11" s="3" t="s">
        <v>884</v>
      </c>
      <c r="C11" s="411">
        <v>0.37013888888888891</v>
      </c>
      <c r="D11" s="3" t="s">
        <v>885</v>
      </c>
      <c r="E11" s="3" t="s">
        <v>886</v>
      </c>
      <c r="F11" s="3" t="s">
        <v>887</v>
      </c>
      <c r="G11" s="3">
        <v>6940167550</v>
      </c>
      <c r="H11" s="3" t="s">
        <v>859</v>
      </c>
      <c r="I11" s="3"/>
      <c r="K11" s="3" t="s">
        <v>888</v>
      </c>
      <c r="L11" s="3">
        <f>COUNTIF(Πίνακας2[ΑΠΌ ΠΟΥ ΜΑΘΑΤΕ ΓΙΑ ΤΗΝ ΙΣΑΕΚ],"Τηλεώραση")</f>
        <v>0</v>
      </c>
      <c r="M11" s="415">
        <f>L11/$J$3</f>
        <v>0</v>
      </c>
    </row>
    <row r="12" spans="1:14">
      <c r="A12" s="3">
        <v>11</v>
      </c>
      <c r="B12" s="3" t="s">
        <v>884</v>
      </c>
      <c r="C12" s="411">
        <v>0.37013888888888891</v>
      </c>
      <c r="D12" s="3" t="s">
        <v>889</v>
      </c>
      <c r="E12" s="3" t="s">
        <v>886</v>
      </c>
      <c r="F12" s="3" t="s">
        <v>887</v>
      </c>
      <c r="G12" s="3">
        <v>6940167550</v>
      </c>
      <c r="H12" s="3" t="s">
        <v>890</v>
      </c>
      <c r="I12" s="3"/>
    </row>
    <row r="13" spans="1:14">
      <c r="A13" s="3">
        <v>12</v>
      </c>
      <c r="B13" s="3" t="s">
        <v>884</v>
      </c>
      <c r="C13" s="411">
        <v>0.37083333333333335</v>
      </c>
      <c r="D13" s="3" t="s">
        <v>849</v>
      </c>
      <c r="E13" s="3" t="s">
        <v>886</v>
      </c>
      <c r="F13" s="3" t="s">
        <v>887</v>
      </c>
      <c r="G13" s="3">
        <v>6940167550</v>
      </c>
      <c r="H13" s="3" t="s">
        <v>890</v>
      </c>
      <c r="I13" s="3"/>
    </row>
    <row r="14" spans="1:14">
      <c r="A14" s="3">
        <v>13</v>
      </c>
      <c r="B14" s="3" t="s">
        <v>891</v>
      </c>
      <c r="C14" s="411">
        <v>8.8888888888888892E-2</v>
      </c>
      <c r="D14" s="3" t="s">
        <v>892</v>
      </c>
      <c r="E14" s="3" t="s">
        <v>893</v>
      </c>
      <c r="F14" s="3" t="s">
        <v>894</v>
      </c>
      <c r="G14" s="3">
        <v>6945672911</v>
      </c>
      <c r="H14" s="3" t="s">
        <v>875</v>
      </c>
      <c r="I14" s="3"/>
    </row>
    <row r="15" spans="1:14">
      <c r="A15" s="3">
        <v>14</v>
      </c>
      <c r="B15" s="3" t="s">
        <v>895</v>
      </c>
      <c r="C15" s="411">
        <v>0.99027777777777781</v>
      </c>
      <c r="D15" s="3" t="s">
        <v>896</v>
      </c>
      <c r="E15" s="3" t="s">
        <v>897</v>
      </c>
      <c r="F15" s="3" t="s">
        <v>898</v>
      </c>
      <c r="G15" s="3">
        <v>6976620640</v>
      </c>
      <c r="H15" s="3" t="s">
        <v>859</v>
      </c>
      <c r="I15" s="3"/>
    </row>
    <row r="16" spans="1:14">
      <c r="A16" s="3">
        <v>15</v>
      </c>
      <c r="B16" s="3" t="s">
        <v>899</v>
      </c>
      <c r="C16" s="411">
        <v>0.25624999999999998</v>
      </c>
      <c r="D16" s="3" t="s">
        <v>900</v>
      </c>
      <c r="E16" s="3" t="s">
        <v>901</v>
      </c>
      <c r="F16" s="3" t="s">
        <v>902</v>
      </c>
      <c r="G16" s="3">
        <v>6955957705</v>
      </c>
      <c r="H16" s="3" t="s">
        <v>875</v>
      </c>
      <c r="I16" s="3"/>
    </row>
    <row r="17" spans="1:9">
      <c r="A17" s="362">
        <v>16</v>
      </c>
      <c r="B17" s="362" t="s">
        <v>899</v>
      </c>
      <c r="C17" s="413">
        <v>0.47430555555555554</v>
      </c>
      <c r="D17" s="362" t="s">
        <v>456</v>
      </c>
      <c r="E17" s="362" t="s">
        <v>903</v>
      </c>
      <c r="F17" s="362" t="s">
        <v>904</v>
      </c>
      <c r="G17" s="362">
        <v>6974246296</v>
      </c>
      <c r="H17" s="362" t="s">
        <v>852</v>
      </c>
      <c r="I17" s="3"/>
    </row>
    <row r="18" spans="1:9">
      <c r="A18" s="3">
        <v>17</v>
      </c>
      <c r="B18" s="3" t="s">
        <v>905</v>
      </c>
      <c r="C18" s="411">
        <v>0.55763888888888891</v>
      </c>
      <c r="D18" s="3" t="s">
        <v>499</v>
      </c>
      <c r="E18" s="3" t="s">
        <v>906</v>
      </c>
      <c r="F18" s="3" t="s">
        <v>907</v>
      </c>
      <c r="G18" s="3">
        <v>6972937741</v>
      </c>
      <c r="H18" s="3" t="s">
        <v>870</v>
      </c>
      <c r="I18" s="3"/>
    </row>
    <row r="19" spans="1:9">
      <c r="A19" s="3">
        <v>18</v>
      </c>
      <c r="B19" s="3" t="s">
        <v>905</v>
      </c>
      <c r="C19" s="411">
        <v>0.55833333333333335</v>
      </c>
      <c r="D19" s="3" t="s">
        <v>499</v>
      </c>
      <c r="E19" s="3" t="s">
        <v>908</v>
      </c>
      <c r="F19" s="3" t="s">
        <v>909</v>
      </c>
      <c r="G19" s="3">
        <v>6938855788</v>
      </c>
      <c r="H19" s="3" t="s">
        <v>870</v>
      </c>
      <c r="I19" s="3"/>
    </row>
    <row r="20" spans="1:9">
      <c r="A20" s="3">
        <v>19</v>
      </c>
      <c r="B20" s="3" t="s">
        <v>905</v>
      </c>
      <c r="C20" s="411">
        <v>0.55833333333333335</v>
      </c>
      <c r="D20" s="3" t="s">
        <v>499</v>
      </c>
      <c r="E20" s="3" t="s">
        <v>910</v>
      </c>
      <c r="F20" s="3" t="s">
        <v>911</v>
      </c>
      <c r="G20" s="3">
        <v>6946681521</v>
      </c>
      <c r="H20" s="3" t="s">
        <v>870</v>
      </c>
      <c r="I20" s="3"/>
    </row>
    <row r="21" spans="1:9">
      <c r="A21" s="3">
        <v>20</v>
      </c>
      <c r="B21" s="3" t="s">
        <v>905</v>
      </c>
      <c r="C21" s="411">
        <v>0.57361111111111107</v>
      </c>
      <c r="D21" s="3" t="s">
        <v>456</v>
      </c>
      <c r="E21" s="3" t="s">
        <v>912</v>
      </c>
      <c r="F21" s="3" t="s">
        <v>913</v>
      </c>
      <c r="G21" s="3">
        <v>6973334093</v>
      </c>
      <c r="H21" s="3" t="s">
        <v>870</v>
      </c>
      <c r="I21" s="3"/>
    </row>
    <row r="22" spans="1:9">
      <c r="A22" s="3">
        <v>21</v>
      </c>
      <c r="B22" s="3" t="s">
        <v>914</v>
      </c>
      <c r="C22" s="411">
        <v>0.52638888888888891</v>
      </c>
      <c r="D22" s="3" t="s">
        <v>896</v>
      </c>
      <c r="E22" s="3" t="s">
        <v>915</v>
      </c>
      <c r="F22" s="3" t="s">
        <v>775</v>
      </c>
      <c r="G22" s="3">
        <v>6947290911</v>
      </c>
      <c r="H22" s="3" t="s">
        <v>852</v>
      </c>
      <c r="I22" s="3"/>
    </row>
    <row r="23" spans="1:9">
      <c r="A23" s="3">
        <v>22</v>
      </c>
      <c r="B23" s="3" t="s">
        <v>916</v>
      </c>
      <c r="C23" s="411">
        <v>0.70208333333333328</v>
      </c>
      <c r="D23" s="3" t="s">
        <v>917</v>
      </c>
      <c r="E23" s="3" t="s">
        <v>918</v>
      </c>
      <c r="F23" s="3" t="s">
        <v>919</v>
      </c>
      <c r="G23" s="3">
        <v>6930130198</v>
      </c>
      <c r="H23" s="3" t="s">
        <v>859</v>
      </c>
      <c r="I23" s="3"/>
    </row>
    <row r="24" spans="1:9">
      <c r="A24" s="362">
        <v>23</v>
      </c>
      <c r="B24" s="362" t="s">
        <v>920</v>
      </c>
      <c r="C24" s="413">
        <v>0.2722222222222222</v>
      </c>
      <c r="D24" s="362" t="s">
        <v>499</v>
      </c>
      <c r="E24" s="362" t="s">
        <v>921</v>
      </c>
      <c r="F24" s="362" t="s">
        <v>712</v>
      </c>
      <c r="G24" s="362">
        <v>6974068149</v>
      </c>
      <c r="H24" s="362" t="s">
        <v>875</v>
      </c>
      <c r="I24" s="3"/>
    </row>
    <row r="25" spans="1:9">
      <c r="A25" s="3">
        <v>24</v>
      </c>
      <c r="B25" s="3" t="s">
        <v>922</v>
      </c>
      <c r="C25" s="411">
        <v>0.12013888888888889</v>
      </c>
      <c r="D25" s="3" t="s">
        <v>855</v>
      </c>
      <c r="E25" s="3" t="s">
        <v>923</v>
      </c>
      <c r="F25" s="3" t="s">
        <v>924</v>
      </c>
      <c r="G25" s="3">
        <v>6947830786</v>
      </c>
      <c r="H25" s="3" t="s">
        <v>859</v>
      </c>
      <c r="I25" s="3"/>
    </row>
    <row r="26" spans="1:9">
      <c r="A26" s="362">
        <v>25</v>
      </c>
      <c r="B26" s="362" t="s">
        <v>922</v>
      </c>
      <c r="C26" s="413">
        <v>0.81527777777777777</v>
      </c>
      <c r="D26" s="362" t="s">
        <v>560</v>
      </c>
      <c r="E26" s="362" t="s">
        <v>925</v>
      </c>
      <c r="F26" s="362" t="s">
        <v>926</v>
      </c>
      <c r="G26" s="362">
        <v>6986731974</v>
      </c>
      <c r="H26" s="362" t="s">
        <v>875</v>
      </c>
      <c r="I26" s="3"/>
    </row>
    <row r="27" spans="1:9">
      <c r="A27" s="362">
        <v>26</v>
      </c>
      <c r="B27" s="362" t="s">
        <v>922</v>
      </c>
      <c r="C27" s="413">
        <v>0.74513888888888891</v>
      </c>
      <c r="D27" s="362" t="s">
        <v>499</v>
      </c>
      <c r="E27" s="362" t="s">
        <v>927</v>
      </c>
      <c r="F27" s="362" t="s">
        <v>928</v>
      </c>
      <c r="G27" s="362">
        <v>6980703323</v>
      </c>
      <c r="H27" s="362" t="s">
        <v>852</v>
      </c>
      <c r="I27" s="3"/>
    </row>
    <row r="28" spans="1:9">
      <c r="A28" s="3">
        <v>27</v>
      </c>
      <c r="B28" s="3" t="s">
        <v>929</v>
      </c>
      <c r="C28" s="411">
        <v>0.68333333333333335</v>
      </c>
      <c r="D28" s="3" t="s">
        <v>889</v>
      </c>
      <c r="E28" s="3" t="s">
        <v>930</v>
      </c>
      <c r="F28" s="3" t="s">
        <v>931</v>
      </c>
      <c r="G28" s="3">
        <v>6942692585</v>
      </c>
      <c r="H28" s="3" t="s">
        <v>875</v>
      </c>
      <c r="I28" s="3"/>
    </row>
    <row r="29" spans="1:9">
      <c r="A29" s="3">
        <v>28</v>
      </c>
      <c r="B29" s="3" t="s">
        <v>932</v>
      </c>
      <c r="C29" s="411">
        <v>0.88680555555555551</v>
      </c>
      <c r="D29" s="3" t="s">
        <v>456</v>
      </c>
      <c r="E29" s="3" t="s">
        <v>933</v>
      </c>
      <c r="F29" s="3" t="s">
        <v>934</v>
      </c>
      <c r="G29" s="3">
        <v>6979009801</v>
      </c>
      <c r="H29" s="3" t="s">
        <v>859</v>
      </c>
      <c r="I29" s="3" t="s">
        <v>935</v>
      </c>
    </row>
    <row r="30" spans="1:9">
      <c r="A30" s="3">
        <v>29</v>
      </c>
      <c r="B30" s="3" t="s">
        <v>936</v>
      </c>
      <c r="C30" s="411">
        <v>0.96805555555555556</v>
      </c>
      <c r="D30" s="3" t="s">
        <v>499</v>
      </c>
      <c r="E30" s="3" t="s">
        <v>937</v>
      </c>
      <c r="F30" s="3" t="s">
        <v>938</v>
      </c>
      <c r="G30" s="3">
        <v>6984816562</v>
      </c>
      <c r="H30" s="3" t="s">
        <v>870</v>
      </c>
      <c r="I30" s="3" t="s">
        <v>939</v>
      </c>
    </row>
    <row r="31" spans="1:9">
      <c r="A31" s="3">
        <v>30</v>
      </c>
      <c r="B31" s="3" t="s">
        <v>940</v>
      </c>
      <c r="C31" s="411">
        <v>0.3888888888888889</v>
      </c>
      <c r="D31" s="3" t="s">
        <v>896</v>
      </c>
      <c r="E31" s="3" t="s">
        <v>941</v>
      </c>
      <c r="F31" s="3" t="s">
        <v>942</v>
      </c>
      <c r="G31" s="3">
        <v>6974001347</v>
      </c>
      <c r="H31" s="3" t="s">
        <v>859</v>
      </c>
      <c r="I31" s="3" t="s">
        <v>943</v>
      </c>
    </row>
    <row r="32" spans="1:9">
      <c r="A32" s="3">
        <v>31</v>
      </c>
      <c r="B32" s="3" t="s">
        <v>944</v>
      </c>
      <c r="C32" s="411">
        <v>0.10138888888888889</v>
      </c>
      <c r="D32" s="3" t="s">
        <v>499</v>
      </c>
      <c r="E32" s="3" t="s">
        <v>945</v>
      </c>
      <c r="F32" s="3" t="s">
        <v>946</v>
      </c>
      <c r="G32" s="3">
        <v>6975776225</v>
      </c>
      <c r="H32" s="3" t="s">
        <v>875</v>
      </c>
      <c r="I32" s="3"/>
    </row>
    <row r="33" spans="1:9">
      <c r="A33" s="3">
        <v>32</v>
      </c>
      <c r="B33" s="3" t="s">
        <v>944</v>
      </c>
      <c r="C33" s="432" t="s">
        <v>947</v>
      </c>
      <c r="D33" s="3" t="s">
        <v>892</v>
      </c>
      <c r="E33" s="3" t="s">
        <v>948</v>
      </c>
      <c r="F33" s="3" t="s">
        <v>949</v>
      </c>
      <c r="G33" s="3">
        <v>6945327573</v>
      </c>
      <c r="H33" s="3" t="s">
        <v>870</v>
      </c>
      <c r="I33" s="3" t="s">
        <v>950</v>
      </c>
    </row>
    <row r="34" spans="1:9">
      <c r="A34" s="3">
        <v>33</v>
      </c>
      <c r="B34" s="3" t="s">
        <v>951</v>
      </c>
      <c r="C34" s="433" t="s">
        <v>952</v>
      </c>
      <c r="D34" s="3" t="s">
        <v>456</v>
      </c>
      <c r="E34" s="3" t="s">
        <v>953</v>
      </c>
      <c r="F34" s="3" t="s">
        <v>954</v>
      </c>
      <c r="G34" s="3">
        <v>6984656954</v>
      </c>
      <c r="H34" s="3" t="s">
        <v>875</v>
      </c>
      <c r="I34" s="3" t="s">
        <v>955</v>
      </c>
    </row>
    <row r="35" spans="1:9">
      <c r="A35" s="3">
        <v>34</v>
      </c>
      <c r="B35" s="3" t="s">
        <v>956</v>
      </c>
      <c r="C35" s="432" t="s">
        <v>957</v>
      </c>
      <c r="D35" s="3" t="s">
        <v>958</v>
      </c>
      <c r="E35" s="3" t="s">
        <v>959</v>
      </c>
      <c r="F35" s="3" t="s">
        <v>960</v>
      </c>
      <c r="I35" s="3" t="s">
        <v>961</v>
      </c>
    </row>
    <row r="36" spans="1:9">
      <c r="A36" s="362">
        <v>35</v>
      </c>
      <c r="B36" s="362" t="s">
        <v>956</v>
      </c>
      <c r="C36" s="435" t="s">
        <v>962</v>
      </c>
      <c r="D36" s="362" t="s">
        <v>892</v>
      </c>
      <c r="E36" s="402" t="s">
        <v>963</v>
      </c>
      <c r="F36" s="362" t="s">
        <v>824</v>
      </c>
      <c r="G36" s="362">
        <v>6980882454</v>
      </c>
      <c r="H36" s="362" t="s">
        <v>852</v>
      </c>
      <c r="I36" s="3" t="s">
        <v>964</v>
      </c>
    </row>
    <row r="37" spans="1:9">
      <c r="A37" s="3">
        <v>36</v>
      </c>
      <c r="B37" s="3" t="s">
        <v>965</v>
      </c>
      <c r="C37" s="432" t="s">
        <v>966</v>
      </c>
      <c r="D37" s="3" t="s">
        <v>861</v>
      </c>
      <c r="E37" s="3" t="s">
        <v>967</v>
      </c>
      <c r="F37" s="3" t="s">
        <v>968</v>
      </c>
      <c r="G37" s="3">
        <v>6942279233</v>
      </c>
      <c r="H37" s="3" t="s">
        <v>875</v>
      </c>
      <c r="I37" s="3" t="s">
        <v>969</v>
      </c>
    </row>
    <row r="38" spans="1:9">
      <c r="A38" s="3">
        <v>37</v>
      </c>
      <c r="B38" s="3" t="s">
        <v>970</v>
      </c>
      <c r="C38" s="411">
        <v>0.18819444444444444</v>
      </c>
      <c r="D38" s="3" t="s">
        <v>560</v>
      </c>
      <c r="E38" s="3" t="s">
        <v>971</v>
      </c>
      <c r="F38" s="3" t="s">
        <v>972</v>
      </c>
      <c r="G38" s="3">
        <v>6936594668</v>
      </c>
      <c r="H38" s="3" t="s">
        <v>875</v>
      </c>
      <c r="I38" s="3" t="s">
        <v>973</v>
      </c>
    </row>
    <row r="39" spans="1:9">
      <c r="A39" s="3">
        <v>38</v>
      </c>
      <c r="B39" s="3" t="s">
        <v>974</v>
      </c>
      <c r="C39" s="432" t="s">
        <v>975</v>
      </c>
      <c r="D39" s="3" t="s">
        <v>849</v>
      </c>
      <c r="E39" s="3" t="s">
        <v>976</v>
      </c>
      <c r="F39" s="3" t="s">
        <v>977</v>
      </c>
      <c r="G39" s="3">
        <v>6946303456</v>
      </c>
      <c r="H39" s="3" t="s">
        <v>859</v>
      </c>
      <c r="I39" s="3" t="s">
        <v>978</v>
      </c>
    </row>
    <row r="40" spans="1:9">
      <c r="A40" s="3">
        <v>39</v>
      </c>
      <c r="B40" s="3" t="s">
        <v>979</v>
      </c>
      <c r="C40" s="432" t="s">
        <v>980</v>
      </c>
      <c r="D40" s="3" t="s">
        <v>981</v>
      </c>
      <c r="E40" s="3" t="s">
        <v>982</v>
      </c>
      <c r="F40" s="3" t="s">
        <v>983</v>
      </c>
      <c r="G40" s="3">
        <v>6976118072</v>
      </c>
      <c r="H40" s="3" t="s">
        <v>870</v>
      </c>
      <c r="I40" s="3" t="s">
        <v>984</v>
      </c>
    </row>
    <row r="41" spans="1:9">
      <c r="A41" s="3">
        <v>40</v>
      </c>
      <c r="B41" s="3" t="s">
        <v>985</v>
      </c>
      <c r="C41" s="432" t="s">
        <v>980</v>
      </c>
      <c r="D41" s="3" t="s">
        <v>456</v>
      </c>
      <c r="E41" s="3" t="s">
        <v>986</v>
      </c>
      <c r="F41" s="3" t="s">
        <v>987</v>
      </c>
      <c r="G41" s="3">
        <v>6943832793</v>
      </c>
      <c r="H41" s="3" t="s">
        <v>852</v>
      </c>
      <c r="I41" s="3" t="s">
        <v>988</v>
      </c>
    </row>
    <row r="42" spans="1:9">
      <c r="A42" s="3">
        <v>41</v>
      </c>
      <c r="B42" s="3" t="s">
        <v>989</v>
      </c>
      <c r="C42" s="432" t="s">
        <v>990</v>
      </c>
      <c r="D42" s="3" t="s">
        <v>855</v>
      </c>
      <c r="E42" s="3" t="s">
        <v>991</v>
      </c>
      <c r="F42" s="3" t="s">
        <v>992</v>
      </c>
      <c r="G42" s="3">
        <v>6995185688</v>
      </c>
      <c r="H42" s="3" t="s">
        <v>993</v>
      </c>
      <c r="I42" s="3" t="s">
        <v>994</v>
      </c>
    </row>
    <row r="43" spans="1:9">
      <c r="A43" s="3">
        <v>42</v>
      </c>
      <c r="B43" s="3" t="s">
        <v>995</v>
      </c>
      <c r="C43" s="432" t="s">
        <v>996</v>
      </c>
      <c r="D43" s="3" t="s">
        <v>896</v>
      </c>
      <c r="E43" s="3" t="s">
        <v>997</v>
      </c>
      <c r="F43" s="3" t="s">
        <v>998</v>
      </c>
      <c r="G43" s="3">
        <v>6945958347</v>
      </c>
      <c r="H43" s="136" t="s">
        <v>859</v>
      </c>
      <c r="I43" s="3" t="s">
        <v>999</v>
      </c>
    </row>
    <row r="44" spans="1:9">
      <c r="A44" s="362">
        <v>43</v>
      </c>
      <c r="B44" s="362" t="s">
        <v>1000</v>
      </c>
      <c r="C44" s="413">
        <v>0.41666666666666669</v>
      </c>
      <c r="D44" s="362" t="s">
        <v>456</v>
      </c>
      <c r="E44" s="362" t="s">
        <v>1001</v>
      </c>
      <c r="F44" s="362" t="s">
        <v>1002</v>
      </c>
      <c r="G44" s="362">
        <v>6948537700</v>
      </c>
      <c r="H44" s="362" t="s">
        <v>852</v>
      </c>
      <c r="I44" s="3" t="s">
        <v>1003</v>
      </c>
    </row>
    <row r="45" spans="1:9">
      <c r="A45" s="3">
        <v>44</v>
      </c>
      <c r="B45" s="3" t="s">
        <v>1004</v>
      </c>
      <c r="C45" s="432" t="s">
        <v>1005</v>
      </c>
      <c r="D45" s="3" t="s">
        <v>892</v>
      </c>
      <c r="E45" s="3" t="s">
        <v>1006</v>
      </c>
      <c r="F45" s="3" t="s">
        <v>1007</v>
      </c>
      <c r="G45" s="3">
        <v>6988473096</v>
      </c>
      <c r="H45" s="3" t="s">
        <v>852</v>
      </c>
      <c r="I45" s="3" t="s">
        <v>1008</v>
      </c>
    </row>
    <row r="46" spans="1:9">
      <c r="A46" s="3">
        <v>45</v>
      </c>
      <c r="B46" s="3" t="s">
        <v>1009</v>
      </c>
      <c r="C46" s="432" t="s">
        <v>980</v>
      </c>
      <c r="D46" s="3" t="s">
        <v>499</v>
      </c>
      <c r="E46" s="3" t="s">
        <v>1010</v>
      </c>
      <c r="F46" s="3" t="s">
        <v>1011</v>
      </c>
      <c r="G46" s="3">
        <v>6945731611</v>
      </c>
      <c r="H46" s="3" t="s">
        <v>859</v>
      </c>
      <c r="I46" s="3" t="s">
        <v>1012</v>
      </c>
    </row>
    <row r="47" spans="1:9">
      <c r="A47" s="3">
        <v>46</v>
      </c>
      <c r="B47" s="3" t="s">
        <v>1013</v>
      </c>
      <c r="C47" s="432" t="s">
        <v>1014</v>
      </c>
      <c r="D47" s="3" t="s">
        <v>499</v>
      </c>
      <c r="E47" s="3" t="s">
        <v>1015</v>
      </c>
      <c r="F47" s="3" t="s">
        <v>1016</v>
      </c>
      <c r="G47" s="3">
        <v>6983046030</v>
      </c>
      <c r="H47" s="3" t="s">
        <v>1017</v>
      </c>
      <c r="I47" s="3" t="s">
        <v>1018</v>
      </c>
    </row>
    <row r="48" spans="1:9">
      <c r="A48" s="3">
        <v>47</v>
      </c>
      <c r="B48" s="3" t="s">
        <v>1019</v>
      </c>
      <c r="C48" s="411">
        <v>0.44791666666666669</v>
      </c>
      <c r="D48" s="3" t="s">
        <v>849</v>
      </c>
      <c r="E48" s="3" t="s">
        <v>1020</v>
      </c>
      <c r="F48" s="3" t="s">
        <v>1021</v>
      </c>
      <c r="G48" s="3">
        <v>6944627063</v>
      </c>
      <c r="H48" s="136" t="s">
        <v>859</v>
      </c>
      <c r="I48" s="3" t="s">
        <v>1022</v>
      </c>
    </row>
    <row r="49" spans="1:9">
      <c r="A49" s="3">
        <v>48</v>
      </c>
      <c r="B49" s="3" t="s">
        <v>1023</v>
      </c>
      <c r="C49" s="411">
        <v>0.53055555555555556</v>
      </c>
      <c r="D49" s="3" t="s">
        <v>892</v>
      </c>
      <c r="E49" s="3" t="s">
        <v>1024</v>
      </c>
      <c r="F49" s="3" t="s">
        <v>1025</v>
      </c>
      <c r="G49" s="3">
        <v>6979638875</v>
      </c>
      <c r="H49" s="3" t="s">
        <v>859</v>
      </c>
      <c r="I49" s="3" t="s">
        <v>1026</v>
      </c>
    </row>
    <row r="50" spans="1:9">
      <c r="A50" s="3">
        <v>49</v>
      </c>
      <c r="B50" s="3" t="s">
        <v>1023</v>
      </c>
      <c r="C50" s="411" t="s">
        <v>1027</v>
      </c>
      <c r="D50" s="3" t="s">
        <v>892</v>
      </c>
      <c r="E50" s="3" t="s">
        <v>1024</v>
      </c>
      <c r="F50" s="3" t="s">
        <v>1025</v>
      </c>
      <c r="G50" s="3">
        <v>6979638875</v>
      </c>
      <c r="H50" s="3" t="s">
        <v>859</v>
      </c>
      <c r="I50" s="3"/>
    </row>
    <row r="51" spans="1:9">
      <c r="A51" s="3">
        <v>50</v>
      </c>
      <c r="B51" s="3" t="s">
        <v>1023</v>
      </c>
      <c r="C51" s="411" t="s">
        <v>1028</v>
      </c>
      <c r="D51" s="3" t="s">
        <v>892</v>
      </c>
      <c r="E51" s="3" t="s">
        <v>1024</v>
      </c>
      <c r="F51" s="3" t="s">
        <v>1025</v>
      </c>
      <c r="G51" s="3">
        <v>6979638875</v>
      </c>
      <c r="H51" s="3" t="s">
        <v>859</v>
      </c>
      <c r="I51" s="3"/>
    </row>
    <row r="52" spans="1:9">
      <c r="A52" s="3">
        <v>51</v>
      </c>
      <c r="B52" s="3" t="s">
        <v>1029</v>
      </c>
      <c r="C52" s="432" t="s">
        <v>1030</v>
      </c>
      <c r="D52" s="3" t="s">
        <v>456</v>
      </c>
      <c r="E52" s="3" t="s">
        <v>1031</v>
      </c>
      <c r="F52" s="3" t="s">
        <v>1032</v>
      </c>
      <c r="G52" s="3">
        <v>6978198845</v>
      </c>
      <c r="H52" s="3" t="s">
        <v>859</v>
      </c>
      <c r="I52" s="3"/>
    </row>
    <row r="53" spans="1:9">
      <c r="A53" s="3">
        <v>52</v>
      </c>
      <c r="B53" s="3" t="s">
        <v>1033</v>
      </c>
      <c r="C53" s="432" t="s">
        <v>1034</v>
      </c>
      <c r="D53" s="3" t="s">
        <v>456</v>
      </c>
      <c r="E53" s="3" t="s">
        <v>1035</v>
      </c>
      <c r="F53" s="3" t="s">
        <v>1036</v>
      </c>
      <c r="G53" s="3">
        <v>6987688489</v>
      </c>
      <c r="H53" s="3" t="s">
        <v>859</v>
      </c>
      <c r="I53" s="3" t="s">
        <v>1037</v>
      </c>
    </row>
    <row r="54" spans="1:9">
      <c r="A54" s="3">
        <v>53</v>
      </c>
      <c r="B54" s="3" t="s">
        <v>1038</v>
      </c>
      <c r="C54" s="432" t="s">
        <v>1039</v>
      </c>
      <c r="D54" s="3" t="s">
        <v>456</v>
      </c>
      <c r="E54" s="3" t="s">
        <v>1040</v>
      </c>
      <c r="F54" s="3" t="s">
        <v>491</v>
      </c>
      <c r="G54" s="3">
        <v>6983006334</v>
      </c>
      <c r="H54" s="3" t="s">
        <v>859</v>
      </c>
      <c r="I54" s="3" t="s">
        <v>1041</v>
      </c>
    </row>
    <row r="55" spans="1:9">
      <c r="A55" s="3">
        <v>54</v>
      </c>
      <c r="B55" s="3" t="s">
        <v>1042</v>
      </c>
      <c r="C55" s="411">
        <v>0.47986111111111113</v>
      </c>
      <c r="D55" s="3" t="s">
        <v>456</v>
      </c>
      <c r="E55" s="3" t="s">
        <v>1043</v>
      </c>
      <c r="F55" s="3" t="s">
        <v>1044</v>
      </c>
      <c r="G55" s="3">
        <v>6973058570</v>
      </c>
      <c r="H55" s="3" t="s">
        <v>875</v>
      </c>
      <c r="I55" s="3" t="s">
        <v>1045</v>
      </c>
    </row>
    <row r="56" spans="1:9">
      <c r="A56" s="3">
        <v>55</v>
      </c>
      <c r="B56" s="3" t="s">
        <v>1046</v>
      </c>
      <c r="C56" s="411">
        <v>0.38472222222222224</v>
      </c>
      <c r="D56" s="3" t="s">
        <v>896</v>
      </c>
      <c r="E56" s="3" t="s">
        <v>1047</v>
      </c>
      <c r="F56" s="3" t="s">
        <v>1048</v>
      </c>
      <c r="G56" s="136">
        <v>6946724474</v>
      </c>
      <c r="H56" s="3" t="s">
        <v>859</v>
      </c>
      <c r="I56" s="3" t="s">
        <v>1049</v>
      </c>
    </row>
    <row r="57" spans="1:9">
      <c r="A57" s="3">
        <v>56</v>
      </c>
      <c r="B57" s="3" t="s">
        <v>1050</v>
      </c>
      <c r="C57" s="411">
        <v>0.51388888888888884</v>
      </c>
      <c r="D57" s="3" t="s">
        <v>855</v>
      </c>
      <c r="E57" s="3" t="s">
        <v>1051</v>
      </c>
      <c r="F57" s="3" t="s">
        <v>1052</v>
      </c>
      <c r="G57" s="3">
        <v>6951637617</v>
      </c>
      <c r="H57" s="3" t="s">
        <v>859</v>
      </c>
      <c r="I57" s="3" t="s">
        <v>1053</v>
      </c>
    </row>
    <row r="58" spans="1:9">
      <c r="A58" s="3">
        <v>57</v>
      </c>
      <c r="B58" s="3" t="s">
        <v>1050</v>
      </c>
      <c r="C58" s="411" t="s">
        <v>1054</v>
      </c>
      <c r="D58" s="3" t="s">
        <v>456</v>
      </c>
      <c r="E58" s="3" t="s">
        <v>1055</v>
      </c>
      <c r="F58" s="3" t="s">
        <v>1056</v>
      </c>
      <c r="G58" s="3">
        <v>6981773736</v>
      </c>
      <c r="H58" s="3" t="s">
        <v>859</v>
      </c>
      <c r="I58" s="3" t="s">
        <v>1057</v>
      </c>
    </row>
    <row r="59" spans="1:9">
      <c r="A59" s="3">
        <v>58</v>
      </c>
      <c r="B59" s="3" t="s">
        <v>1050</v>
      </c>
      <c r="C59" s="411" t="s">
        <v>1058</v>
      </c>
      <c r="D59" s="3" t="s">
        <v>456</v>
      </c>
      <c r="E59" s="3" t="s">
        <v>1059</v>
      </c>
      <c r="F59" s="3" t="s">
        <v>1060</v>
      </c>
      <c r="G59" s="3">
        <v>6974940813</v>
      </c>
      <c r="H59" s="3" t="s">
        <v>870</v>
      </c>
      <c r="I59" s="3" t="s">
        <v>1061</v>
      </c>
    </row>
    <row r="60" spans="1:9">
      <c r="A60" s="3">
        <v>59</v>
      </c>
      <c r="B60" s="3" t="s">
        <v>1062</v>
      </c>
      <c r="C60" s="411">
        <v>0.41944444444444445</v>
      </c>
      <c r="D60" s="3" t="s">
        <v>892</v>
      </c>
      <c r="E60" t="s">
        <v>1063</v>
      </c>
      <c r="F60" s="3" t="s">
        <v>1064</v>
      </c>
      <c r="G60" s="3">
        <v>6977030116</v>
      </c>
      <c r="H60" s="3" t="s">
        <v>852</v>
      </c>
      <c r="I60" s="3" t="s">
        <v>1065</v>
      </c>
    </row>
    <row r="61" spans="1:9">
      <c r="A61" s="3">
        <v>60</v>
      </c>
      <c r="B61" s="3" t="s">
        <v>1066</v>
      </c>
      <c r="C61" s="411">
        <v>0.47499999999999998</v>
      </c>
      <c r="D61" s="3" t="s">
        <v>896</v>
      </c>
      <c r="E61" s="3" t="s">
        <v>1067</v>
      </c>
      <c r="F61" s="3" t="s">
        <v>1068</v>
      </c>
      <c r="G61" s="3">
        <v>6970107608</v>
      </c>
      <c r="H61" s="3" t="s">
        <v>1069</v>
      </c>
      <c r="I61" s="3"/>
    </row>
    <row r="62" spans="1:9">
      <c r="A62" s="3">
        <v>61</v>
      </c>
      <c r="B62" s="3" t="s">
        <v>1066</v>
      </c>
      <c r="C62" s="411">
        <v>0.47569444444444442</v>
      </c>
      <c r="D62" s="3" t="s">
        <v>499</v>
      </c>
      <c r="E62" s="3" t="s">
        <v>1067</v>
      </c>
      <c r="F62" s="3" t="s">
        <v>1068</v>
      </c>
      <c r="G62" s="3">
        <v>6970107608</v>
      </c>
      <c r="H62" s="3" t="s">
        <v>859</v>
      </c>
      <c r="I62" s="3"/>
    </row>
    <row r="63" spans="1:9">
      <c r="A63" s="3">
        <v>62</v>
      </c>
      <c r="B63" s="3" t="s">
        <v>1070</v>
      </c>
      <c r="C63" s="411" t="s">
        <v>1071</v>
      </c>
      <c r="D63" s="3" t="s">
        <v>560</v>
      </c>
      <c r="E63" s="3" t="s">
        <v>1072</v>
      </c>
      <c r="F63" s="3" t="s">
        <v>1073</v>
      </c>
      <c r="G63" s="3">
        <v>6981865680</v>
      </c>
      <c r="H63" s="3" t="s">
        <v>852</v>
      </c>
      <c r="I63" s="3"/>
    </row>
    <row r="64" spans="1:9">
      <c r="A64" s="3">
        <v>63</v>
      </c>
      <c r="B64" s="3" t="s">
        <v>1074</v>
      </c>
      <c r="C64" s="411">
        <v>6.6666666666666666E-2</v>
      </c>
      <c r="D64" s="3" t="s">
        <v>892</v>
      </c>
      <c r="E64" s="3" t="s">
        <v>1075</v>
      </c>
      <c r="F64" s="3" t="s">
        <v>1076</v>
      </c>
      <c r="G64" s="3">
        <v>6988557583</v>
      </c>
      <c r="H64" s="136" t="s">
        <v>875</v>
      </c>
      <c r="I64" s="3"/>
    </row>
    <row r="65" spans="1:9">
      <c r="A65" s="3">
        <v>64</v>
      </c>
      <c r="B65" s="3" t="s">
        <v>1077</v>
      </c>
      <c r="C65" s="411">
        <v>0.47569444444444442</v>
      </c>
      <c r="D65" s="3" t="s">
        <v>456</v>
      </c>
      <c r="E65" s="3" t="s">
        <v>1078</v>
      </c>
      <c r="F65" s="3" t="s">
        <v>1079</v>
      </c>
      <c r="G65" s="3">
        <v>6980481538</v>
      </c>
      <c r="H65" s="3" t="s">
        <v>859</v>
      </c>
      <c r="I65" s="3"/>
    </row>
    <row r="66" spans="1:9">
      <c r="A66" s="3">
        <v>65</v>
      </c>
      <c r="B66" s="3" t="s">
        <v>1080</v>
      </c>
      <c r="C66" s="411">
        <v>0.52638888888888891</v>
      </c>
      <c r="D66" s="3" t="s">
        <v>499</v>
      </c>
      <c r="E66" s="3" t="s">
        <v>1081</v>
      </c>
      <c r="F66" s="3" t="s">
        <v>1082</v>
      </c>
      <c r="G66" s="3">
        <v>6949935438</v>
      </c>
      <c r="H66" s="3" t="s">
        <v>875</v>
      </c>
      <c r="I66" s="3"/>
    </row>
    <row r="67" spans="1:9">
      <c r="A67" s="3">
        <v>66</v>
      </c>
      <c r="B67" s="3" t="s">
        <v>1083</v>
      </c>
      <c r="C67" s="411" t="s">
        <v>1084</v>
      </c>
      <c r="D67" s="3" t="s">
        <v>560</v>
      </c>
      <c r="E67" s="3" t="s">
        <v>1085</v>
      </c>
      <c r="F67" s="3" t="s">
        <v>1086</v>
      </c>
      <c r="G67" s="3">
        <v>6946522819</v>
      </c>
      <c r="H67" s="3" t="s">
        <v>852</v>
      </c>
      <c r="I67" s="3" t="s">
        <v>1087</v>
      </c>
    </row>
    <row r="68" spans="1:9">
      <c r="A68" s="3">
        <v>67</v>
      </c>
      <c r="B68" s="3" t="s">
        <v>1088</v>
      </c>
      <c r="C68" s="411">
        <v>0.39930555555555558</v>
      </c>
      <c r="D68" s="3" t="s">
        <v>855</v>
      </c>
      <c r="E68" s="3" t="s">
        <v>1089</v>
      </c>
      <c r="F68" s="3" t="s">
        <v>1090</v>
      </c>
      <c r="G68" s="3">
        <v>6938572093</v>
      </c>
      <c r="H68" s="3" t="s">
        <v>852</v>
      </c>
      <c r="I68" s="3" t="s">
        <v>1091</v>
      </c>
    </row>
    <row r="69" spans="1:9">
      <c r="A69" s="3">
        <v>68</v>
      </c>
      <c r="B69" s="3" t="s">
        <v>1092</v>
      </c>
      <c r="C69" s="411" t="s">
        <v>1093</v>
      </c>
      <c r="D69" s="3" t="s">
        <v>896</v>
      </c>
      <c r="E69" s="3" t="s">
        <v>1094</v>
      </c>
      <c r="F69" s="3" t="s">
        <v>1095</v>
      </c>
      <c r="G69" s="3">
        <v>6948310898</v>
      </c>
      <c r="H69" s="3" t="s">
        <v>859</v>
      </c>
      <c r="I69" s="3" t="s">
        <v>1096</v>
      </c>
    </row>
    <row r="70" spans="1:9">
      <c r="A70" s="3">
        <v>69</v>
      </c>
      <c r="B70" s="3" t="s">
        <v>1097</v>
      </c>
      <c r="C70" s="411" t="s">
        <v>1098</v>
      </c>
      <c r="D70" s="3" t="s">
        <v>896</v>
      </c>
      <c r="E70" s="3" t="s">
        <v>1099</v>
      </c>
      <c r="F70" s="3" t="s">
        <v>1100</v>
      </c>
      <c r="G70" s="3">
        <v>6971713108</v>
      </c>
      <c r="H70" s="3" t="s">
        <v>859</v>
      </c>
      <c r="I70" s="3" t="s">
        <v>1101</v>
      </c>
    </row>
    <row r="71" spans="1:9">
      <c r="A71" s="3">
        <v>70</v>
      </c>
      <c r="B71" s="3" t="s">
        <v>1102</v>
      </c>
      <c r="C71" s="411">
        <v>0.19166666666666668</v>
      </c>
      <c r="D71" s="3" t="s">
        <v>499</v>
      </c>
      <c r="E71" s="3" t="s">
        <v>1103</v>
      </c>
      <c r="F71" s="3" t="s">
        <v>1104</v>
      </c>
      <c r="G71" s="3">
        <v>6033248387</v>
      </c>
      <c r="H71" s="3" t="s">
        <v>859</v>
      </c>
      <c r="I71" s="3" t="s">
        <v>1105</v>
      </c>
    </row>
    <row r="72" spans="1:9">
      <c r="A72" s="3">
        <v>71</v>
      </c>
      <c r="B72" s="3" t="s">
        <v>1102</v>
      </c>
      <c r="C72" s="411">
        <v>0.19513888888888889</v>
      </c>
      <c r="D72" s="3" t="s">
        <v>1106</v>
      </c>
      <c r="E72" s="3" t="s">
        <v>1103</v>
      </c>
      <c r="F72" s="3" t="s">
        <v>1104</v>
      </c>
      <c r="G72" s="3">
        <v>6033248387</v>
      </c>
      <c r="H72" s="3" t="s">
        <v>1017</v>
      </c>
      <c r="I72" s="3" t="s">
        <v>1105</v>
      </c>
    </row>
    <row r="73" spans="1:9">
      <c r="A73" s="3">
        <v>72</v>
      </c>
      <c r="B73" s="3" t="s">
        <v>1102</v>
      </c>
      <c r="C73" s="411">
        <v>0.19930555555555557</v>
      </c>
      <c r="D73" s="3" t="s">
        <v>861</v>
      </c>
      <c r="E73" s="3" t="s">
        <v>1103</v>
      </c>
      <c r="F73" s="3" t="s">
        <v>1104</v>
      </c>
      <c r="G73" s="3">
        <v>6033248387</v>
      </c>
      <c r="H73" s="3" t="s">
        <v>852</v>
      </c>
      <c r="I73" s="3" t="s">
        <v>1105</v>
      </c>
    </row>
    <row r="74" spans="1:9">
      <c r="A74" s="3">
        <v>73</v>
      </c>
      <c r="B74" s="3" t="s">
        <v>1107</v>
      </c>
      <c r="C74" s="411">
        <v>0.31527777777777777</v>
      </c>
      <c r="D74" s="3" t="s">
        <v>896</v>
      </c>
      <c r="E74" s="3" t="s">
        <v>1108</v>
      </c>
      <c r="F74" s="3" t="s">
        <v>1109</v>
      </c>
      <c r="G74" s="3">
        <v>6909081473</v>
      </c>
      <c r="H74" s="3" t="s">
        <v>852</v>
      </c>
      <c r="I74" s="3" t="s">
        <v>1110</v>
      </c>
    </row>
    <row r="75" spans="1:9">
      <c r="A75" s="3">
        <v>74</v>
      </c>
      <c r="B75" s="3" t="s">
        <v>1111</v>
      </c>
      <c r="C75" s="411" t="s">
        <v>1112</v>
      </c>
      <c r="D75" s="3" t="s">
        <v>892</v>
      </c>
      <c r="E75" s="3" t="s">
        <v>1075</v>
      </c>
      <c r="F75" s="3" t="s">
        <v>1076</v>
      </c>
      <c r="G75" s="3">
        <v>6988557583</v>
      </c>
      <c r="H75" s="3" t="s">
        <v>859</v>
      </c>
      <c r="I75" s="3" t="s">
        <v>1113</v>
      </c>
    </row>
    <row r="76" spans="1:9">
      <c r="A76" s="3">
        <v>75</v>
      </c>
      <c r="B76" s="3" t="s">
        <v>1114</v>
      </c>
      <c r="C76" s="411" t="s">
        <v>1115</v>
      </c>
      <c r="D76" s="3" t="s">
        <v>456</v>
      </c>
      <c r="E76" s="3" t="s">
        <v>1116</v>
      </c>
      <c r="F76" s="3" t="s">
        <v>1117</v>
      </c>
      <c r="G76" s="3">
        <v>6955654864</v>
      </c>
      <c r="H76" s="3" t="s">
        <v>859</v>
      </c>
      <c r="I76" s="3" t="s">
        <v>1118</v>
      </c>
    </row>
    <row r="77" spans="1:9">
      <c r="A77" s="3">
        <v>76</v>
      </c>
      <c r="B77" s="3" t="s">
        <v>3084</v>
      </c>
      <c r="C77" s="411" t="s">
        <v>3085</v>
      </c>
      <c r="D77" s="3" t="s">
        <v>456</v>
      </c>
      <c r="E77" s="3" t="s">
        <v>3082</v>
      </c>
      <c r="F77" s="3" t="s">
        <v>3083</v>
      </c>
      <c r="G77" s="3">
        <v>6909147542</v>
      </c>
      <c r="H77" s="3" t="s">
        <v>859</v>
      </c>
      <c r="I77" s="3" t="s">
        <v>3086</v>
      </c>
    </row>
    <row r="78" spans="1:9">
      <c r="A78" s="3">
        <v>77</v>
      </c>
      <c r="B78" s="3" t="s">
        <v>3097</v>
      </c>
      <c r="C78" s="411">
        <v>0.51180555555555551</v>
      </c>
      <c r="D78" s="3" t="s">
        <v>896</v>
      </c>
      <c r="E78" s="3" t="s">
        <v>3098</v>
      </c>
      <c r="F78" s="3" t="s">
        <v>3099</v>
      </c>
      <c r="G78" s="3">
        <v>6906112066</v>
      </c>
      <c r="H78" s="3" t="s">
        <v>875</v>
      </c>
      <c r="I78" s="3" t="s">
        <v>1096</v>
      </c>
    </row>
    <row r="79" spans="1:9">
      <c r="A79" s="3">
        <v>78</v>
      </c>
      <c r="B79" s="3" t="s">
        <v>3113</v>
      </c>
      <c r="C79" s="411">
        <v>0.9458333333333333</v>
      </c>
      <c r="D79" s="3" t="s">
        <v>456</v>
      </c>
      <c r="E79" s="3" t="s">
        <v>3114</v>
      </c>
      <c r="F79" s="3" t="s">
        <v>3115</v>
      </c>
      <c r="G79" s="3">
        <v>6970127510</v>
      </c>
      <c r="H79" s="3" t="s">
        <v>859</v>
      </c>
      <c r="I79" s="3" t="s">
        <v>3116</v>
      </c>
    </row>
    <row r="80" spans="1:9">
      <c r="A80" s="3">
        <v>79</v>
      </c>
      <c r="B80" s="3" t="s">
        <v>3120</v>
      </c>
      <c r="C80" s="411" t="s">
        <v>3121</v>
      </c>
      <c r="D80" s="3" t="s">
        <v>3118</v>
      </c>
      <c r="E80" s="3" t="s">
        <v>3117</v>
      </c>
      <c r="F80" s="3" t="s">
        <v>3119</v>
      </c>
      <c r="G80" s="3">
        <v>6908864395</v>
      </c>
      <c r="H80" s="3" t="s">
        <v>890</v>
      </c>
      <c r="I80" s="3" t="s">
        <v>3128</v>
      </c>
    </row>
    <row r="81" spans="1:9">
      <c r="A81" s="3">
        <v>80</v>
      </c>
      <c r="B81" s="3" t="s">
        <v>3126</v>
      </c>
      <c r="C81" s="411">
        <v>4.5138888888888888E-2</v>
      </c>
      <c r="D81" s="3" t="s">
        <v>456</v>
      </c>
      <c r="E81" s="3" t="s">
        <v>3125</v>
      </c>
      <c r="F81" s="3" t="s">
        <v>3127</v>
      </c>
      <c r="G81" s="3">
        <v>6988690445</v>
      </c>
      <c r="H81" s="3" t="s">
        <v>1069</v>
      </c>
      <c r="I81" s="3" t="s">
        <v>3129</v>
      </c>
    </row>
    <row r="82" spans="1:9">
      <c r="A82" s="3">
        <v>81</v>
      </c>
      <c r="B82" s="3" t="s">
        <v>3138</v>
      </c>
      <c r="C82" s="411">
        <v>0.3034722222222222</v>
      </c>
      <c r="D82" s="3" t="s">
        <v>892</v>
      </c>
      <c r="E82" s="3" t="s">
        <v>3140</v>
      </c>
      <c r="F82" s="3" t="s">
        <v>3139</v>
      </c>
      <c r="G82" s="3">
        <v>6982158107</v>
      </c>
      <c r="H82" s="3" t="s">
        <v>875</v>
      </c>
      <c r="I82" s="3" t="s">
        <v>1096</v>
      </c>
    </row>
    <row r="83" spans="1:9">
      <c r="A83" s="3">
        <v>82</v>
      </c>
      <c r="B83" s="3" t="s">
        <v>3144</v>
      </c>
      <c r="C83" s="411" t="s">
        <v>1115</v>
      </c>
      <c r="D83" s="3" t="s">
        <v>896</v>
      </c>
      <c r="E83" s="3" t="s">
        <v>3145</v>
      </c>
      <c r="F83" s="3" t="s">
        <v>3146</v>
      </c>
      <c r="G83" s="3">
        <v>6948403397</v>
      </c>
      <c r="H83" s="3" t="s">
        <v>852</v>
      </c>
      <c r="I83" s="3" t="s">
        <v>3147</v>
      </c>
    </row>
    <row r="84" spans="1:9">
      <c r="A84" s="3">
        <v>83</v>
      </c>
      <c r="B84" s="3" t="s">
        <v>3164</v>
      </c>
      <c r="C84" s="411">
        <v>0.53402777777777777</v>
      </c>
      <c r="D84" s="3" t="s">
        <v>456</v>
      </c>
      <c r="E84" s="3" t="s">
        <v>3163</v>
      </c>
      <c r="F84" s="3" t="s">
        <v>3165</v>
      </c>
      <c r="G84" s="3">
        <v>6983714046</v>
      </c>
      <c r="H84" s="3" t="s">
        <v>852</v>
      </c>
      <c r="I84" s="3" t="s">
        <v>3166</v>
      </c>
    </row>
    <row r="85" spans="1:9">
      <c r="A85" s="3">
        <v>84</v>
      </c>
      <c r="B85" s="3" t="s">
        <v>3172</v>
      </c>
      <c r="C85" s="411" t="s">
        <v>3173</v>
      </c>
      <c r="D85" s="3" t="s">
        <v>560</v>
      </c>
      <c r="E85" s="3" t="s">
        <v>3171</v>
      </c>
      <c r="F85" s="3" t="s">
        <v>3174</v>
      </c>
      <c r="G85" s="3">
        <v>6947329203</v>
      </c>
      <c r="H85" s="3" t="s">
        <v>859</v>
      </c>
      <c r="I85" s="3" t="s">
        <v>3178</v>
      </c>
    </row>
    <row r="86" spans="1:9">
      <c r="A86" s="3">
        <v>85</v>
      </c>
      <c r="B86" s="3" t="s">
        <v>3211</v>
      </c>
      <c r="C86" s="411" t="s">
        <v>3212</v>
      </c>
      <c r="D86" s="3" t="s">
        <v>499</v>
      </c>
      <c r="E86" s="3" t="s">
        <v>3213</v>
      </c>
      <c r="F86" s="3" t="s">
        <v>3209</v>
      </c>
      <c r="G86" s="3">
        <v>6986183055</v>
      </c>
      <c r="H86" s="3" t="s">
        <v>859</v>
      </c>
      <c r="I86" s="3" t="s">
        <v>3210</v>
      </c>
    </row>
    <row r="87" spans="1:9">
      <c r="A87" s="3">
        <v>86</v>
      </c>
      <c r="B87" s="3" t="s">
        <v>3215</v>
      </c>
      <c r="C87" s="411" t="s">
        <v>3216</v>
      </c>
      <c r="D87" s="3" t="s">
        <v>456</v>
      </c>
      <c r="E87" s="3" t="s">
        <v>3217</v>
      </c>
      <c r="F87" s="3" t="s">
        <v>3218</v>
      </c>
      <c r="G87" s="3">
        <v>6986958977</v>
      </c>
      <c r="H87" s="3" t="s">
        <v>859</v>
      </c>
      <c r="I87" s="3" t="s">
        <v>3219</v>
      </c>
    </row>
    <row r="88" spans="1:9">
      <c r="A88" s="3">
        <v>87</v>
      </c>
      <c r="B88" s="3" t="s">
        <v>3226</v>
      </c>
      <c r="C88" s="411" t="s">
        <v>3227</v>
      </c>
      <c r="D88" s="3" t="s">
        <v>3225</v>
      </c>
      <c r="E88" s="3" t="s">
        <v>3224</v>
      </c>
      <c r="F88" s="3" t="s">
        <v>3228</v>
      </c>
      <c r="G88" s="3">
        <v>6976233440</v>
      </c>
      <c r="H88" s="3" t="s">
        <v>859</v>
      </c>
      <c r="I88" s="3" t="s">
        <v>3229</v>
      </c>
    </row>
    <row r="89" spans="1:9">
      <c r="A89" s="3">
        <v>88</v>
      </c>
      <c r="B89" s="3" t="s">
        <v>3247</v>
      </c>
      <c r="C89" s="411" t="s">
        <v>3248</v>
      </c>
      <c r="D89" s="3" t="s">
        <v>896</v>
      </c>
      <c r="E89" s="3" t="s">
        <v>3245</v>
      </c>
      <c r="F89" s="3" t="s">
        <v>3246</v>
      </c>
      <c r="G89" s="3">
        <v>6949093654</v>
      </c>
      <c r="H89" s="3" t="s">
        <v>859</v>
      </c>
      <c r="I89" s="3" t="s">
        <v>3250</v>
      </c>
    </row>
    <row r="90" spans="1:9">
      <c r="A90" s="3">
        <v>89</v>
      </c>
      <c r="B90" s="3" t="s">
        <v>3278</v>
      </c>
      <c r="C90" s="411">
        <v>0.36458333333333331</v>
      </c>
      <c r="D90" s="3" t="s">
        <v>456</v>
      </c>
      <c r="E90" s="3" t="s">
        <v>3276</v>
      </c>
      <c r="F90" s="3" t="s">
        <v>3277</v>
      </c>
      <c r="G90" s="3">
        <v>6944903436</v>
      </c>
      <c r="H90" s="3" t="s">
        <v>859</v>
      </c>
      <c r="I90" s="3" t="s">
        <v>3279</v>
      </c>
    </row>
    <row r="91" spans="1:9">
      <c r="A91" s="3">
        <v>90</v>
      </c>
      <c r="B91" s="3" t="s">
        <v>3302</v>
      </c>
      <c r="C91" s="411">
        <v>0.47986111111111113</v>
      </c>
      <c r="D91" s="3" t="s">
        <v>456</v>
      </c>
      <c r="E91" s="3" t="s">
        <v>3301</v>
      </c>
      <c r="F91" s="3" t="s">
        <v>3303</v>
      </c>
      <c r="G91" s="3">
        <v>6932410455</v>
      </c>
      <c r="H91" s="3" t="s">
        <v>859</v>
      </c>
      <c r="I91" s="3"/>
    </row>
    <row r="92" spans="1:9">
      <c r="A92" s="3">
        <v>91</v>
      </c>
      <c r="B92" s="3" t="s">
        <v>3329</v>
      </c>
      <c r="C92" s="411">
        <v>0.31319444444444444</v>
      </c>
      <c r="D92" s="3" t="s">
        <v>499</v>
      </c>
      <c r="E92" s="3" t="s">
        <v>3330</v>
      </c>
      <c r="F92" s="3" t="s">
        <v>3328</v>
      </c>
      <c r="G92" s="3">
        <v>6943761844</v>
      </c>
      <c r="H92" s="3" t="s">
        <v>859</v>
      </c>
      <c r="I92" s="3" t="s">
        <v>3331</v>
      </c>
    </row>
    <row r="93" spans="1:9">
      <c r="A93" s="3">
        <v>92</v>
      </c>
      <c r="B93" s="3" t="s">
        <v>3408</v>
      </c>
      <c r="C93" s="432" t="s">
        <v>3409</v>
      </c>
      <c r="D93" s="3" t="s">
        <v>456</v>
      </c>
      <c r="E93" s="3" t="s">
        <v>3410</v>
      </c>
      <c r="F93" s="3" t="s">
        <v>771</v>
      </c>
      <c r="G93" s="3">
        <v>6986958977</v>
      </c>
      <c r="H93" s="3" t="s">
        <v>859</v>
      </c>
      <c r="I93" s="3" t="s">
        <v>3659</v>
      </c>
    </row>
    <row r="94" spans="1:9">
      <c r="A94" s="3">
        <v>93</v>
      </c>
      <c r="B94" s="3" t="s">
        <v>3417</v>
      </c>
      <c r="C94" s="432" t="s">
        <v>3418</v>
      </c>
      <c r="D94" s="3" t="s">
        <v>889</v>
      </c>
      <c r="E94" s="3" t="s">
        <v>3414</v>
      </c>
      <c r="F94" s="3" t="s">
        <v>3415</v>
      </c>
      <c r="G94" s="3">
        <v>6948003049</v>
      </c>
      <c r="H94" s="3" t="s">
        <v>859</v>
      </c>
      <c r="I94" s="3" t="s">
        <v>3416</v>
      </c>
    </row>
    <row r="95" spans="1:9">
      <c r="A95" s="3">
        <v>94</v>
      </c>
      <c r="B95" s="3" t="s">
        <v>3432</v>
      </c>
      <c r="C95" s="432" t="s">
        <v>3427</v>
      </c>
      <c r="D95" s="3" t="s">
        <v>855</v>
      </c>
      <c r="E95" s="3" t="s">
        <v>3426</v>
      </c>
      <c r="F95" s="3" t="s">
        <v>3428</v>
      </c>
      <c r="G95" s="3">
        <v>6945470971</v>
      </c>
      <c r="H95" s="3" t="s">
        <v>859</v>
      </c>
      <c r="I95" s="3" t="s">
        <v>3429</v>
      </c>
    </row>
    <row r="96" spans="1:9">
      <c r="A96" s="3">
        <v>95</v>
      </c>
      <c r="B96" s="3" t="s">
        <v>3432</v>
      </c>
      <c r="C96" s="432" t="s">
        <v>3427</v>
      </c>
      <c r="D96" s="3" t="s">
        <v>855</v>
      </c>
      <c r="E96" s="3" t="s">
        <v>3426</v>
      </c>
      <c r="F96" s="3" t="s">
        <v>3428</v>
      </c>
      <c r="G96" s="3">
        <v>6945470971</v>
      </c>
      <c r="H96" s="3" t="s">
        <v>859</v>
      </c>
      <c r="I96" s="3" t="s">
        <v>3429</v>
      </c>
    </row>
    <row r="97" spans="1:9">
      <c r="A97" s="3">
        <v>96</v>
      </c>
      <c r="B97" s="3" t="s">
        <v>3431</v>
      </c>
      <c r="C97" s="432" t="s">
        <v>3433</v>
      </c>
      <c r="D97" s="3" t="s">
        <v>885</v>
      </c>
      <c r="E97" s="3" t="s">
        <v>3430</v>
      </c>
      <c r="F97" s="3" t="s">
        <v>3434</v>
      </c>
      <c r="G97" s="3">
        <v>6974410896</v>
      </c>
      <c r="H97" s="3" t="s">
        <v>859</v>
      </c>
      <c r="I97" s="3" t="s">
        <v>3435</v>
      </c>
    </row>
    <row r="98" spans="1:9">
      <c r="A98" s="3">
        <v>97</v>
      </c>
      <c r="B98" s="3" t="s">
        <v>3450</v>
      </c>
      <c r="C98" s="411">
        <v>0.47986111111111113</v>
      </c>
      <c r="D98" s="3" t="s">
        <v>892</v>
      </c>
      <c r="E98" s="3" t="s">
        <v>3451</v>
      </c>
      <c r="F98" s="3" t="s">
        <v>3449</v>
      </c>
      <c r="G98" s="3">
        <v>6949061035</v>
      </c>
      <c r="H98" s="3" t="s">
        <v>258</v>
      </c>
      <c r="I98" s="3" t="s">
        <v>3452</v>
      </c>
    </row>
    <row r="99" spans="1:9">
      <c r="A99" s="3">
        <v>98</v>
      </c>
      <c r="B99" s="3" t="s">
        <v>3450</v>
      </c>
      <c r="C99" s="432" t="s">
        <v>3455</v>
      </c>
      <c r="D99" s="3" t="s">
        <v>499</v>
      </c>
      <c r="E99" s="3" t="s">
        <v>3454</v>
      </c>
      <c r="F99" s="3" t="s">
        <v>3456</v>
      </c>
      <c r="G99" s="3">
        <v>6939318715</v>
      </c>
      <c r="H99" s="3" t="s">
        <v>859</v>
      </c>
      <c r="I99" s="3" t="s">
        <v>3459</v>
      </c>
    </row>
    <row r="100" spans="1:9">
      <c r="A100" s="3">
        <v>99</v>
      </c>
      <c r="B100" s="3" t="s">
        <v>3461</v>
      </c>
      <c r="C100" s="433" t="s">
        <v>3463</v>
      </c>
      <c r="D100" s="3" t="s">
        <v>456</v>
      </c>
      <c r="E100" s="3" t="s">
        <v>3460</v>
      </c>
      <c r="F100" s="3" t="s">
        <v>3462</v>
      </c>
      <c r="G100" s="3">
        <v>6944965999</v>
      </c>
      <c r="H100" s="3" t="s">
        <v>859</v>
      </c>
      <c r="I100" s="3" t="s">
        <v>3477</v>
      </c>
    </row>
    <row r="101" spans="1:9">
      <c r="A101" s="3">
        <v>100</v>
      </c>
      <c r="B101" s="3" t="s">
        <v>3520</v>
      </c>
      <c r="C101" s="433" t="s">
        <v>3521</v>
      </c>
      <c r="D101" s="3" t="s">
        <v>560</v>
      </c>
      <c r="E101" s="3" t="s">
        <v>3518</v>
      </c>
      <c r="F101" s="3" t="s">
        <v>3519</v>
      </c>
      <c r="G101" s="3">
        <v>6943124530</v>
      </c>
      <c r="H101" s="3" t="s">
        <v>859</v>
      </c>
      <c r="I101" s="3" t="s">
        <v>3522</v>
      </c>
    </row>
    <row r="102" spans="1:9">
      <c r="A102" s="3">
        <v>101</v>
      </c>
      <c r="B102" s="3" t="s">
        <v>3534</v>
      </c>
      <c r="C102" s="433" t="s">
        <v>3535</v>
      </c>
      <c r="D102" s="3" t="s">
        <v>896</v>
      </c>
      <c r="E102" s="3" t="s">
        <v>3532</v>
      </c>
      <c r="F102" s="3" t="s">
        <v>3533</v>
      </c>
      <c r="G102" s="3">
        <v>6908625708</v>
      </c>
      <c r="H102" s="3" t="s">
        <v>859</v>
      </c>
      <c r="I102" s="3" t="s">
        <v>3539</v>
      </c>
    </row>
    <row r="103" spans="1:9">
      <c r="A103" s="3">
        <v>102</v>
      </c>
      <c r="B103" s="3" t="s">
        <v>3538</v>
      </c>
      <c r="C103" s="411">
        <v>1.1111111111111112E-2</v>
      </c>
      <c r="D103" s="3" t="s">
        <v>771</v>
      </c>
      <c r="E103" s="3" t="s">
        <v>3536</v>
      </c>
      <c r="F103" s="3" t="s">
        <v>3537</v>
      </c>
      <c r="G103" s="3">
        <v>6946501759</v>
      </c>
      <c r="H103" s="3" t="s">
        <v>859</v>
      </c>
      <c r="I103" s="3" t="s">
        <v>3540</v>
      </c>
    </row>
    <row r="104" spans="1:9">
      <c r="A104" s="3">
        <v>103</v>
      </c>
      <c r="B104" s="3" t="s">
        <v>3585</v>
      </c>
      <c r="C104" s="411">
        <v>1.3194444444444444E-2</v>
      </c>
      <c r="D104" s="3" t="s">
        <v>456</v>
      </c>
      <c r="E104" s="3" t="s">
        <v>3586</v>
      </c>
      <c r="F104" s="3" t="s">
        <v>3587</v>
      </c>
      <c r="G104" s="3">
        <v>6949422103</v>
      </c>
      <c r="H104" s="3" t="s">
        <v>859</v>
      </c>
      <c r="I104" s="3" t="s">
        <v>3588</v>
      </c>
    </row>
    <row r="105" spans="1:9">
      <c r="A105" s="3">
        <v>104</v>
      </c>
      <c r="B105" s="3" t="s">
        <v>3594</v>
      </c>
      <c r="C105" s="433" t="s">
        <v>3595</v>
      </c>
      <c r="D105" s="3" t="s">
        <v>499</v>
      </c>
      <c r="E105" s="3" t="s">
        <v>3593</v>
      </c>
      <c r="F105" s="3" t="s">
        <v>3596</v>
      </c>
      <c r="G105" s="3">
        <v>6944113790</v>
      </c>
      <c r="H105" s="3" t="s">
        <v>852</v>
      </c>
      <c r="I105" s="3" t="s">
        <v>3605</v>
      </c>
    </row>
    <row r="106" spans="1:9">
      <c r="A106" s="3">
        <v>105</v>
      </c>
      <c r="B106" s="3" t="s">
        <v>3602</v>
      </c>
      <c r="C106" s="433" t="s">
        <v>3603</v>
      </c>
      <c r="D106" s="3" t="s">
        <v>456</v>
      </c>
      <c r="E106" s="3" t="s">
        <v>3601</v>
      </c>
      <c r="F106" s="3" t="s">
        <v>3604</v>
      </c>
      <c r="G106" s="3">
        <v>6981552855</v>
      </c>
      <c r="H106" s="3" t="s">
        <v>859</v>
      </c>
      <c r="I106" s="3" t="s">
        <v>3606</v>
      </c>
    </row>
    <row r="107" spans="1:9">
      <c r="A107" s="3">
        <v>106</v>
      </c>
      <c r="B107" s="3" t="s">
        <v>3660</v>
      </c>
      <c r="C107" s="411">
        <v>0.47013888888888888</v>
      </c>
      <c r="D107" s="3" t="s">
        <v>896</v>
      </c>
      <c r="E107" s="3" t="s">
        <v>862</v>
      </c>
      <c r="F107" s="3" t="s">
        <v>3661</v>
      </c>
      <c r="G107" s="3">
        <v>6946613948</v>
      </c>
      <c r="H107" s="3" t="s">
        <v>859</v>
      </c>
      <c r="I107" s="3" t="s">
        <v>3662</v>
      </c>
    </row>
    <row r="108" spans="1:9">
      <c r="A108" s="3">
        <v>107</v>
      </c>
      <c r="B108" s="3" t="s">
        <v>3726</v>
      </c>
      <c r="C108" s="411">
        <v>0.31874999999999998</v>
      </c>
      <c r="D108" s="3" t="s">
        <v>896</v>
      </c>
      <c r="E108" s="3" t="s">
        <v>3728</v>
      </c>
      <c r="F108" s="3" t="s">
        <v>3727</v>
      </c>
      <c r="G108" s="3">
        <v>6973584814</v>
      </c>
      <c r="H108" s="3" t="s">
        <v>852</v>
      </c>
      <c r="I108" s="3" t="s">
        <v>3729</v>
      </c>
    </row>
    <row r="109" spans="1:9">
      <c r="A109" s="3">
        <v>108</v>
      </c>
      <c r="B109" s="3" t="s">
        <v>3735</v>
      </c>
      <c r="C109" s="411">
        <v>2.7777777777777779E-3</v>
      </c>
      <c r="D109" s="3" t="s">
        <v>896</v>
      </c>
      <c r="E109" s="3" t="s">
        <v>3736</v>
      </c>
      <c r="F109" s="3" t="s">
        <v>3737</v>
      </c>
      <c r="G109" s="3">
        <v>6949376818</v>
      </c>
      <c r="H109" s="3" t="s">
        <v>859</v>
      </c>
      <c r="I109" s="3" t="s">
        <v>3738</v>
      </c>
    </row>
    <row r="110" spans="1:9">
      <c r="A110" s="3">
        <v>109</v>
      </c>
      <c r="B110" s="3" t="s">
        <v>3795</v>
      </c>
      <c r="C110" s="433" t="s">
        <v>3796</v>
      </c>
      <c r="D110" s="3" t="s">
        <v>885</v>
      </c>
      <c r="E110" s="3" t="s">
        <v>3794</v>
      </c>
      <c r="F110" s="3" t="s">
        <v>3797</v>
      </c>
      <c r="G110" s="3">
        <v>6981831802</v>
      </c>
      <c r="H110" s="3" t="s">
        <v>859</v>
      </c>
      <c r="I110" s="3" t="s">
        <v>3811</v>
      </c>
    </row>
    <row r="111" spans="1:9">
      <c r="C111" s="411"/>
    </row>
    <row r="112" spans="1:9">
      <c r="C112" s="411"/>
    </row>
    <row r="113" spans="3:3">
      <c r="C113" s="411"/>
    </row>
    <row r="114" spans="3:3">
      <c r="C114" s="411"/>
    </row>
    <row r="115" spans="3:3">
      <c r="C115" s="411"/>
    </row>
    <row r="116" spans="3:3">
      <c r="C116" s="411"/>
    </row>
    <row r="117" spans="3:3">
      <c r="C117" s="411"/>
    </row>
    <row r="118" spans="3:3">
      <c r="C118" s="411"/>
    </row>
    <row r="119" spans="3:3">
      <c r="C119" s="411"/>
    </row>
    <row r="120" spans="3:3">
      <c r="C120" s="411"/>
    </row>
    <row r="121" spans="3:3">
      <c r="C121" s="411"/>
    </row>
    <row r="122" spans="3:3">
      <c r="C122" s="411"/>
    </row>
    <row r="123" spans="3:3">
      <c r="C123" s="411"/>
    </row>
    <row r="124" spans="3:3">
      <c r="C124" s="411"/>
    </row>
    <row r="125" spans="3:3">
      <c r="C125" s="411"/>
    </row>
    <row r="126" spans="3:3">
      <c r="C126" s="411"/>
    </row>
    <row r="127" spans="3:3">
      <c r="C127" s="411"/>
    </row>
    <row r="128" spans="3:3">
      <c r="C128" s="411"/>
    </row>
    <row r="129" spans="3:3">
      <c r="C129" s="411"/>
    </row>
    <row r="130" spans="3:3">
      <c r="C130" s="411"/>
    </row>
    <row r="131" spans="3:3">
      <c r="C131" s="411"/>
    </row>
    <row r="132" spans="3:3">
      <c r="C132" s="411"/>
    </row>
    <row r="133" spans="3:3">
      <c r="C133" s="411"/>
    </row>
    <row r="134" spans="3:3">
      <c r="C134" s="411"/>
    </row>
    <row r="135" spans="3:3">
      <c r="C135" s="411"/>
    </row>
    <row r="136" spans="3:3">
      <c r="C136" s="411"/>
    </row>
    <row r="137" spans="3:3">
      <c r="C137" s="411"/>
    </row>
    <row r="138" spans="3:3">
      <c r="C138" s="411"/>
    </row>
    <row r="139" spans="3:3">
      <c r="C139" s="411"/>
    </row>
    <row r="140" spans="3:3">
      <c r="C140" s="411"/>
    </row>
    <row r="141" spans="3:3">
      <c r="C141" s="411"/>
    </row>
    <row r="142" spans="3:3">
      <c r="C142" s="411"/>
    </row>
    <row r="143" spans="3:3">
      <c r="C143" s="411"/>
    </row>
    <row r="144" spans="3:3">
      <c r="C144" s="411"/>
    </row>
    <row r="145" spans="3:3">
      <c r="C145" s="411"/>
    </row>
    <row r="146" spans="3:3">
      <c r="C146" s="411"/>
    </row>
    <row r="147" spans="3:3">
      <c r="C147" s="411"/>
    </row>
    <row r="148" spans="3:3">
      <c r="C148" s="411"/>
    </row>
    <row r="149" spans="3:3">
      <c r="C149" s="411"/>
    </row>
    <row r="150" spans="3:3">
      <c r="C150" s="411"/>
    </row>
    <row r="151" spans="3:3">
      <c r="C151" s="411"/>
    </row>
    <row r="152" spans="3:3">
      <c r="C152" s="411"/>
    </row>
    <row r="153" spans="3:3">
      <c r="C153" s="411"/>
    </row>
    <row r="154" spans="3:3">
      <c r="C154" s="411"/>
    </row>
    <row r="155" spans="3:3">
      <c r="C155" s="411"/>
    </row>
    <row r="156" spans="3:3">
      <c r="C156" s="411"/>
    </row>
    <row r="157" spans="3:3">
      <c r="C157" s="411"/>
    </row>
    <row r="158" spans="3:3">
      <c r="C158" s="411"/>
    </row>
    <row r="159" spans="3:3">
      <c r="C159" s="411"/>
    </row>
    <row r="160" spans="3:3">
      <c r="C160" s="411"/>
    </row>
    <row r="161" spans="3:3">
      <c r="C161" s="411"/>
    </row>
    <row r="162" spans="3:3">
      <c r="C162" s="411"/>
    </row>
    <row r="163" spans="3:3">
      <c r="C163" s="411"/>
    </row>
    <row r="164" spans="3:3">
      <c r="C164" s="411"/>
    </row>
    <row r="165" spans="3:3">
      <c r="C165" s="411"/>
    </row>
    <row r="166" spans="3:3">
      <c r="C166" s="411"/>
    </row>
    <row r="167" spans="3:3">
      <c r="C167" s="411"/>
    </row>
    <row r="168" spans="3:3">
      <c r="C168" s="411"/>
    </row>
    <row r="169" spans="3:3">
      <c r="C169" s="411"/>
    </row>
    <row r="170" spans="3:3">
      <c r="C170" s="411"/>
    </row>
    <row r="171" spans="3:3">
      <c r="C171" s="411"/>
    </row>
    <row r="172" spans="3:3">
      <c r="C172" s="411"/>
    </row>
    <row r="173" spans="3:3">
      <c r="C173" s="411"/>
    </row>
    <row r="174" spans="3:3">
      <c r="C174" s="411"/>
    </row>
    <row r="175" spans="3:3">
      <c r="C175" s="411"/>
    </row>
    <row r="176" spans="3:3">
      <c r="C176" s="411"/>
    </row>
    <row r="177" spans="3:3">
      <c r="C177" s="411"/>
    </row>
    <row r="178" spans="3:3">
      <c r="C178" s="411"/>
    </row>
    <row r="179" spans="3:3">
      <c r="C179" s="411"/>
    </row>
    <row r="180" spans="3:3">
      <c r="C180" s="411"/>
    </row>
    <row r="181" spans="3:3">
      <c r="C181" s="411"/>
    </row>
    <row r="182" spans="3:3">
      <c r="C182" s="411"/>
    </row>
    <row r="183" spans="3:3">
      <c r="C183" s="411"/>
    </row>
    <row r="184" spans="3:3">
      <c r="C184" s="411"/>
    </row>
    <row r="185" spans="3:3">
      <c r="C185" s="411"/>
    </row>
    <row r="186" spans="3:3">
      <c r="C186" s="411"/>
    </row>
    <row r="187" spans="3:3">
      <c r="C187" s="411"/>
    </row>
    <row r="188" spans="3:3">
      <c r="C188" s="411"/>
    </row>
    <row r="189" spans="3:3">
      <c r="C189" s="411"/>
    </row>
    <row r="190" spans="3:3">
      <c r="C190" s="411"/>
    </row>
    <row r="191" spans="3:3">
      <c r="C191" s="411"/>
    </row>
    <row r="192" spans="3:3">
      <c r="C192" s="411"/>
    </row>
    <row r="193" spans="3:3">
      <c r="C193" s="411"/>
    </row>
    <row r="194" spans="3:3">
      <c r="C194" s="411"/>
    </row>
    <row r="195" spans="3:3">
      <c r="C195" s="411"/>
    </row>
    <row r="196" spans="3:3">
      <c r="C196" s="411"/>
    </row>
    <row r="197" spans="3:3">
      <c r="C197" s="411"/>
    </row>
    <row r="198" spans="3:3">
      <c r="C198" s="411"/>
    </row>
    <row r="199" spans="3:3">
      <c r="C199" s="411"/>
    </row>
    <row r="200" spans="3:3">
      <c r="C200" s="411"/>
    </row>
    <row r="201" spans="3:3">
      <c r="C201" s="411"/>
    </row>
    <row r="202" spans="3:3">
      <c r="C202" s="411"/>
    </row>
    <row r="203" spans="3:3">
      <c r="C203" s="411"/>
    </row>
    <row r="204" spans="3:3">
      <c r="C204" s="411"/>
    </row>
    <row r="205" spans="3:3">
      <c r="C205" s="411"/>
    </row>
    <row r="206" spans="3:3">
      <c r="C206" s="411"/>
    </row>
    <row r="207" spans="3:3">
      <c r="C207" s="411"/>
    </row>
    <row r="208" spans="3:3">
      <c r="C208" s="411"/>
    </row>
    <row r="209" spans="3:3">
      <c r="C209" s="411"/>
    </row>
    <row r="210" spans="3:3">
      <c r="C210" s="411"/>
    </row>
    <row r="211" spans="3:3">
      <c r="C211" s="411"/>
    </row>
    <row r="212" spans="3:3">
      <c r="C212" s="411"/>
    </row>
    <row r="213" spans="3:3">
      <c r="C213" s="411"/>
    </row>
    <row r="214" spans="3:3">
      <c r="C214" s="411"/>
    </row>
    <row r="215" spans="3:3">
      <c r="C215" s="411"/>
    </row>
    <row r="216" spans="3:3">
      <c r="C216" s="411"/>
    </row>
    <row r="217" spans="3:3">
      <c r="C217" s="411"/>
    </row>
    <row r="218" spans="3:3">
      <c r="C218" s="411"/>
    </row>
    <row r="219" spans="3:3">
      <c r="C219" s="411"/>
    </row>
    <row r="220" spans="3:3">
      <c r="C220" s="411"/>
    </row>
    <row r="221" spans="3:3">
      <c r="C221" s="411"/>
    </row>
    <row r="222" spans="3:3">
      <c r="C222" s="411"/>
    </row>
    <row r="223" spans="3:3">
      <c r="C223" s="411"/>
    </row>
    <row r="224" spans="3:3">
      <c r="C224" s="411"/>
    </row>
    <row r="225" spans="3:3">
      <c r="C225" s="411"/>
    </row>
    <row r="226" spans="3:3">
      <c r="C226" s="411"/>
    </row>
    <row r="227" spans="3:3">
      <c r="C227" s="411"/>
    </row>
    <row r="228" spans="3:3">
      <c r="C228" s="411"/>
    </row>
    <row r="229" spans="3:3">
      <c r="C229" s="411"/>
    </row>
    <row r="230" spans="3:3">
      <c r="C230" s="411"/>
    </row>
    <row r="231" spans="3:3">
      <c r="C231" s="411"/>
    </row>
    <row r="232" spans="3:3">
      <c r="C232" s="411"/>
    </row>
    <row r="233" spans="3:3">
      <c r="C233" s="411"/>
    </row>
    <row r="234" spans="3:3">
      <c r="C234" s="411"/>
    </row>
    <row r="235" spans="3:3">
      <c r="C235" s="411"/>
    </row>
    <row r="236" spans="3:3">
      <c r="C236" s="411"/>
    </row>
    <row r="237" spans="3:3">
      <c r="C237" s="411"/>
    </row>
    <row r="238" spans="3:3">
      <c r="C238" s="411"/>
    </row>
    <row r="239" spans="3:3">
      <c r="C239" s="411"/>
    </row>
    <row r="240" spans="3:3">
      <c r="C240" s="411"/>
    </row>
    <row r="241" spans="3:3">
      <c r="C241" s="411"/>
    </row>
    <row r="242" spans="3:3">
      <c r="C242" s="411"/>
    </row>
    <row r="243" spans="3:3">
      <c r="C243" s="411"/>
    </row>
    <row r="244" spans="3:3">
      <c r="C244" s="411"/>
    </row>
    <row r="245" spans="3:3">
      <c r="C245" s="411"/>
    </row>
    <row r="246" spans="3:3">
      <c r="C246" s="411"/>
    </row>
    <row r="247" spans="3:3">
      <c r="C247" s="411"/>
    </row>
    <row r="248" spans="3:3">
      <c r="C248" s="411"/>
    </row>
    <row r="249" spans="3:3">
      <c r="C249" s="411"/>
    </row>
    <row r="250" spans="3:3">
      <c r="C250" s="411"/>
    </row>
    <row r="251" spans="3:3">
      <c r="C251" s="411"/>
    </row>
    <row r="252" spans="3:3">
      <c r="C252" s="411"/>
    </row>
    <row r="253" spans="3:3">
      <c r="C253" s="411"/>
    </row>
    <row r="254" spans="3:3">
      <c r="C254" s="411"/>
    </row>
    <row r="255" spans="3:3">
      <c r="C255" s="411"/>
    </row>
    <row r="256" spans="3:3">
      <c r="C256" s="411"/>
    </row>
    <row r="257" spans="3:3">
      <c r="C257" s="411"/>
    </row>
    <row r="258" spans="3:3">
      <c r="C258" s="411"/>
    </row>
    <row r="259" spans="3:3">
      <c r="C259" s="411"/>
    </row>
    <row r="260" spans="3:3">
      <c r="C260" s="411"/>
    </row>
    <row r="261" spans="3:3">
      <c r="C261" s="411"/>
    </row>
    <row r="262" spans="3:3">
      <c r="C262" s="411"/>
    </row>
    <row r="263" spans="3:3">
      <c r="C263" s="411"/>
    </row>
    <row r="264" spans="3:3">
      <c r="C264" s="411"/>
    </row>
    <row r="265" spans="3:3">
      <c r="C265" s="411"/>
    </row>
    <row r="266" spans="3:3">
      <c r="C266" s="411"/>
    </row>
    <row r="267" spans="3:3">
      <c r="C267" s="411"/>
    </row>
    <row r="268" spans="3:3">
      <c r="C268" s="411"/>
    </row>
    <row r="269" spans="3:3">
      <c r="C269" s="411"/>
    </row>
    <row r="270" spans="3:3">
      <c r="C270" s="411"/>
    </row>
    <row r="271" spans="3:3">
      <c r="C271" s="411"/>
    </row>
    <row r="272" spans="3:3">
      <c r="C272" s="411"/>
    </row>
    <row r="273" spans="3:3">
      <c r="C273" s="411"/>
    </row>
    <row r="274" spans="3:3">
      <c r="C274" s="411"/>
    </row>
    <row r="275" spans="3:3">
      <c r="C275" s="411"/>
    </row>
    <row r="276" spans="3:3">
      <c r="C276" s="411"/>
    </row>
    <row r="277" spans="3:3">
      <c r="C277" s="411"/>
    </row>
    <row r="278" spans="3:3">
      <c r="C278" s="411"/>
    </row>
    <row r="279" spans="3:3">
      <c r="C279" s="411"/>
    </row>
    <row r="280" spans="3:3">
      <c r="C280" s="411"/>
    </row>
    <row r="281" spans="3:3">
      <c r="C281" s="411"/>
    </row>
    <row r="282" spans="3:3">
      <c r="C282" s="411"/>
    </row>
    <row r="283" spans="3:3">
      <c r="C283" s="411"/>
    </row>
    <row r="284" spans="3:3">
      <c r="C284" s="411"/>
    </row>
    <row r="285" spans="3:3">
      <c r="C285" s="411"/>
    </row>
    <row r="286" spans="3:3">
      <c r="C286" s="411"/>
    </row>
    <row r="287" spans="3:3">
      <c r="C287" s="411"/>
    </row>
    <row r="288" spans="3:3">
      <c r="C288" s="411"/>
    </row>
    <row r="289" spans="3:3">
      <c r="C289" s="411"/>
    </row>
    <row r="290" spans="3:3">
      <c r="C290" s="411"/>
    </row>
    <row r="291" spans="3:3">
      <c r="C291" s="411"/>
    </row>
    <row r="292" spans="3:3">
      <c r="C292" s="411"/>
    </row>
    <row r="293" spans="3:3">
      <c r="C293" s="411"/>
    </row>
    <row r="294" spans="3:3">
      <c r="C294" s="411"/>
    </row>
    <row r="295" spans="3:3">
      <c r="C295" s="411"/>
    </row>
    <row r="296" spans="3:3">
      <c r="C296" s="411"/>
    </row>
    <row r="297" spans="3:3">
      <c r="C297" s="411"/>
    </row>
    <row r="298" spans="3:3">
      <c r="C298" s="411"/>
    </row>
    <row r="299" spans="3:3">
      <c r="C299" s="411"/>
    </row>
    <row r="300" spans="3:3">
      <c r="C300" s="411"/>
    </row>
    <row r="301" spans="3:3">
      <c r="C301" s="411"/>
    </row>
    <row r="302" spans="3:3">
      <c r="C302" s="411"/>
    </row>
    <row r="303" spans="3:3">
      <c r="C303" s="411"/>
    </row>
    <row r="304" spans="3:3">
      <c r="C304" s="411"/>
    </row>
    <row r="305" spans="3:3">
      <c r="C305" s="411"/>
    </row>
    <row r="306" spans="3:3">
      <c r="C306" s="411"/>
    </row>
    <row r="307" spans="3:3">
      <c r="C307" s="411"/>
    </row>
    <row r="308" spans="3:3">
      <c r="C308" s="411"/>
    </row>
    <row r="309" spans="3:3">
      <c r="C309" s="411"/>
    </row>
    <row r="310" spans="3:3">
      <c r="C310" s="411"/>
    </row>
    <row r="311" spans="3:3">
      <c r="C311" s="411"/>
    </row>
    <row r="312" spans="3:3">
      <c r="C312" s="411"/>
    </row>
    <row r="313" spans="3:3">
      <c r="C313" s="411"/>
    </row>
    <row r="314" spans="3:3">
      <c r="C314" s="411"/>
    </row>
    <row r="315" spans="3:3">
      <c r="C315" s="411"/>
    </row>
    <row r="316" spans="3:3">
      <c r="C316" s="411"/>
    </row>
    <row r="317" spans="3:3">
      <c r="C317" s="411"/>
    </row>
    <row r="318" spans="3:3">
      <c r="C318" s="411"/>
    </row>
    <row r="319" spans="3:3">
      <c r="C319" s="411"/>
    </row>
    <row r="320" spans="3:3">
      <c r="C320" s="411"/>
    </row>
    <row r="321" spans="3:3">
      <c r="C321" s="411"/>
    </row>
    <row r="322" spans="3:3">
      <c r="C322" s="411"/>
    </row>
    <row r="323" spans="3:3">
      <c r="C323" s="411"/>
    </row>
    <row r="324" spans="3:3">
      <c r="C324" s="411"/>
    </row>
    <row r="325" spans="3:3">
      <c r="C325" s="411"/>
    </row>
    <row r="326" spans="3:3">
      <c r="C326" s="411"/>
    </row>
    <row r="327" spans="3:3">
      <c r="C327" s="411"/>
    </row>
    <row r="328" spans="3:3">
      <c r="C328" s="411"/>
    </row>
    <row r="329" spans="3:3">
      <c r="C329" s="411"/>
    </row>
    <row r="330" spans="3:3">
      <c r="C330" s="411"/>
    </row>
    <row r="331" spans="3:3">
      <c r="C331" s="411"/>
    </row>
    <row r="332" spans="3:3">
      <c r="C332" s="411"/>
    </row>
    <row r="333" spans="3:3">
      <c r="C333" s="411"/>
    </row>
    <row r="334" spans="3:3">
      <c r="C334" s="411"/>
    </row>
    <row r="335" spans="3:3">
      <c r="C335" s="411"/>
    </row>
    <row r="336" spans="3:3">
      <c r="C336" s="411"/>
    </row>
    <row r="337" spans="3:3">
      <c r="C337" s="411"/>
    </row>
    <row r="338" spans="3:3">
      <c r="C338" s="411"/>
    </row>
    <row r="339" spans="3:3">
      <c r="C339" s="411"/>
    </row>
    <row r="340" spans="3:3">
      <c r="C340" s="411"/>
    </row>
    <row r="341" spans="3:3">
      <c r="C341" s="411"/>
    </row>
    <row r="342" spans="3:3">
      <c r="C342" s="411"/>
    </row>
    <row r="343" spans="3:3">
      <c r="C343" s="411"/>
    </row>
    <row r="344" spans="3:3">
      <c r="C344" s="411"/>
    </row>
    <row r="345" spans="3:3">
      <c r="C345" s="411"/>
    </row>
    <row r="346" spans="3:3">
      <c r="C346" s="411"/>
    </row>
    <row r="347" spans="3:3">
      <c r="C347" s="411"/>
    </row>
    <row r="348" spans="3:3">
      <c r="C348" s="411"/>
    </row>
    <row r="349" spans="3:3">
      <c r="C349" s="411"/>
    </row>
    <row r="350" spans="3:3">
      <c r="C350" s="411"/>
    </row>
    <row r="351" spans="3:3">
      <c r="C351" s="411"/>
    </row>
    <row r="352" spans="3:3">
      <c r="C352" s="411"/>
    </row>
    <row r="353" spans="3:3">
      <c r="C353" s="411"/>
    </row>
    <row r="354" spans="3:3">
      <c r="C354" s="411"/>
    </row>
    <row r="355" spans="3:3">
      <c r="C355" s="411"/>
    </row>
    <row r="356" spans="3:3">
      <c r="C356" s="411"/>
    </row>
    <row r="357" spans="3:3">
      <c r="C357" s="411"/>
    </row>
    <row r="358" spans="3:3">
      <c r="C358" s="411"/>
    </row>
    <row r="359" spans="3:3">
      <c r="C359" s="411"/>
    </row>
    <row r="360" spans="3:3">
      <c r="C360" s="411"/>
    </row>
    <row r="361" spans="3:3">
      <c r="C361" s="411"/>
    </row>
    <row r="362" spans="3:3">
      <c r="C362" s="411"/>
    </row>
    <row r="363" spans="3:3">
      <c r="C363" s="411"/>
    </row>
    <row r="364" spans="3:3">
      <c r="C364" s="411"/>
    </row>
    <row r="365" spans="3:3">
      <c r="C365" s="411"/>
    </row>
    <row r="366" spans="3:3">
      <c r="C366" s="411"/>
    </row>
    <row r="367" spans="3:3">
      <c r="C367" s="411"/>
    </row>
    <row r="368" spans="3:3">
      <c r="C368" s="411"/>
    </row>
    <row r="369" spans="3:3">
      <c r="C369" s="411"/>
    </row>
    <row r="370" spans="3:3">
      <c r="C370" s="411"/>
    </row>
    <row r="371" spans="3:3">
      <c r="C371" s="411"/>
    </row>
    <row r="372" spans="3:3">
      <c r="C372" s="411"/>
    </row>
    <row r="373" spans="3:3">
      <c r="C373" s="411"/>
    </row>
    <row r="374" spans="3:3">
      <c r="C374" s="411"/>
    </row>
    <row r="375" spans="3:3">
      <c r="C375" s="411"/>
    </row>
    <row r="376" spans="3:3">
      <c r="C376" s="411"/>
    </row>
    <row r="377" spans="3:3">
      <c r="C377" s="411"/>
    </row>
    <row r="378" spans="3:3">
      <c r="C378" s="411"/>
    </row>
    <row r="379" spans="3:3">
      <c r="C379" s="411"/>
    </row>
    <row r="380" spans="3:3">
      <c r="C380" s="411"/>
    </row>
    <row r="381" spans="3:3">
      <c r="C381" s="411"/>
    </row>
    <row r="382" spans="3:3">
      <c r="C382" s="411"/>
    </row>
    <row r="383" spans="3:3">
      <c r="C383" s="411"/>
    </row>
    <row r="384" spans="3:3">
      <c r="C384" s="411"/>
    </row>
    <row r="385" spans="3:3">
      <c r="C385" s="411"/>
    </row>
    <row r="386" spans="3:3">
      <c r="C386" s="411"/>
    </row>
    <row r="387" spans="3:3">
      <c r="C387" s="411"/>
    </row>
    <row r="388" spans="3:3">
      <c r="C388" s="411"/>
    </row>
    <row r="389" spans="3:3">
      <c r="C389" s="411"/>
    </row>
    <row r="390" spans="3:3">
      <c r="C390" s="411"/>
    </row>
    <row r="391" spans="3:3">
      <c r="C391" s="411"/>
    </row>
    <row r="392" spans="3:3">
      <c r="C392" s="411"/>
    </row>
    <row r="393" spans="3:3">
      <c r="C393" s="411"/>
    </row>
    <row r="394" spans="3:3">
      <c r="C394" s="411"/>
    </row>
    <row r="395" spans="3:3">
      <c r="C395" s="411"/>
    </row>
    <row r="396" spans="3:3">
      <c r="C396" s="411"/>
    </row>
    <row r="397" spans="3:3">
      <c r="C397" s="411"/>
    </row>
    <row r="398" spans="3:3">
      <c r="C398" s="411"/>
    </row>
    <row r="399" spans="3:3">
      <c r="C399" s="411"/>
    </row>
    <row r="400" spans="3:3">
      <c r="C400" s="411"/>
    </row>
    <row r="401" spans="3:3">
      <c r="C401" s="411"/>
    </row>
    <row r="402" spans="3:3">
      <c r="C402" s="411"/>
    </row>
    <row r="403" spans="3:3">
      <c r="C403" s="411"/>
    </row>
    <row r="404" spans="3:3">
      <c r="C404" s="411"/>
    </row>
    <row r="405" spans="3:3">
      <c r="C405" s="411"/>
    </row>
    <row r="406" spans="3:3">
      <c r="C406" s="411"/>
    </row>
    <row r="407" spans="3:3">
      <c r="C407" s="411"/>
    </row>
    <row r="408" spans="3:3">
      <c r="C408" s="411"/>
    </row>
    <row r="409" spans="3:3">
      <c r="C409" s="411"/>
    </row>
    <row r="410" spans="3:3">
      <c r="C410" s="411"/>
    </row>
    <row r="411" spans="3:3">
      <c r="C411" s="411"/>
    </row>
    <row r="412" spans="3:3">
      <c r="C412" s="411"/>
    </row>
    <row r="413" spans="3:3">
      <c r="C413" s="411"/>
    </row>
    <row r="414" spans="3:3">
      <c r="C414" s="411"/>
    </row>
    <row r="415" spans="3:3">
      <c r="C415" s="411"/>
    </row>
    <row r="416" spans="3:3">
      <c r="C416" s="411"/>
    </row>
    <row r="417" spans="3:3">
      <c r="C417" s="411"/>
    </row>
    <row r="418" spans="3:3">
      <c r="C418" s="411"/>
    </row>
    <row r="419" spans="3:3">
      <c r="C419" s="411"/>
    </row>
    <row r="420" spans="3:3">
      <c r="C420" s="411"/>
    </row>
    <row r="421" spans="3:3">
      <c r="C421" s="411"/>
    </row>
    <row r="422" spans="3:3">
      <c r="C422" s="411"/>
    </row>
    <row r="423" spans="3:3">
      <c r="C423" s="411"/>
    </row>
    <row r="424" spans="3:3">
      <c r="C424" s="411"/>
    </row>
    <row r="425" spans="3:3">
      <c r="C425" s="411"/>
    </row>
    <row r="426" spans="3:3">
      <c r="C426" s="411"/>
    </row>
    <row r="427" spans="3:3">
      <c r="C427" s="411"/>
    </row>
    <row r="428" spans="3:3">
      <c r="C428" s="411"/>
    </row>
    <row r="429" spans="3:3">
      <c r="C429" s="411"/>
    </row>
    <row r="430" spans="3:3">
      <c r="C430" s="411"/>
    </row>
    <row r="431" spans="3:3">
      <c r="C431" s="411"/>
    </row>
    <row r="432" spans="3:3">
      <c r="C432" s="411"/>
    </row>
    <row r="433" spans="3:3">
      <c r="C433" s="411"/>
    </row>
    <row r="434" spans="3:3">
      <c r="C434" s="411"/>
    </row>
    <row r="435" spans="3:3">
      <c r="C435" s="411"/>
    </row>
    <row r="436" spans="3:3">
      <c r="C436" s="411"/>
    </row>
    <row r="437" spans="3:3">
      <c r="C437" s="411"/>
    </row>
    <row r="438" spans="3:3">
      <c r="C438" s="411"/>
    </row>
    <row r="439" spans="3:3">
      <c r="C439" s="411"/>
    </row>
    <row r="440" spans="3:3">
      <c r="C440" s="411"/>
    </row>
    <row r="441" spans="3:3">
      <c r="C441" s="411"/>
    </row>
    <row r="442" spans="3:3">
      <c r="C442" s="411"/>
    </row>
    <row r="443" spans="3:3">
      <c r="C443" s="411"/>
    </row>
    <row r="444" spans="3:3">
      <c r="C444" s="411"/>
    </row>
    <row r="445" spans="3:3">
      <c r="C445" s="411"/>
    </row>
    <row r="446" spans="3:3">
      <c r="C446" s="411"/>
    </row>
    <row r="447" spans="3:3">
      <c r="C447" s="411"/>
    </row>
    <row r="448" spans="3:3">
      <c r="C448" s="411"/>
    </row>
    <row r="449" spans="3:3">
      <c r="C449" s="411"/>
    </row>
    <row r="450" spans="3:3">
      <c r="C450" s="411"/>
    </row>
    <row r="451" spans="3:3">
      <c r="C451" s="411"/>
    </row>
    <row r="452" spans="3:3">
      <c r="C452" s="411"/>
    </row>
    <row r="453" spans="3:3">
      <c r="C453" s="411"/>
    </row>
    <row r="454" spans="3:3">
      <c r="C454" s="411"/>
    </row>
    <row r="455" spans="3:3">
      <c r="C455" s="411"/>
    </row>
    <row r="456" spans="3:3">
      <c r="C456" s="411"/>
    </row>
    <row r="457" spans="3:3">
      <c r="C457" s="411"/>
    </row>
    <row r="458" spans="3:3">
      <c r="C458" s="411"/>
    </row>
    <row r="459" spans="3:3">
      <c r="C459" s="411"/>
    </row>
    <row r="460" spans="3:3">
      <c r="C460" s="411"/>
    </row>
    <row r="461" spans="3:3">
      <c r="C461" s="411"/>
    </row>
    <row r="462" spans="3:3">
      <c r="C462" s="411"/>
    </row>
    <row r="463" spans="3:3">
      <c r="C463" s="411"/>
    </row>
    <row r="464" spans="3:3">
      <c r="C464" s="411"/>
    </row>
    <row r="465" spans="3:3">
      <c r="C465" s="411"/>
    </row>
    <row r="466" spans="3:3">
      <c r="C466" s="411"/>
    </row>
    <row r="467" spans="3:3">
      <c r="C467" s="411"/>
    </row>
    <row r="468" spans="3:3">
      <c r="C468" s="411"/>
    </row>
    <row r="469" spans="3:3">
      <c r="C469" s="411"/>
    </row>
    <row r="470" spans="3:3">
      <c r="C470" s="411"/>
    </row>
    <row r="471" spans="3:3">
      <c r="C471" s="411"/>
    </row>
    <row r="472" spans="3:3">
      <c r="C472" s="411"/>
    </row>
    <row r="473" spans="3:3">
      <c r="C473" s="411"/>
    </row>
    <row r="474" spans="3:3">
      <c r="C474" s="411"/>
    </row>
    <row r="475" spans="3:3">
      <c r="C475" s="411"/>
    </row>
    <row r="476" spans="3:3">
      <c r="C476" s="411"/>
    </row>
    <row r="477" spans="3:3">
      <c r="C477" s="411"/>
    </row>
    <row r="478" spans="3:3">
      <c r="C478" s="411"/>
    </row>
    <row r="479" spans="3:3">
      <c r="C479" s="411"/>
    </row>
    <row r="480" spans="3:3">
      <c r="C480" s="411"/>
    </row>
    <row r="481" spans="3:3">
      <c r="C481" s="411"/>
    </row>
    <row r="482" spans="3:3">
      <c r="C482" s="411"/>
    </row>
    <row r="483" spans="3:3">
      <c r="C483" s="411"/>
    </row>
    <row r="484" spans="3:3">
      <c r="C484" s="411"/>
    </row>
    <row r="485" spans="3:3">
      <c r="C485" s="411"/>
    </row>
    <row r="486" spans="3:3">
      <c r="C486" s="411"/>
    </row>
    <row r="487" spans="3:3">
      <c r="C487" s="411"/>
    </row>
    <row r="488" spans="3:3">
      <c r="C488" s="411"/>
    </row>
    <row r="489" spans="3:3">
      <c r="C489" s="411"/>
    </row>
    <row r="490" spans="3:3">
      <c r="C490" s="411"/>
    </row>
    <row r="491" spans="3:3">
      <c r="C491" s="411"/>
    </row>
    <row r="492" spans="3:3">
      <c r="C492" s="411"/>
    </row>
    <row r="493" spans="3:3">
      <c r="C493" s="411"/>
    </row>
    <row r="494" spans="3:3">
      <c r="C494" s="411"/>
    </row>
    <row r="495" spans="3:3">
      <c r="C495" s="411"/>
    </row>
    <row r="496" spans="3:3">
      <c r="C496" s="411"/>
    </row>
    <row r="497" spans="3:3">
      <c r="C497" s="411"/>
    </row>
    <row r="498" spans="3:3">
      <c r="C498" s="411"/>
    </row>
    <row r="499" spans="3:3">
      <c r="C499" s="411"/>
    </row>
    <row r="500" spans="3:3">
      <c r="C500" s="411"/>
    </row>
    <row r="501" spans="3:3">
      <c r="C501" s="411"/>
    </row>
    <row r="502" spans="3:3">
      <c r="C502" s="411"/>
    </row>
    <row r="503" spans="3:3">
      <c r="C503" s="411"/>
    </row>
    <row r="504" spans="3:3">
      <c r="C504" s="411"/>
    </row>
    <row r="505" spans="3:3">
      <c r="C505" s="411"/>
    </row>
    <row r="506" spans="3:3">
      <c r="C506" s="411"/>
    </row>
    <row r="507" spans="3:3">
      <c r="C507" s="411"/>
    </row>
    <row r="508" spans="3:3">
      <c r="C508" s="411"/>
    </row>
    <row r="509" spans="3:3">
      <c r="C509" s="411"/>
    </row>
    <row r="510" spans="3:3">
      <c r="C510" s="411"/>
    </row>
    <row r="511" spans="3:3">
      <c r="C511" s="411"/>
    </row>
    <row r="512" spans="3:3">
      <c r="C512" s="411"/>
    </row>
    <row r="513" spans="3:3">
      <c r="C513" s="411"/>
    </row>
    <row r="514" spans="3:3">
      <c r="C514" s="411"/>
    </row>
    <row r="515" spans="3:3">
      <c r="C515" s="411"/>
    </row>
    <row r="516" spans="3:3">
      <c r="C516" s="411"/>
    </row>
    <row r="517" spans="3:3">
      <c r="C517" s="411"/>
    </row>
    <row r="518" spans="3:3">
      <c r="C518" s="411"/>
    </row>
    <row r="519" spans="3:3">
      <c r="C519" s="411"/>
    </row>
    <row r="520" spans="3:3">
      <c r="C520" s="411"/>
    </row>
    <row r="521" spans="3:3">
      <c r="C521" s="411"/>
    </row>
    <row r="522" spans="3:3">
      <c r="C522" s="411"/>
    </row>
    <row r="523" spans="3:3">
      <c r="C523" s="411"/>
    </row>
    <row r="524" spans="3:3">
      <c r="C524" s="411"/>
    </row>
    <row r="525" spans="3:3">
      <c r="C525" s="411"/>
    </row>
    <row r="526" spans="3:3">
      <c r="C526" s="411"/>
    </row>
    <row r="527" spans="3:3">
      <c r="C527" s="411"/>
    </row>
    <row r="528" spans="3:3">
      <c r="C528" s="411"/>
    </row>
    <row r="529" spans="3:3">
      <c r="C529" s="411"/>
    </row>
    <row r="530" spans="3:3">
      <c r="C530" s="411"/>
    </row>
    <row r="531" spans="3:3">
      <c r="C531" s="411"/>
    </row>
    <row r="532" spans="3:3">
      <c r="C532" s="411"/>
    </row>
    <row r="533" spans="3:3">
      <c r="C533" s="411"/>
    </row>
    <row r="534" spans="3:3">
      <c r="C534" s="411"/>
    </row>
    <row r="535" spans="3:3">
      <c r="C535" s="411"/>
    </row>
    <row r="536" spans="3:3">
      <c r="C536" s="411"/>
    </row>
    <row r="537" spans="3:3">
      <c r="C537" s="411"/>
    </row>
    <row r="538" spans="3:3">
      <c r="C538" s="411"/>
    </row>
    <row r="539" spans="3:3">
      <c r="C539" s="411"/>
    </row>
    <row r="540" spans="3:3">
      <c r="C540" s="411"/>
    </row>
    <row r="541" spans="3:3">
      <c r="C541" s="411"/>
    </row>
    <row r="542" spans="3:3">
      <c r="C542" s="411"/>
    </row>
    <row r="543" spans="3:3">
      <c r="C543" s="411"/>
    </row>
    <row r="544" spans="3:3">
      <c r="C544" s="411"/>
    </row>
    <row r="545" spans="3:3">
      <c r="C545" s="411"/>
    </row>
    <row r="546" spans="3:3">
      <c r="C546" s="411"/>
    </row>
    <row r="547" spans="3:3">
      <c r="C547" s="411"/>
    </row>
    <row r="548" spans="3:3">
      <c r="C548" s="411"/>
    </row>
    <row r="549" spans="3:3">
      <c r="C549" s="411"/>
    </row>
    <row r="550" spans="3:3">
      <c r="C550" s="411"/>
    </row>
    <row r="551" spans="3:3">
      <c r="C551" s="411"/>
    </row>
    <row r="552" spans="3:3">
      <c r="C552" s="411"/>
    </row>
    <row r="553" spans="3:3">
      <c r="C553" s="411"/>
    </row>
    <row r="554" spans="3:3">
      <c r="C554" s="411"/>
    </row>
  </sheetData>
  <mergeCells count="1">
    <mergeCell ref="K6:M6"/>
  </mergeCells>
  <phoneticPr fontId="8" type="noConversion"/>
  <hyperlinks>
    <hyperlink ref="F31" r:id="rId1" xr:uid="{D94C7078-7E50-46ED-A46C-A81C74BBDE5F}"/>
    <hyperlink ref="F46" r:id="rId2" xr:uid="{E225314C-D350-43BA-8790-23233226EE39}"/>
    <hyperlink ref="F68" r:id="rId3" xr:uid="{0BAFB09B-9F68-40D6-B517-901095989DD9}"/>
    <hyperlink ref="F80" r:id="rId4" xr:uid="{B8A99F9E-778E-48B0-8B31-54C9F9596BD2}"/>
    <hyperlink ref="F83" r:id="rId5" xr:uid="{B4BD2F68-8033-4B96-AC12-3D687FE7272D}"/>
    <hyperlink ref="F92" r:id="rId6" xr:uid="{E3D76FF4-A3CC-4462-AE03-29E70A944D6B}"/>
    <hyperlink ref="F95" r:id="rId7" xr:uid="{2521C5D2-1548-4C85-95A7-690DD2022E61}"/>
    <hyperlink ref="F96" r:id="rId8" xr:uid="{89DA8B85-52CE-4E90-ADE3-140462F84F32}"/>
    <hyperlink ref="F98" r:id="rId9" xr:uid="{8D6F5401-3561-470B-AFFA-AAB5E1DE9792}"/>
    <hyperlink ref="F102" r:id="rId10" xr:uid="{571C4EB1-432B-430C-8F6A-D6DBE50745D2}"/>
    <hyperlink ref="F105" r:id="rId11" xr:uid="{8C407A0B-B905-463B-9C9D-1225C94F21CA}"/>
  </hyperlinks>
  <pageMargins left="0.7" right="0.7" top="0.75" bottom="0.75" header="0.3" footer="0.3"/>
  <pageSetup paperSize="9" orientation="portrait" r:id="rId12"/>
  <legacyDrawing r:id="rId13"/>
  <tableParts count="1">
    <tablePart r:id="rId1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AEE0-9D36-42FE-9779-0BD374A6F12E}">
  <sheetPr>
    <tabColor rgb="FF660033"/>
  </sheetPr>
  <dimension ref="A1:BJ190"/>
  <sheetViews>
    <sheetView tabSelected="1" topLeftCell="A4" zoomScale="82" zoomScaleNormal="82" workbookViewId="0">
      <pane xSplit="4" topLeftCell="E1" activePane="topRight" state="frozen"/>
      <selection activeCell="F188" activeCellId="3" sqref="E187 F186 F189 F188"/>
      <selection pane="topRight" activeCell="G38" sqref="G38"/>
    </sheetView>
  </sheetViews>
  <sheetFormatPr defaultRowHeight="15"/>
  <cols>
    <col min="1" max="1" width="4.140625" style="3" bestFit="1" customWidth="1"/>
    <col min="2" max="2" width="91.85546875" style="3" bestFit="1" customWidth="1"/>
    <col min="3" max="5" width="30.5703125" style="3" customWidth="1"/>
    <col min="6" max="6" width="52.42578125" style="3" bestFit="1" customWidth="1"/>
    <col min="7" max="7" width="34" style="3" customWidth="1"/>
    <col min="8" max="8" width="36.5703125" style="433" customWidth="1"/>
    <col min="9" max="9" width="16.42578125" style="598" customWidth="1"/>
    <col min="10" max="10" width="23.85546875" style="598" customWidth="1"/>
    <col min="11" max="11" width="34.28515625" style="598" customWidth="1"/>
    <col min="12" max="12" width="43.7109375" style="598" customWidth="1"/>
    <col min="13" max="18" width="61.7109375" style="598" customWidth="1"/>
    <col min="19" max="19" width="36.5703125" style="433" customWidth="1"/>
    <col min="20" max="20" width="30.28515625" style="598" customWidth="1"/>
    <col min="21" max="21" width="23.85546875" style="598" customWidth="1"/>
    <col min="22" max="22" width="34.28515625" style="598" customWidth="1"/>
    <col min="23" max="23" width="43.7109375" style="598" customWidth="1"/>
    <col min="24" max="25" width="61.7109375" style="598" customWidth="1"/>
    <col min="26" max="26" width="38.7109375" style="598" customWidth="1"/>
    <col min="27" max="27" width="32.42578125" style="598" customWidth="1"/>
    <col min="28" max="28" width="20.28515625" customWidth="1"/>
    <col min="29" max="29" width="20.28515625" bestFit="1" customWidth="1"/>
    <col min="30" max="30" width="30.85546875" bestFit="1" customWidth="1"/>
    <col min="31" max="31" width="26.7109375" customWidth="1"/>
    <col min="32" max="32" width="30.85546875" customWidth="1"/>
    <col min="33" max="33" width="62.140625" customWidth="1"/>
    <col min="34" max="34" width="17.28515625" customWidth="1"/>
    <col min="35" max="35" width="9.7109375" customWidth="1"/>
    <col min="36" max="36" width="20.28515625" bestFit="1" customWidth="1"/>
    <col min="37" max="37" width="16.28515625" customWidth="1"/>
    <col min="38" max="38" width="28.85546875" customWidth="1"/>
    <col min="39" max="39" width="25.28515625" customWidth="1"/>
    <col min="40" max="40" width="61.28515625" customWidth="1"/>
    <col min="41" max="41" width="20.42578125" style="81" customWidth="1"/>
    <col min="42" max="46" width="29.28515625" customWidth="1"/>
    <col min="47" max="47" width="9.140625" customWidth="1"/>
    <col min="48" max="48" width="42.5703125" customWidth="1"/>
    <col min="49" max="53" width="13.42578125" style="81" customWidth="1"/>
  </cols>
  <sheetData>
    <row r="1" spans="1:53" ht="66" customHeight="1" thickBot="1">
      <c r="A1" s="1167" t="s">
        <v>58</v>
      </c>
      <c r="B1" s="1167"/>
      <c r="C1" s="1167"/>
      <c r="D1" s="1167"/>
      <c r="E1" s="1167"/>
      <c r="F1" s="1167"/>
      <c r="G1" s="1167"/>
      <c r="H1" s="1170" t="s">
        <v>3615</v>
      </c>
      <c r="I1" s="1170"/>
      <c r="J1" s="1170"/>
      <c r="K1" s="1170"/>
      <c r="L1" s="1170"/>
      <c r="M1" s="1170"/>
      <c r="N1" s="1170"/>
      <c r="O1" s="1170"/>
      <c r="P1" s="1170"/>
      <c r="Q1" s="1170"/>
      <c r="R1" s="601"/>
      <c r="S1" s="1169" t="s">
        <v>3698</v>
      </c>
      <c r="T1" s="1169"/>
      <c r="U1" s="1169"/>
      <c r="V1" s="1169"/>
      <c r="W1" s="1169"/>
      <c r="X1" s="1169"/>
      <c r="Y1" s="1169"/>
      <c r="Z1" s="1169"/>
      <c r="AA1" s="1169"/>
      <c r="AB1" s="1169"/>
      <c r="AI1" s="1166" t="s">
        <v>48</v>
      </c>
      <c r="AJ1" s="1166"/>
      <c r="AK1" s="1166"/>
      <c r="AL1" s="1166"/>
      <c r="AM1" s="1166"/>
      <c r="AN1" s="1166"/>
      <c r="AO1" s="1166"/>
      <c r="AP1" s="1166"/>
      <c r="AQ1" s="1166"/>
      <c r="AR1" s="1166"/>
      <c r="AS1" s="1166"/>
      <c r="AT1" s="1166"/>
      <c r="AU1" s="1166"/>
      <c r="AV1" s="1166"/>
    </row>
    <row r="2" spans="1:53" s="2" customFormat="1" ht="46.5" thickTop="1" thickBot="1">
      <c r="A2" s="565" t="s">
        <v>424</v>
      </c>
      <c r="B2" s="566" t="s">
        <v>425</v>
      </c>
      <c r="C2" s="566" t="s">
        <v>426</v>
      </c>
      <c r="D2" s="566" t="s">
        <v>427</v>
      </c>
      <c r="E2" s="566" t="s">
        <v>3337</v>
      </c>
      <c r="F2" s="566" t="s">
        <v>428</v>
      </c>
      <c r="G2" s="567" t="s">
        <v>429</v>
      </c>
      <c r="H2" s="742" t="s">
        <v>430</v>
      </c>
      <c r="I2" s="742" t="s">
        <v>431</v>
      </c>
      <c r="J2" s="742" t="s">
        <v>432</v>
      </c>
      <c r="K2" s="742" t="s">
        <v>433</v>
      </c>
      <c r="L2" s="742" t="s">
        <v>434</v>
      </c>
      <c r="M2" s="1027" t="s">
        <v>435</v>
      </c>
      <c r="N2" s="873"/>
      <c r="O2" s="873"/>
      <c r="P2" s="873"/>
      <c r="Q2" s="873"/>
      <c r="R2" s="873"/>
      <c r="S2" s="1026" t="s">
        <v>1154</v>
      </c>
      <c r="T2" s="742" t="s">
        <v>1144</v>
      </c>
      <c r="U2" s="742" t="s">
        <v>1161</v>
      </c>
      <c r="V2" s="742" t="s">
        <v>2678</v>
      </c>
      <c r="W2" s="742" t="s">
        <v>1169</v>
      </c>
      <c r="X2" s="742" t="s">
        <v>1192</v>
      </c>
      <c r="Y2" s="742" t="s">
        <v>1187</v>
      </c>
      <c r="Z2" s="598"/>
      <c r="AA2" s="601"/>
      <c r="AI2" s="181" t="s">
        <v>424</v>
      </c>
      <c r="AJ2" s="181" t="s">
        <v>436</v>
      </c>
      <c r="AK2" s="181" t="s">
        <v>437</v>
      </c>
      <c r="AL2" s="181" t="s">
        <v>438</v>
      </c>
      <c r="AM2" s="181" t="s">
        <v>428</v>
      </c>
      <c r="AN2" s="181" t="s">
        <v>439</v>
      </c>
      <c r="AO2" s="473" t="s">
        <v>440</v>
      </c>
      <c r="AP2" s="181" t="s">
        <v>441</v>
      </c>
      <c r="AQ2" s="181" t="s">
        <v>442</v>
      </c>
      <c r="AR2" s="181" t="s">
        <v>443</v>
      </c>
      <c r="AS2" s="181" t="s">
        <v>444</v>
      </c>
      <c r="AT2" s="181" t="s">
        <v>445</v>
      </c>
      <c r="AU2" s="181" t="s">
        <v>446</v>
      </c>
      <c r="AV2" s="181" t="s">
        <v>3314</v>
      </c>
      <c r="AW2" s="473" t="s">
        <v>446</v>
      </c>
      <c r="AX2" s="473" t="s">
        <v>2289</v>
      </c>
      <c r="AY2" s="473" t="s">
        <v>2290</v>
      </c>
      <c r="AZ2" s="473" t="s">
        <v>2291</v>
      </c>
      <c r="BA2" s="473" t="s">
        <v>2292</v>
      </c>
    </row>
    <row r="3" spans="1:53" ht="35.25" customHeight="1" thickTop="1">
      <c r="A3" s="540">
        <v>1</v>
      </c>
      <c r="B3" s="3" t="s">
        <v>447</v>
      </c>
      <c r="G3" s="541"/>
      <c r="H3" s="743" t="s">
        <v>3222</v>
      </c>
      <c r="I3" s="744">
        <v>5</v>
      </c>
      <c r="J3" s="744" t="s">
        <v>451</v>
      </c>
      <c r="K3" s="744" t="s">
        <v>451</v>
      </c>
      <c r="L3" s="744">
        <v>9</v>
      </c>
      <c r="M3" s="745">
        <v>9</v>
      </c>
      <c r="N3" s="433"/>
      <c r="O3" s="433"/>
      <c r="P3" s="433"/>
      <c r="Q3" s="433"/>
      <c r="R3" s="433"/>
      <c r="S3" s="743" t="s">
        <v>623</v>
      </c>
      <c r="T3" s="744" t="s">
        <v>623</v>
      </c>
      <c r="U3" s="744" t="s">
        <v>623</v>
      </c>
      <c r="V3" s="744" t="s">
        <v>500</v>
      </c>
      <c r="W3" s="744" t="s">
        <v>451</v>
      </c>
      <c r="X3" s="744" t="s">
        <v>500</v>
      </c>
      <c r="Y3" s="745" t="s">
        <v>451</v>
      </c>
      <c r="AA3" s="602"/>
      <c r="AI3" s="67">
        <v>1</v>
      </c>
      <c r="AJ3" s="496" t="s">
        <v>496</v>
      </c>
      <c r="AK3" s="496" t="s">
        <v>497</v>
      </c>
      <c r="AL3" s="496">
        <v>6949455771</v>
      </c>
      <c r="AM3" s="883" t="s">
        <v>498</v>
      </c>
      <c r="AN3" s="496" t="s">
        <v>499</v>
      </c>
      <c r="AO3" s="496" t="s">
        <v>457</v>
      </c>
      <c r="AP3" s="496"/>
      <c r="AQ3" s="884"/>
      <c r="AR3" s="884"/>
      <c r="AS3" s="884"/>
      <c r="AT3" s="884"/>
      <c r="AU3" s="884"/>
      <c r="AV3" s="885" t="s">
        <v>501</v>
      </c>
      <c r="AW3" s="892"/>
      <c r="AX3" s="892"/>
      <c r="AY3" s="943"/>
      <c r="AZ3" s="943"/>
      <c r="BA3" s="943"/>
    </row>
    <row r="4" spans="1:53" ht="35.25" customHeight="1">
      <c r="A4" s="540">
        <v>2</v>
      </c>
      <c r="B4" s="3" t="s">
        <v>447</v>
      </c>
      <c r="G4" s="541"/>
      <c r="H4" s="746" t="s">
        <v>3222</v>
      </c>
      <c r="I4" s="433" t="s">
        <v>3222</v>
      </c>
      <c r="J4" s="433" t="s">
        <v>451</v>
      </c>
      <c r="K4" s="433" t="s">
        <v>451</v>
      </c>
      <c r="L4" s="433" t="s">
        <v>451</v>
      </c>
      <c r="M4" s="747" t="s">
        <v>451</v>
      </c>
      <c r="N4" s="433"/>
      <c r="O4" s="433"/>
      <c r="P4" s="433"/>
      <c r="Q4" s="433"/>
      <c r="R4" s="433"/>
      <c r="S4" s="746" t="s">
        <v>623</v>
      </c>
      <c r="T4" s="433" t="s">
        <v>623</v>
      </c>
      <c r="U4" s="433" t="s">
        <v>623</v>
      </c>
      <c r="V4" s="433" t="s">
        <v>500</v>
      </c>
      <c r="W4" s="433" t="s">
        <v>451</v>
      </c>
      <c r="X4" s="433" t="s">
        <v>500</v>
      </c>
      <c r="Y4" s="747" t="s">
        <v>451</v>
      </c>
      <c r="AA4" s="602"/>
      <c r="AI4" s="67">
        <v>2</v>
      </c>
      <c r="AJ4" s="496" t="s">
        <v>568</v>
      </c>
      <c r="AK4" s="496" t="s">
        <v>569</v>
      </c>
      <c r="AL4" s="496">
        <v>6984501017</v>
      </c>
      <c r="AM4" s="883" t="s">
        <v>570</v>
      </c>
      <c r="AN4" s="496" t="s">
        <v>560</v>
      </c>
      <c r="AO4" s="496" t="s">
        <v>457</v>
      </c>
      <c r="AP4" s="496"/>
      <c r="AQ4" s="886"/>
      <c r="AR4" s="886"/>
      <c r="AS4" s="886"/>
      <c r="AT4" s="886"/>
      <c r="AU4" s="886"/>
      <c r="AV4" s="887" t="s">
        <v>572</v>
      </c>
      <c r="AW4" s="893"/>
      <c r="AX4" s="893"/>
      <c r="AY4" s="944"/>
      <c r="AZ4" s="944"/>
      <c r="BA4" s="944"/>
    </row>
    <row r="5" spans="1:53" ht="35.25" customHeight="1">
      <c r="A5" s="540">
        <v>3</v>
      </c>
      <c r="B5" s="3" t="s">
        <v>447</v>
      </c>
      <c r="G5" s="541"/>
      <c r="H5" s="746" t="s">
        <v>3222</v>
      </c>
      <c r="I5" s="433" t="s">
        <v>3222</v>
      </c>
      <c r="J5" s="433" t="s">
        <v>451</v>
      </c>
      <c r="K5" s="433" t="s">
        <v>451</v>
      </c>
      <c r="L5" s="433" t="s">
        <v>451</v>
      </c>
      <c r="M5" s="747" t="s">
        <v>451</v>
      </c>
      <c r="N5" s="433"/>
      <c r="O5" s="433"/>
      <c r="P5" s="433"/>
      <c r="Q5" s="433"/>
      <c r="R5" s="433"/>
      <c r="S5" s="746" t="s">
        <v>623</v>
      </c>
      <c r="T5" s="433" t="s">
        <v>623</v>
      </c>
      <c r="U5" s="433" t="s">
        <v>623</v>
      </c>
      <c r="V5" s="433" t="s">
        <v>500</v>
      </c>
      <c r="W5" s="433" t="s">
        <v>451</v>
      </c>
      <c r="X5" s="433" t="s">
        <v>500</v>
      </c>
      <c r="Y5" s="747" t="s">
        <v>451</v>
      </c>
      <c r="AA5" s="602"/>
      <c r="AI5" s="67">
        <v>3</v>
      </c>
      <c r="AJ5" s="496" t="s">
        <v>575</v>
      </c>
      <c r="AK5" s="496" t="s">
        <v>576</v>
      </c>
      <c r="AL5" s="496">
        <v>6955515575</v>
      </c>
      <c r="AM5" s="883" t="s">
        <v>577</v>
      </c>
      <c r="AN5" s="496" t="s">
        <v>578</v>
      </c>
      <c r="AO5" s="496" t="s">
        <v>457</v>
      </c>
      <c r="AP5" s="496"/>
      <c r="AQ5" s="886"/>
      <c r="AR5" s="886"/>
      <c r="AS5" s="886"/>
      <c r="AT5" s="886"/>
      <c r="AU5" s="886"/>
      <c r="AV5" s="887" t="s">
        <v>469</v>
      </c>
      <c r="AW5" s="893"/>
      <c r="AX5" s="893"/>
      <c r="AY5" s="944"/>
      <c r="AZ5" s="944"/>
      <c r="BA5" s="944"/>
    </row>
    <row r="6" spans="1:53" ht="35.25" customHeight="1">
      <c r="A6" s="540">
        <v>4</v>
      </c>
      <c r="B6" s="3" t="s">
        <v>447</v>
      </c>
      <c r="G6" s="541"/>
      <c r="H6" s="746" t="s">
        <v>3222</v>
      </c>
      <c r="I6" s="433" t="s">
        <v>3222</v>
      </c>
      <c r="J6" s="433" t="s">
        <v>451</v>
      </c>
      <c r="K6" s="433" t="s">
        <v>451</v>
      </c>
      <c r="L6" s="433" t="s">
        <v>451</v>
      </c>
      <c r="M6" s="747" t="s">
        <v>451</v>
      </c>
      <c r="N6" s="433"/>
      <c r="O6" s="433"/>
      <c r="P6" s="433"/>
      <c r="Q6" s="433"/>
      <c r="R6" s="433"/>
      <c r="S6" s="746" t="s">
        <v>623</v>
      </c>
      <c r="T6" s="433" t="s">
        <v>623</v>
      </c>
      <c r="U6" s="433" t="s">
        <v>623</v>
      </c>
      <c r="V6" s="433" t="s">
        <v>500</v>
      </c>
      <c r="W6" s="433" t="s">
        <v>451</v>
      </c>
      <c r="X6" s="433" t="s">
        <v>500</v>
      </c>
      <c r="Y6" s="747" t="s">
        <v>451</v>
      </c>
      <c r="AA6" s="602"/>
      <c r="AI6" s="67">
        <v>4</v>
      </c>
      <c r="AJ6" s="496" t="s">
        <v>592</v>
      </c>
      <c r="AK6" s="496" t="s">
        <v>593</v>
      </c>
      <c r="AL6" s="496">
        <v>6948486899</v>
      </c>
      <c r="AM6" s="883" t="s">
        <v>594</v>
      </c>
      <c r="AN6" s="496" t="s">
        <v>586</v>
      </c>
      <c r="AO6" s="496" t="s">
        <v>457</v>
      </c>
      <c r="AP6" s="496"/>
      <c r="AQ6" s="886"/>
      <c r="AR6" s="886"/>
      <c r="AS6" s="886"/>
      <c r="AT6" s="886"/>
      <c r="AU6" s="886"/>
      <c r="AV6" s="887" t="s">
        <v>599</v>
      </c>
      <c r="AW6" s="894"/>
      <c r="AX6" s="894"/>
      <c r="AY6" s="945"/>
      <c r="AZ6" s="945"/>
      <c r="BA6" s="945"/>
    </row>
    <row r="7" spans="1:53" ht="35.25" customHeight="1">
      <c r="A7" s="540">
        <v>5</v>
      </c>
      <c r="B7" s="3" t="s">
        <v>447</v>
      </c>
      <c r="G7" s="541"/>
      <c r="H7" s="746" t="s">
        <v>3222</v>
      </c>
      <c r="I7" s="433" t="s">
        <v>3222</v>
      </c>
      <c r="J7" s="433" t="s">
        <v>451</v>
      </c>
      <c r="K7" s="433" t="s">
        <v>451</v>
      </c>
      <c r="L7" s="433" t="s">
        <v>451</v>
      </c>
      <c r="M7" s="747" t="s">
        <v>451</v>
      </c>
      <c r="N7" s="433"/>
      <c r="O7" s="433"/>
      <c r="P7" s="433"/>
      <c r="Q7" s="433"/>
      <c r="R7" s="433"/>
      <c r="S7" s="746" t="s">
        <v>623</v>
      </c>
      <c r="T7" s="433" t="s">
        <v>623</v>
      </c>
      <c r="U7" s="433" t="s">
        <v>623</v>
      </c>
      <c r="V7" s="433" t="s">
        <v>500</v>
      </c>
      <c r="W7" s="433" t="s">
        <v>451</v>
      </c>
      <c r="X7" s="433" t="s">
        <v>500</v>
      </c>
      <c r="Y7" s="747" t="s">
        <v>451</v>
      </c>
      <c r="AA7" s="602"/>
      <c r="AI7" s="67">
        <v>5</v>
      </c>
      <c r="AJ7" s="496" t="s">
        <v>452</v>
      </c>
      <c r="AK7" s="496" t="s">
        <v>453</v>
      </c>
      <c r="AL7" s="496" t="s">
        <v>454</v>
      </c>
      <c r="AM7" s="883" t="s">
        <v>455</v>
      </c>
      <c r="AN7" s="496" t="s">
        <v>456</v>
      </c>
      <c r="AO7" s="496" t="s">
        <v>457</v>
      </c>
      <c r="AP7" s="496"/>
      <c r="AQ7" s="886"/>
      <c r="AR7" s="886"/>
      <c r="AS7" s="886"/>
      <c r="AT7" s="886"/>
      <c r="AU7" s="886"/>
      <c r="AV7" s="887" t="s">
        <v>458</v>
      </c>
      <c r="AW7" s="893"/>
      <c r="AX7" s="893"/>
      <c r="AY7" s="944"/>
      <c r="AZ7" s="944"/>
      <c r="BA7" s="944"/>
    </row>
    <row r="8" spans="1:53" ht="35.25" customHeight="1">
      <c r="A8" s="540">
        <v>6</v>
      </c>
      <c r="B8" s="3" t="s">
        <v>447</v>
      </c>
      <c r="G8" s="541"/>
      <c r="H8" s="746" t="s">
        <v>3222</v>
      </c>
      <c r="I8" s="433" t="s">
        <v>3222</v>
      </c>
      <c r="J8" s="433" t="s">
        <v>451</v>
      </c>
      <c r="K8" s="433" t="s">
        <v>451</v>
      </c>
      <c r="L8" s="433" t="s">
        <v>451</v>
      </c>
      <c r="M8" s="747" t="s">
        <v>451</v>
      </c>
      <c r="N8" s="433"/>
      <c r="O8" s="433"/>
      <c r="P8" s="433"/>
      <c r="Q8" s="433"/>
      <c r="R8" s="433"/>
      <c r="S8" s="746" t="s">
        <v>623</v>
      </c>
      <c r="T8" s="433" t="s">
        <v>623</v>
      </c>
      <c r="U8" s="433" t="s">
        <v>623</v>
      </c>
      <c r="V8" s="433" t="s">
        <v>500</v>
      </c>
      <c r="W8" s="433" t="s">
        <v>451</v>
      </c>
      <c r="X8" s="433" t="s">
        <v>500</v>
      </c>
      <c r="Y8" s="747" t="s">
        <v>451</v>
      </c>
      <c r="AA8" s="602"/>
      <c r="AI8" s="67">
        <v>6</v>
      </c>
      <c r="AJ8" s="496" t="s">
        <v>539</v>
      </c>
      <c r="AK8" s="496" t="s">
        <v>540</v>
      </c>
      <c r="AL8" s="496">
        <v>6972089035</v>
      </c>
      <c r="AM8" s="883" t="s">
        <v>541</v>
      </c>
      <c r="AN8" s="496" t="s">
        <v>499</v>
      </c>
      <c r="AO8" s="496" t="s">
        <v>457</v>
      </c>
      <c r="AP8" s="496"/>
      <c r="AQ8" s="886"/>
      <c r="AR8" s="886"/>
      <c r="AS8" s="886"/>
      <c r="AT8" s="886"/>
      <c r="AU8" s="886"/>
      <c r="AV8" s="887" t="s">
        <v>543</v>
      </c>
      <c r="AW8" s="893"/>
      <c r="AX8" s="893"/>
      <c r="AY8" s="944"/>
      <c r="AZ8" s="944"/>
      <c r="BA8" s="944"/>
    </row>
    <row r="9" spans="1:53" ht="28.5" customHeight="1">
      <c r="A9" s="540">
        <v>7</v>
      </c>
      <c r="B9" s="3" t="s">
        <v>447</v>
      </c>
      <c r="G9" s="541"/>
      <c r="H9" s="746" t="s">
        <v>3222</v>
      </c>
      <c r="I9" s="433" t="s">
        <v>3222</v>
      </c>
      <c r="J9" s="433" t="s">
        <v>451</v>
      </c>
      <c r="K9" s="433" t="s">
        <v>451</v>
      </c>
      <c r="L9" s="433" t="s">
        <v>451</v>
      </c>
      <c r="M9" s="747" t="s">
        <v>451</v>
      </c>
      <c r="N9" s="433"/>
      <c r="O9" s="433"/>
      <c r="P9" s="433"/>
      <c r="Q9" s="433"/>
      <c r="R9" s="433"/>
      <c r="S9" s="746" t="s">
        <v>623</v>
      </c>
      <c r="T9" s="433" t="s">
        <v>623</v>
      </c>
      <c r="U9" s="433" t="s">
        <v>623</v>
      </c>
      <c r="V9" s="433" t="s">
        <v>500</v>
      </c>
      <c r="W9" s="433" t="s">
        <v>451</v>
      </c>
      <c r="X9" s="433" t="s">
        <v>500</v>
      </c>
      <c r="Y9" s="747" t="s">
        <v>451</v>
      </c>
      <c r="AA9" s="602"/>
      <c r="AI9" s="67">
        <v>7</v>
      </c>
      <c r="AJ9" s="496" t="s">
        <v>557</v>
      </c>
      <c r="AK9" s="496" t="s">
        <v>558</v>
      </c>
      <c r="AL9" s="496">
        <v>6945452188</v>
      </c>
      <c r="AM9" s="883" t="s">
        <v>559</v>
      </c>
      <c r="AN9" s="496" t="s">
        <v>560</v>
      </c>
      <c r="AO9" s="496" t="s">
        <v>457</v>
      </c>
      <c r="AP9" s="496"/>
      <c r="AQ9" s="886"/>
      <c r="AR9" s="886"/>
      <c r="AS9" s="886"/>
      <c r="AT9" s="886"/>
      <c r="AU9" s="886"/>
      <c r="AV9" s="887" t="s">
        <v>564</v>
      </c>
      <c r="AW9" s="895"/>
      <c r="AX9" s="895"/>
      <c r="AY9" s="946"/>
      <c r="AZ9" s="946"/>
      <c r="BA9" s="946"/>
    </row>
    <row r="10" spans="1:53" ht="18" customHeight="1">
      <c r="A10" s="540">
        <v>8</v>
      </c>
      <c r="B10" s="3" t="s">
        <v>447</v>
      </c>
      <c r="G10" s="541"/>
      <c r="H10" s="746" t="s">
        <v>3222</v>
      </c>
      <c r="I10" s="433" t="s">
        <v>3222</v>
      </c>
      <c r="J10" s="433" t="s">
        <v>451</v>
      </c>
      <c r="K10" s="433" t="s">
        <v>451</v>
      </c>
      <c r="L10" s="433" t="s">
        <v>451</v>
      </c>
      <c r="M10" s="747" t="s">
        <v>451</v>
      </c>
      <c r="N10" s="433"/>
      <c r="O10" s="433"/>
      <c r="P10" s="433"/>
      <c r="Q10" s="433"/>
      <c r="R10" s="433"/>
      <c r="S10" s="746" t="s">
        <v>623</v>
      </c>
      <c r="T10" s="433" t="s">
        <v>623</v>
      </c>
      <c r="U10" s="433" t="s">
        <v>623</v>
      </c>
      <c r="V10" s="433" t="s">
        <v>500</v>
      </c>
      <c r="W10" s="433" t="s">
        <v>451</v>
      </c>
      <c r="X10" s="433" t="s">
        <v>500</v>
      </c>
      <c r="Y10" s="747" t="s">
        <v>451</v>
      </c>
      <c r="AA10" s="602"/>
      <c r="AI10" s="67">
        <v>8</v>
      </c>
      <c r="AJ10" s="496" t="s">
        <v>2763</v>
      </c>
      <c r="AK10" s="496" t="s">
        <v>2764</v>
      </c>
      <c r="AL10" s="496">
        <v>6937037501</v>
      </c>
      <c r="AM10" s="883" t="s">
        <v>2816</v>
      </c>
      <c r="AN10" s="496" t="s">
        <v>586</v>
      </c>
      <c r="AO10" s="496" t="s">
        <v>457</v>
      </c>
      <c r="AP10" s="496"/>
      <c r="AQ10" s="886"/>
      <c r="AR10" s="886"/>
      <c r="AS10" s="886"/>
      <c r="AT10" s="886"/>
      <c r="AU10" s="886"/>
      <c r="AV10" s="887" t="s">
        <v>3304</v>
      </c>
      <c r="AW10" s="895"/>
      <c r="AX10" s="895"/>
      <c r="AY10" s="946"/>
      <c r="AZ10" s="946"/>
      <c r="BA10" s="946"/>
    </row>
    <row r="11" spans="1:53" ht="19.5" customHeight="1">
      <c r="A11" s="540">
        <v>9</v>
      </c>
      <c r="B11" s="3" t="s">
        <v>447</v>
      </c>
      <c r="G11" s="541"/>
      <c r="H11" s="746" t="s">
        <v>3222</v>
      </c>
      <c r="I11" s="857" t="s">
        <v>3222</v>
      </c>
      <c r="J11" s="433" t="s">
        <v>451</v>
      </c>
      <c r="K11" s="433" t="s">
        <v>451</v>
      </c>
      <c r="L11" s="433" t="s">
        <v>451</v>
      </c>
      <c r="M11" s="747" t="s">
        <v>451</v>
      </c>
      <c r="N11" s="433"/>
      <c r="O11" s="433"/>
      <c r="P11" s="433"/>
      <c r="Q11" s="433"/>
      <c r="R11" s="433"/>
      <c r="S11" s="746" t="s">
        <v>623</v>
      </c>
      <c r="T11" s="857" t="s">
        <v>623</v>
      </c>
      <c r="U11" s="433" t="s">
        <v>623</v>
      </c>
      <c r="V11" s="433" t="s">
        <v>500</v>
      </c>
      <c r="W11" s="433" t="s">
        <v>451</v>
      </c>
      <c r="X11" s="433" t="s">
        <v>500</v>
      </c>
      <c r="Y11" s="747" t="s">
        <v>451</v>
      </c>
      <c r="AA11" s="602"/>
      <c r="AI11" s="67">
        <v>9</v>
      </c>
      <c r="AJ11" s="496" t="s">
        <v>3231</v>
      </c>
      <c r="AK11" s="496" t="s">
        <v>3232</v>
      </c>
      <c r="AL11" s="496">
        <v>6939160280</v>
      </c>
      <c r="AM11" s="883" t="s">
        <v>3230</v>
      </c>
      <c r="AN11" s="496" t="s">
        <v>586</v>
      </c>
      <c r="AO11" s="496" t="s">
        <v>457</v>
      </c>
      <c r="AP11" s="496"/>
      <c r="AQ11" s="886"/>
      <c r="AR11" s="886"/>
      <c r="AS11" s="886"/>
      <c r="AT11" s="886"/>
      <c r="AU11" s="886"/>
      <c r="AV11" s="887" t="s">
        <v>3321</v>
      </c>
      <c r="AW11" s="895"/>
      <c r="AX11" s="895"/>
      <c r="AY11" s="946"/>
      <c r="AZ11" s="946"/>
      <c r="BA11" s="946"/>
    </row>
    <row r="12" spans="1:53" ht="18.75" customHeight="1" thickBot="1">
      <c r="A12" s="558">
        <v>10</v>
      </c>
      <c r="B12" s="559" t="s">
        <v>447</v>
      </c>
      <c r="C12" s="559"/>
      <c r="D12" s="559"/>
      <c r="E12" s="559"/>
      <c r="F12" s="559"/>
      <c r="G12" s="560"/>
      <c r="H12" s="748">
        <v>5</v>
      </c>
      <c r="I12" s="749" t="s">
        <v>3222</v>
      </c>
      <c r="J12" s="749">
        <v>9</v>
      </c>
      <c r="K12" s="749">
        <v>9</v>
      </c>
      <c r="L12" s="749">
        <v>9</v>
      </c>
      <c r="M12" s="750">
        <v>9</v>
      </c>
      <c r="N12" s="433"/>
      <c r="O12" s="433"/>
      <c r="P12" s="433"/>
      <c r="Q12" s="433"/>
      <c r="R12" s="433"/>
      <c r="S12" s="748" t="s">
        <v>623</v>
      </c>
      <c r="T12" s="749" t="s">
        <v>623</v>
      </c>
      <c r="U12" s="749" t="s">
        <v>623</v>
      </c>
      <c r="V12" s="749" t="s">
        <v>500</v>
      </c>
      <c r="W12" s="749" t="s">
        <v>451</v>
      </c>
      <c r="X12" s="749" t="s">
        <v>500</v>
      </c>
      <c r="Y12" s="750" t="s">
        <v>451</v>
      </c>
      <c r="AA12" s="602"/>
      <c r="AI12" s="67">
        <v>10</v>
      </c>
      <c r="AJ12" s="496" t="s">
        <v>547</v>
      </c>
      <c r="AK12" s="496" t="s">
        <v>548</v>
      </c>
      <c r="AL12" s="496">
        <v>6977586273</v>
      </c>
      <c r="AM12" s="883" t="s">
        <v>549</v>
      </c>
      <c r="AN12" s="496" t="s">
        <v>499</v>
      </c>
      <c r="AO12" s="496" t="s">
        <v>457</v>
      </c>
      <c r="AP12" s="496"/>
      <c r="AQ12" s="886"/>
      <c r="AR12" s="886"/>
      <c r="AS12" s="886"/>
      <c r="AT12" s="886"/>
      <c r="AU12" s="886"/>
      <c r="AV12" s="887" t="s">
        <v>552</v>
      </c>
      <c r="AW12" s="893"/>
      <c r="AX12" s="893"/>
      <c r="AY12" s="944"/>
      <c r="AZ12" s="944"/>
      <c r="BA12" s="944"/>
    </row>
    <row r="13" spans="1:53" s="458" customFormat="1" ht="15.75" customHeight="1" thickTop="1" thickBot="1">
      <c r="A13" s="3"/>
      <c r="B13" s="3"/>
      <c r="C13" s="3"/>
      <c r="D13" s="3"/>
      <c r="E13" s="3"/>
      <c r="F13" s="523"/>
      <c r="G13" s="3"/>
      <c r="H13" s="599"/>
      <c r="I13" s="600"/>
      <c r="J13" s="598"/>
      <c r="K13" s="598"/>
      <c r="L13" s="598"/>
      <c r="M13" s="598"/>
      <c r="N13" s="598"/>
      <c r="O13" s="598"/>
      <c r="P13" s="598"/>
      <c r="Q13" s="598"/>
      <c r="R13" s="598"/>
      <c r="S13" s="599"/>
      <c r="T13" s="600"/>
      <c r="U13" s="598"/>
      <c r="V13" s="598"/>
      <c r="W13" s="598"/>
      <c r="X13" s="598"/>
      <c r="Y13" s="598"/>
      <c r="Z13" s="598"/>
      <c r="AA13" s="602"/>
      <c r="AI13" s="898">
        <v>11</v>
      </c>
      <c r="AJ13" s="888" t="s">
        <v>619</v>
      </c>
      <c r="AK13" s="888" t="s">
        <v>620</v>
      </c>
      <c r="AL13" s="888">
        <v>6983756076</v>
      </c>
      <c r="AM13" s="889" t="s">
        <v>621</v>
      </c>
      <c r="AN13" s="888" t="s">
        <v>622</v>
      </c>
      <c r="AO13" s="888" t="s">
        <v>477</v>
      </c>
      <c r="AP13" s="888"/>
      <c r="AQ13" s="890"/>
      <c r="AR13" s="890"/>
      <c r="AS13" s="890"/>
      <c r="AT13" s="890"/>
      <c r="AU13" s="890"/>
      <c r="AV13" s="891" t="s">
        <v>624</v>
      </c>
      <c r="AW13" s="896"/>
      <c r="AX13" s="896"/>
      <c r="AY13" s="947"/>
      <c r="AZ13" s="947"/>
      <c r="BA13" s="947"/>
    </row>
    <row r="14" spans="1:53" s="458" customFormat="1" ht="46.5" customHeight="1" thickTop="1" thickBot="1">
      <c r="A14" s="568" t="s">
        <v>424</v>
      </c>
      <c r="B14" s="569" t="s">
        <v>425</v>
      </c>
      <c r="C14" s="569" t="s">
        <v>426</v>
      </c>
      <c r="D14" s="569" t="s">
        <v>427</v>
      </c>
      <c r="E14" s="569" t="s">
        <v>3337</v>
      </c>
      <c r="F14" s="569" t="s">
        <v>502</v>
      </c>
      <c r="G14" s="570" t="s">
        <v>429</v>
      </c>
      <c r="H14" s="1009" t="s">
        <v>503</v>
      </c>
      <c r="I14" s="1010" t="s">
        <v>504</v>
      </c>
      <c r="J14" s="1011" t="s">
        <v>505</v>
      </c>
      <c r="K14" s="1010" t="s">
        <v>506</v>
      </c>
      <c r="L14" s="1010" t="s">
        <v>507</v>
      </c>
      <c r="M14" s="1012" t="s">
        <v>508</v>
      </c>
      <c r="N14" s="873"/>
      <c r="O14" s="873"/>
      <c r="P14" s="873"/>
      <c r="Q14" s="873"/>
      <c r="R14" s="873"/>
      <c r="S14" s="1032" t="s">
        <v>3364</v>
      </c>
      <c r="T14" s="1010" t="s">
        <v>1163</v>
      </c>
      <c r="U14" s="1010" t="s">
        <v>3365</v>
      </c>
      <c r="V14" s="1010" t="s">
        <v>1181</v>
      </c>
      <c r="W14" s="1012" t="s">
        <v>1156</v>
      </c>
      <c r="X14" s="598"/>
      <c r="Y14" s="598"/>
      <c r="Z14" s="602"/>
      <c r="AI14" s="898">
        <v>12</v>
      </c>
      <c r="AJ14" s="888" t="s">
        <v>509</v>
      </c>
      <c r="AK14" s="888" t="s">
        <v>510</v>
      </c>
      <c r="AL14" s="888" t="s">
        <v>511</v>
      </c>
      <c r="AM14" s="889" t="s">
        <v>512</v>
      </c>
      <c r="AN14" s="888" t="s">
        <v>499</v>
      </c>
      <c r="AO14" s="888" t="s">
        <v>477</v>
      </c>
      <c r="AP14" s="888"/>
      <c r="AQ14" s="890"/>
      <c r="AR14" s="890"/>
      <c r="AS14" s="890"/>
      <c r="AT14" s="890"/>
      <c r="AU14" s="890"/>
      <c r="AV14" s="891" t="s">
        <v>469</v>
      </c>
      <c r="AW14" s="896"/>
      <c r="AX14" s="896"/>
      <c r="AY14" s="947"/>
      <c r="AZ14" s="947"/>
      <c r="BA14" s="947"/>
    </row>
    <row r="15" spans="1:53" s="458" customFormat="1" ht="15.75" customHeight="1" thickTop="1">
      <c r="A15" s="1008">
        <v>1</v>
      </c>
      <c r="B15" s="3" t="s">
        <v>516</v>
      </c>
      <c r="C15" s="3" t="s">
        <v>448</v>
      </c>
      <c r="D15" s="3" t="s">
        <v>449</v>
      </c>
      <c r="E15" s="3">
        <v>59</v>
      </c>
      <c r="F15" s="1007" t="s">
        <v>3312</v>
      </c>
      <c r="G15" s="544">
        <v>6951957501</v>
      </c>
      <c r="H15" s="739" t="s">
        <v>3222</v>
      </c>
      <c r="I15" s="740" t="s">
        <v>3222</v>
      </c>
      <c r="J15" s="740" t="s">
        <v>451</v>
      </c>
      <c r="K15" s="740">
        <v>7</v>
      </c>
      <c r="L15" s="433" t="s">
        <v>3619</v>
      </c>
      <c r="M15" s="741" t="s">
        <v>451</v>
      </c>
      <c r="N15" s="433"/>
      <c r="O15" s="433"/>
      <c r="P15" s="433"/>
      <c r="Q15" s="433"/>
      <c r="R15" s="433"/>
      <c r="S15" s="858" t="s">
        <v>623</v>
      </c>
      <c r="T15" s="859" t="s">
        <v>500</v>
      </c>
      <c r="U15" s="859" t="s">
        <v>500</v>
      </c>
      <c r="V15" s="859" t="s">
        <v>562</v>
      </c>
      <c r="W15" s="741" t="s">
        <v>562</v>
      </c>
      <c r="X15" s="598"/>
      <c r="Y15" s="598"/>
      <c r="Z15" s="602"/>
      <c r="AI15" s="898">
        <v>13</v>
      </c>
      <c r="AJ15" s="888" t="s">
        <v>522</v>
      </c>
      <c r="AK15" s="888" t="s">
        <v>523</v>
      </c>
      <c r="AL15" s="888" t="s">
        <v>524</v>
      </c>
      <c r="AM15" s="889" t="s">
        <v>525</v>
      </c>
      <c r="AN15" s="888" t="s">
        <v>499</v>
      </c>
      <c r="AO15" s="888" t="s">
        <v>477</v>
      </c>
      <c r="AP15" s="888"/>
      <c r="AQ15" s="890"/>
      <c r="AR15" s="890"/>
      <c r="AS15" s="890"/>
      <c r="AT15" s="890"/>
      <c r="AU15" s="890"/>
      <c r="AV15" s="891" t="s">
        <v>526</v>
      </c>
      <c r="AW15" s="896"/>
      <c r="AX15" s="896"/>
      <c r="AY15" s="947"/>
      <c r="AZ15" s="947"/>
      <c r="BA15" s="947"/>
    </row>
    <row r="16" spans="1:53" ht="16.5" customHeight="1">
      <c r="A16" s="543">
        <v>2</v>
      </c>
      <c r="B16" s="3" t="s">
        <v>516</v>
      </c>
      <c r="C16" s="3" t="s">
        <v>459</v>
      </c>
      <c r="D16" s="3" t="s">
        <v>460</v>
      </c>
      <c r="E16" s="3">
        <v>60</v>
      </c>
      <c r="F16" s="523" t="s">
        <v>461</v>
      </c>
      <c r="G16" s="544">
        <v>6993230075</v>
      </c>
      <c r="H16" s="859" t="s">
        <v>3222</v>
      </c>
      <c r="I16" s="859" t="s">
        <v>3222</v>
      </c>
      <c r="J16" s="859" t="s">
        <v>451</v>
      </c>
      <c r="K16" s="859" t="s">
        <v>3221</v>
      </c>
      <c r="L16" s="433" t="s">
        <v>3619</v>
      </c>
      <c r="M16" s="741" t="s">
        <v>451</v>
      </c>
      <c r="N16" s="433"/>
      <c r="O16" s="433"/>
      <c r="P16" s="433"/>
      <c r="Q16" s="433"/>
      <c r="R16" s="433"/>
      <c r="S16" s="858" t="s">
        <v>623</v>
      </c>
      <c r="T16" s="859" t="s">
        <v>500</v>
      </c>
      <c r="U16" s="859" t="s">
        <v>500</v>
      </c>
      <c r="V16" s="859" t="s">
        <v>562</v>
      </c>
      <c r="W16" s="741" t="s">
        <v>562</v>
      </c>
      <c r="Z16" s="602"/>
      <c r="AA16"/>
      <c r="AI16" s="898">
        <v>14</v>
      </c>
      <c r="AJ16" s="888" t="s">
        <v>486</v>
      </c>
      <c r="AK16" s="888" t="s">
        <v>475</v>
      </c>
      <c r="AL16" s="888">
        <v>6955951660</v>
      </c>
      <c r="AM16" s="889" t="s">
        <v>487</v>
      </c>
      <c r="AN16" s="888" t="s">
        <v>456</v>
      </c>
      <c r="AO16" s="888" t="s">
        <v>477</v>
      </c>
      <c r="AP16" s="888"/>
      <c r="AQ16" s="890"/>
      <c r="AR16" s="890"/>
      <c r="AS16" s="890"/>
      <c r="AT16" s="890"/>
      <c r="AU16" s="890"/>
      <c r="AV16" s="891" t="s">
        <v>488</v>
      </c>
      <c r="AW16" s="896"/>
      <c r="AX16" s="896"/>
      <c r="AY16" s="947"/>
      <c r="AZ16" s="947"/>
      <c r="BA16" s="947"/>
    </row>
    <row r="17" spans="1:53">
      <c r="A17" s="543">
        <v>3</v>
      </c>
      <c r="B17" s="3" t="s">
        <v>516</v>
      </c>
      <c r="C17" s="3" t="s">
        <v>470</v>
      </c>
      <c r="D17" s="3" t="s">
        <v>471</v>
      </c>
      <c r="E17" s="3">
        <v>58</v>
      </c>
      <c r="F17" s="523" t="s">
        <v>472</v>
      </c>
      <c r="G17" s="544">
        <v>6988403440</v>
      </c>
      <c r="H17" s="859" t="s">
        <v>3222</v>
      </c>
      <c r="I17" s="859" t="s">
        <v>3222</v>
      </c>
      <c r="J17" s="859" t="s">
        <v>451</v>
      </c>
      <c r="K17" s="859" t="s">
        <v>3221</v>
      </c>
      <c r="L17" s="433" t="s">
        <v>3619</v>
      </c>
      <c r="M17" s="741" t="s">
        <v>451</v>
      </c>
      <c r="N17" s="433"/>
      <c r="O17" s="433"/>
      <c r="P17" s="433"/>
      <c r="Q17" s="433"/>
      <c r="R17" s="433"/>
      <c r="S17" s="858" t="s">
        <v>623</v>
      </c>
      <c r="T17" s="859" t="s">
        <v>500</v>
      </c>
      <c r="U17" s="859" t="s">
        <v>500</v>
      </c>
      <c r="V17" s="859" t="s">
        <v>562</v>
      </c>
      <c r="W17" s="741" t="s">
        <v>562</v>
      </c>
      <c r="Z17" s="602"/>
      <c r="AA17"/>
      <c r="AI17" s="898">
        <v>15</v>
      </c>
      <c r="AJ17" s="888" t="s">
        <v>3235</v>
      </c>
      <c r="AK17" s="888" t="s">
        <v>3236</v>
      </c>
      <c r="AL17" s="888">
        <v>6979641896</v>
      </c>
      <c r="AM17" s="889" t="s">
        <v>3237</v>
      </c>
      <c r="AN17" s="888" t="s">
        <v>456</v>
      </c>
      <c r="AO17" s="888" t="s">
        <v>477</v>
      </c>
      <c r="AP17" s="888"/>
      <c r="AQ17" s="890"/>
      <c r="AR17" s="890"/>
      <c r="AS17" s="890"/>
      <c r="AT17" s="890"/>
      <c r="AU17" s="890"/>
      <c r="AV17" s="891" t="s">
        <v>488</v>
      </c>
      <c r="AW17" s="896"/>
      <c r="AX17" s="896"/>
      <c r="AY17" s="947"/>
      <c r="AZ17" s="947"/>
      <c r="BA17" s="947"/>
    </row>
    <row r="18" spans="1:53" ht="16.5" customHeight="1">
      <c r="A18" s="543">
        <v>4</v>
      </c>
      <c r="B18" s="3" t="s">
        <v>516</v>
      </c>
      <c r="C18" s="3" t="s">
        <v>479</v>
      </c>
      <c r="D18" s="3" t="s">
        <v>480</v>
      </c>
      <c r="E18" s="3">
        <v>73</v>
      </c>
      <c r="F18" s="523" t="s">
        <v>481</v>
      </c>
      <c r="G18" s="544">
        <v>6984495182</v>
      </c>
      <c r="H18" s="859" t="s">
        <v>3222</v>
      </c>
      <c r="I18" s="859" t="s">
        <v>3222</v>
      </c>
      <c r="J18" s="859" t="s">
        <v>451</v>
      </c>
      <c r="K18" s="859" t="s">
        <v>3221</v>
      </c>
      <c r="L18" s="433" t="s">
        <v>3619</v>
      </c>
      <c r="M18" s="741" t="s">
        <v>451</v>
      </c>
      <c r="N18" s="433"/>
      <c r="O18" s="433"/>
      <c r="P18" s="433"/>
      <c r="Q18" s="433"/>
      <c r="R18" s="433"/>
      <c r="S18" s="858" t="s">
        <v>623</v>
      </c>
      <c r="T18" s="859" t="s">
        <v>500</v>
      </c>
      <c r="U18" s="859" t="s">
        <v>500</v>
      </c>
      <c r="V18" s="859" t="s">
        <v>562</v>
      </c>
      <c r="W18" s="741" t="s">
        <v>562</v>
      </c>
      <c r="Z18" s="602"/>
      <c r="AA18"/>
      <c r="AI18" s="898">
        <v>16</v>
      </c>
      <c r="AJ18" s="888" t="s">
        <v>3233</v>
      </c>
      <c r="AK18" s="888" t="s">
        <v>553</v>
      </c>
      <c r="AL18" s="888">
        <v>6989676442</v>
      </c>
      <c r="AM18" s="889" t="s">
        <v>3234</v>
      </c>
      <c r="AN18" s="888" t="s">
        <v>606</v>
      </c>
      <c r="AO18" s="888" t="s">
        <v>477</v>
      </c>
      <c r="AP18" s="888"/>
      <c r="AQ18" s="890"/>
      <c r="AR18" s="890"/>
      <c r="AS18" s="890"/>
      <c r="AT18" s="890"/>
      <c r="AU18" s="890"/>
      <c r="AV18" s="891" t="s">
        <v>3322</v>
      </c>
      <c r="AW18" s="896"/>
      <c r="AX18" s="896"/>
      <c r="AY18" s="947"/>
      <c r="AZ18" s="947"/>
      <c r="BA18" s="947"/>
    </row>
    <row r="19" spans="1:53" ht="15.75" thickBot="1">
      <c r="A19" s="561">
        <v>5</v>
      </c>
      <c r="B19" s="562" t="s">
        <v>516</v>
      </c>
      <c r="C19" s="562" t="s">
        <v>489</v>
      </c>
      <c r="D19" s="562" t="s">
        <v>490</v>
      </c>
      <c r="E19" s="562">
        <v>75</v>
      </c>
      <c r="F19" s="1013" t="s">
        <v>491</v>
      </c>
      <c r="G19" s="563">
        <v>6983006334</v>
      </c>
      <c r="H19" s="996" t="s">
        <v>3222</v>
      </c>
      <c r="I19" s="996" t="s">
        <v>3222</v>
      </c>
      <c r="J19" s="996" t="s">
        <v>451</v>
      </c>
      <c r="K19" s="996" t="s">
        <v>3221</v>
      </c>
      <c r="L19" s="997" t="s">
        <v>3619</v>
      </c>
      <c r="M19" s="998" t="s">
        <v>451</v>
      </c>
      <c r="N19" s="433"/>
      <c r="O19" s="433"/>
      <c r="P19" s="433"/>
      <c r="Q19" s="433"/>
      <c r="R19" s="433"/>
      <c r="S19" s="995" t="s">
        <v>623</v>
      </c>
      <c r="T19" s="996" t="s">
        <v>500</v>
      </c>
      <c r="U19" s="996" t="s">
        <v>500</v>
      </c>
      <c r="V19" s="996" t="s">
        <v>562</v>
      </c>
      <c r="W19" s="998" t="s">
        <v>562</v>
      </c>
      <c r="Z19" s="602"/>
      <c r="AA19"/>
      <c r="AI19" s="898">
        <v>17</v>
      </c>
      <c r="AJ19" s="888" t="s">
        <v>611</v>
      </c>
      <c r="AK19" s="888" t="s">
        <v>612</v>
      </c>
      <c r="AL19" s="888">
        <v>6946047218</v>
      </c>
      <c r="AM19" s="889" t="s">
        <v>613</v>
      </c>
      <c r="AN19" s="888" t="s">
        <v>614</v>
      </c>
      <c r="AO19" s="888" t="s">
        <v>477</v>
      </c>
      <c r="AP19" s="888"/>
      <c r="AQ19" s="890"/>
      <c r="AR19" s="890"/>
      <c r="AS19" s="890"/>
      <c r="AT19" s="890"/>
      <c r="AU19" s="890"/>
      <c r="AV19" s="891" t="s">
        <v>469</v>
      </c>
      <c r="AW19" s="896"/>
      <c r="AX19" s="896"/>
      <c r="AY19" s="947"/>
      <c r="AZ19" s="947"/>
      <c r="BA19" s="947"/>
    </row>
    <row r="20" spans="1:53" ht="15.75" customHeight="1" thickTop="1" thickBot="1">
      <c r="B20" s="542"/>
      <c r="F20" s="523"/>
      <c r="I20" s="433"/>
      <c r="L20" s="598" t="s">
        <v>625</v>
      </c>
      <c r="T20" s="433"/>
      <c r="Z20" s="602"/>
      <c r="AA20"/>
      <c r="AI20" s="898">
        <v>18</v>
      </c>
      <c r="AJ20" s="888" t="s">
        <v>474</v>
      </c>
      <c r="AK20" s="888" t="s">
        <v>475</v>
      </c>
      <c r="AL20" s="888">
        <v>6973739823</v>
      </c>
      <c r="AM20" s="889" t="s">
        <v>476</v>
      </c>
      <c r="AN20" s="888" t="s">
        <v>456</v>
      </c>
      <c r="AO20" s="888" t="s">
        <v>477</v>
      </c>
      <c r="AP20" s="888"/>
      <c r="AQ20" s="890"/>
      <c r="AR20" s="890"/>
      <c r="AS20" s="890"/>
      <c r="AT20" s="890"/>
      <c r="AU20" s="890"/>
      <c r="AV20" s="891" t="s">
        <v>478</v>
      </c>
      <c r="AW20" s="896"/>
      <c r="AX20" s="896"/>
      <c r="AY20" s="947"/>
      <c r="AZ20" s="947"/>
      <c r="BA20" s="947"/>
    </row>
    <row r="21" spans="1:53" ht="15.75" customHeight="1" thickTop="1" thickBot="1">
      <c r="A21" s="573" t="s">
        <v>424</v>
      </c>
      <c r="B21" s="574" t="s">
        <v>425</v>
      </c>
      <c r="C21" s="574" t="s">
        <v>426</v>
      </c>
      <c r="D21" s="574" t="s">
        <v>427</v>
      </c>
      <c r="E21" s="574" t="s">
        <v>3337</v>
      </c>
      <c r="F21" s="574" t="s">
        <v>428</v>
      </c>
      <c r="G21" s="575" t="s">
        <v>429</v>
      </c>
      <c r="H21" s="1018" t="s">
        <v>626</v>
      </c>
      <c r="I21" s="1018" t="s">
        <v>627</v>
      </c>
      <c r="J21" s="1018" t="s">
        <v>628</v>
      </c>
      <c r="K21" s="1018" t="s">
        <v>629</v>
      </c>
      <c r="L21" s="1018" t="s">
        <v>630</v>
      </c>
      <c r="M21" s="1019" t="s">
        <v>631</v>
      </c>
      <c r="N21" s="873"/>
      <c r="O21" s="873"/>
      <c r="P21" s="873"/>
      <c r="Q21" s="873"/>
      <c r="R21" s="873"/>
      <c r="S21" s="1033" t="s">
        <v>1269</v>
      </c>
      <c r="T21" s="1018" t="s">
        <v>1284</v>
      </c>
      <c r="U21" s="1018" t="s">
        <v>632</v>
      </c>
      <c r="V21" s="1018" t="s">
        <v>3355</v>
      </c>
      <c r="W21" s="1018" t="s">
        <v>1279</v>
      </c>
      <c r="X21" s="1018" t="s">
        <v>3356</v>
      </c>
      <c r="Y21" s="1018" t="s">
        <v>3357</v>
      </c>
      <c r="Z21" s="1019" t="s">
        <v>3358</v>
      </c>
      <c r="AA21"/>
      <c r="AI21" s="898">
        <v>19</v>
      </c>
      <c r="AJ21" s="888" t="s">
        <v>3238</v>
      </c>
      <c r="AK21" s="888" t="s">
        <v>2448</v>
      </c>
      <c r="AL21" s="888">
        <v>6936771591</v>
      </c>
      <c r="AM21" s="889" t="s">
        <v>3239</v>
      </c>
      <c r="AN21" s="888" t="s">
        <v>456</v>
      </c>
      <c r="AO21" s="888" t="s">
        <v>477</v>
      </c>
      <c r="AP21" s="888"/>
      <c r="AQ21" s="890"/>
      <c r="AR21" s="890"/>
      <c r="AS21" s="890"/>
      <c r="AT21" s="890"/>
      <c r="AU21" s="890"/>
      <c r="AV21" s="891" t="s">
        <v>3311</v>
      </c>
      <c r="AW21" s="896"/>
      <c r="AX21" s="896"/>
      <c r="AY21" s="947"/>
      <c r="AZ21" s="947"/>
      <c r="BA21" s="947"/>
    </row>
    <row r="22" spans="1:53" ht="15.75" thickTop="1">
      <c r="A22" s="571">
        <v>1</v>
      </c>
      <c r="B22" s="3" t="s">
        <v>634</v>
      </c>
      <c r="F22" s="523"/>
      <c r="G22" s="572"/>
      <c r="H22" s="734" t="s">
        <v>451</v>
      </c>
      <c r="I22" s="735" t="s">
        <v>3222</v>
      </c>
      <c r="J22" s="735" t="s">
        <v>3222</v>
      </c>
      <c r="K22" s="735" t="s">
        <v>3222</v>
      </c>
      <c r="L22" s="735" t="s">
        <v>3222</v>
      </c>
      <c r="M22" s="860" t="s">
        <v>3221</v>
      </c>
      <c r="N22" s="433"/>
      <c r="O22" s="433"/>
      <c r="P22" s="433"/>
      <c r="Q22" s="433"/>
      <c r="R22" s="433"/>
      <c r="S22" s="734" t="s">
        <v>451</v>
      </c>
      <c r="T22" s="735" t="s">
        <v>623</v>
      </c>
      <c r="U22" s="735" t="s">
        <v>451</v>
      </c>
      <c r="V22" s="735" t="s">
        <v>623</v>
      </c>
      <c r="W22" s="735" t="s">
        <v>623</v>
      </c>
      <c r="X22" s="735" t="s">
        <v>623</v>
      </c>
      <c r="Y22" s="735" t="s">
        <v>500</v>
      </c>
      <c r="Z22" s="860" t="s">
        <v>623</v>
      </c>
      <c r="AA22"/>
      <c r="AI22" s="898">
        <v>20</v>
      </c>
      <c r="AJ22" s="888" t="s">
        <v>529</v>
      </c>
      <c r="AK22" s="888" t="s">
        <v>530</v>
      </c>
      <c r="AL22" s="888">
        <v>6976147069</v>
      </c>
      <c r="AM22" s="889" t="s">
        <v>531</v>
      </c>
      <c r="AN22" s="888" t="s">
        <v>499</v>
      </c>
      <c r="AO22" s="888" t="s">
        <v>477</v>
      </c>
      <c r="AP22" s="888"/>
      <c r="AQ22" s="890"/>
      <c r="AR22" s="890"/>
      <c r="AS22" s="890"/>
      <c r="AT22" s="890"/>
      <c r="AU22" s="890"/>
      <c r="AV22" s="891" t="s">
        <v>532</v>
      </c>
      <c r="AW22" s="896"/>
      <c r="AX22" s="896"/>
      <c r="AY22" s="947"/>
      <c r="AZ22" s="947"/>
      <c r="BA22" s="947"/>
    </row>
    <row r="23" spans="1:53" ht="16.5" customHeight="1">
      <c r="A23" s="571">
        <v>2</v>
      </c>
      <c r="B23" s="3" t="s">
        <v>634</v>
      </c>
      <c r="F23" s="523"/>
      <c r="G23" s="572"/>
      <c r="H23" s="736">
        <v>9</v>
      </c>
      <c r="I23" s="433" t="s">
        <v>3222</v>
      </c>
      <c r="J23" s="433" t="s">
        <v>3222</v>
      </c>
      <c r="K23" s="433" t="s">
        <v>3222</v>
      </c>
      <c r="L23" s="433" t="s">
        <v>3222</v>
      </c>
      <c r="M23" s="861" t="s">
        <v>3221</v>
      </c>
      <c r="N23" s="433"/>
      <c r="O23" s="433"/>
      <c r="P23" s="433"/>
      <c r="Q23" s="433"/>
      <c r="R23" s="433"/>
      <c r="S23" s="736" t="s">
        <v>451</v>
      </c>
      <c r="T23" s="433" t="s">
        <v>623</v>
      </c>
      <c r="U23" s="433" t="s">
        <v>451</v>
      </c>
      <c r="V23" s="433" t="s">
        <v>623</v>
      </c>
      <c r="W23" s="433" t="s">
        <v>623</v>
      </c>
      <c r="X23" s="433" t="s">
        <v>623</v>
      </c>
      <c r="Y23" s="433" t="s">
        <v>500</v>
      </c>
      <c r="Z23" s="861" t="s">
        <v>623</v>
      </c>
      <c r="AA23"/>
      <c r="AI23" s="898">
        <v>21</v>
      </c>
      <c r="AJ23" s="888" t="s">
        <v>486</v>
      </c>
      <c r="AK23" s="888" t="s">
        <v>475</v>
      </c>
      <c r="AL23" s="888">
        <v>6955951660</v>
      </c>
      <c r="AM23" s="889" t="s">
        <v>487</v>
      </c>
      <c r="AN23" s="888" t="s">
        <v>456</v>
      </c>
      <c r="AO23" s="888" t="s">
        <v>477</v>
      </c>
      <c r="AP23" s="888"/>
      <c r="AQ23" s="890"/>
      <c r="AR23" s="890"/>
      <c r="AS23" s="890"/>
      <c r="AT23" s="890"/>
      <c r="AU23" s="890"/>
      <c r="AV23" s="891" t="s">
        <v>488</v>
      </c>
      <c r="AW23" s="896"/>
      <c r="AX23" s="896"/>
      <c r="AY23" s="947"/>
      <c r="AZ23" s="947"/>
      <c r="BA23" s="947"/>
    </row>
    <row r="24" spans="1:53">
      <c r="A24" s="571">
        <v>3</v>
      </c>
      <c r="B24" s="3" t="s">
        <v>634</v>
      </c>
      <c r="F24" s="523"/>
      <c r="G24" s="572"/>
      <c r="H24" s="736" t="s">
        <v>451</v>
      </c>
      <c r="I24" s="433" t="s">
        <v>3222</v>
      </c>
      <c r="J24" s="433" t="s">
        <v>3222</v>
      </c>
      <c r="K24" s="433" t="s">
        <v>3222</v>
      </c>
      <c r="L24" s="433" t="s">
        <v>3222</v>
      </c>
      <c r="M24" s="861" t="s">
        <v>3221</v>
      </c>
      <c r="N24" s="433"/>
      <c r="O24" s="433"/>
      <c r="P24" s="433"/>
      <c r="Q24" s="433"/>
      <c r="R24" s="433"/>
      <c r="S24" s="736" t="s">
        <v>451</v>
      </c>
      <c r="T24" s="433" t="s">
        <v>623</v>
      </c>
      <c r="U24" s="433" t="s">
        <v>451</v>
      </c>
      <c r="V24" s="433" t="s">
        <v>623</v>
      </c>
      <c r="W24" s="433" t="s">
        <v>623</v>
      </c>
      <c r="X24" s="1021" t="s">
        <v>623</v>
      </c>
      <c r="Y24" s="1021" t="s">
        <v>500</v>
      </c>
      <c r="Z24" s="1020" t="s">
        <v>623</v>
      </c>
      <c r="AA24"/>
      <c r="AI24" s="898">
        <v>22</v>
      </c>
      <c r="AJ24" s="888" t="s">
        <v>3235</v>
      </c>
      <c r="AK24" s="888" t="s">
        <v>3236</v>
      </c>
      <c r="AL24" s="888">
        <v>6979641896</v>
      </c>
      <c r="AM24" s="889" t="s">
        <v>3237</v>
      </c>
      <c r="AN24" s="888" t="s">
        <v>456</v>
      </c>
      <c r="AO24" s="888" t="s">
        <v>477</v>
      </c>
      <c r="AP24" s="888"/>
      <c r="AQ24" s="890"/>
      <c r="AR24" s="890"/>
      <c r="AS24" s="890"/>
      <c r="AT24" s="890"/>
      <c r="AU24" s="890"/>
      <c r="AV24" s="891" t="s">
        <v>488</v>
      </c>
      <c r="AW24" s="896"/>
      <c r="AX24" s="896"/>
      <c r="AY24" s="947"/>
      <c r="AZ24" s="947"/>
      <c r="BA24" s="947"/>
    </row>
    <row r="25" spans="1:53" ht="17.25" customHeight="1">
      <c r="A25" s="571">
        <v>4</v>
      </c>
      <c r="B25" s="3" t="s">
        <v>634</v>
      </c>
      <c r="F25" s="523"/>
      <c r="G25" s="572"/>
      <c r="H25" s="736" t="s">
        <v>451</v>
      </c>
      <c r="I25" s="433" t="s">
        <v>3222</v>
      </c>
      <c r="J25" s="433" t="s">
        <v>3222</v>
      </c>
      <c r="K25" s="433" t="s">
        <v>3222</v>
      </c>
      <c r="L25" s="433" t="s">
        <v>3222</v>
      </c>
      <c r="M25" s="861">
        <v>7</v>
      </c>
      <c r="N25" s="433"/>
      <c r="O25" s="433"/>
      <c r="P25" s="433"/>
      <c r="Q25" s="433"/>
      <c r="R25" s="433"/>
      <c r="S25" s="736" t="s">
        <v>451</v>
      </c>
      <c r="T25" s="433" t="s">
        <v>623</v>
      </c>
      <c r="U25" s="433" t="s">
        <v>451</v>
      </c>
      <c r="V25" s="433" t="s">
        <v>623</v>
      </c>
      <c r="W25" s="433" t="s">
        <v>623</v>
      </c>
      <c r="X25" s="1021" t="s">
        <v>623</v>
      </c>
      <c r="Y25" s="1021" t="s">
        <v>500</v>
      </c>
      <c r="Z25" s="1020" t="s">
        <v>623</v>
      </c>
      <c r="AA25"/>
      <c r="AI25" s="898">
        <v>23</v>
      </c>
      <c r="AJ25" s="888" t="s">
        <v>3233</v>
      </c>
      <c r="AK25" s="888" t="s">
        <v>553</v>
      </c>
      <c r="AL25" s="888">
        <v>6989676442</v>
      </c>
      <c r="AM25" s="889" t="s">
        <v>3234</v>
      </c>
      <c r="AN25" s="888" t="s">
        <v>606</v>
      </c>
      <c r="AO25" s="888" t="s">
        <v>477</v>
      </c>
      <c r="AP25" s="888"/>
      <c r="AQ25" s="890"/>
      <c r="AR25" s="890"/>
      <c r="AS25" s="890"/>
      <c r="AT25" s="890"/>
      <c r="AU25" s="890"/>
      <c r="AV25" s="891" t="s">
        <v>3322</v>
      </c>
      <c r="AW25" s="896"/>
      <c r="AX25" s="896"/>
      <c r="AY25" s="947"/>
      <c r="AZ25" s="947"/>
      <c r="BA25" s="947"/>
    </row>
    <row r="26" spans="1:53" ht="17.25" customHeight="1">
      <c r="A26" s="571">
        <v>5</v>
      </c>
      <c r="B26" s="3" t="s">
        <v>634</v>
      </c>
      <c r="F26" s="523"/>
      <c r="G26" s="572"/>
      <c r="H26" s="736" t="s">
        <v>451</v>
      </c>
      <c r="I26" s="433" t="s">
        <v>3222</v>
      </c>
      <c r="J26" s="433">
        <v>5</v>
      </c>
      <c r="K26" s="433" t="s">
        <v>3222</v>
      </c>
      <c r="L26" s="433" t="s">
        <v>3222</v>
      </c>
      <c r="M26" s="861">
        <v>7</v>
      </c>
      <c r="N26" s="433"/>
      <c r="O26" s="433"/>
      <c r="P26" s="433"/>
      <c r="Q26" s="433"/>
      <c r="R26" s="433"/>
      <c r="S26" s="736" t="s">
        <v>451</v>
      </c>
      <c r="T26" s="433" t="s">
        <v>623</v>
      </c>
      <c r="U26" s="433" t="s">
        <v>451</v>
      </c>
      <c r="V26" s="433" t="s">
        <v>623</v>
      </c>
      <c r="W26" s="433" t="s">
        <v>623</v>
      </c>
      <c r="X26" s="1021" t="s">
        <v>623</v>
      </c>
      <c r="Y26" s="1021" t="s">
        <v>500</v>
      </c>
      <c r="Z26" s="1020" t="s">
        <v>623</v>
      </c>
      <c r="AA26"/>
      <c r="AI26" s="898">
        <v>24</v>
      </c>
      <c r="AJ26" s="888" t="s">
        <v>611</v>
      </c>
      <c r="AK26" s="888" t="s">
        <v>612</v>
      </c>
      <c r="AL26" s="888">
        <v>6946047218</v>
      </c>
      <c r="AM26" s="889" t="s">
        <v>613</v>
      </c>
      <c r="AN26" s="888" t="s">
        <v>614</v>
      </c>
      <c r="AO26" s="888" t="s">
        <v>477</v>
      </c>
      <c r="AP26" s="888"/>
      <c r="AQ26" s="890"/>
      <c r="AR26" s="890"/>
      <c r="AS26" s="890"/>
      <c r="AT26" s="890"/>
      <c r="AU26" s="890"/>
      <c r="AV26" s="891" t="s">
        <v>469</v>
      </c>
      <c r="AW26" s="896"/>
      <c r="AX26" s="896"/>
      <c r="AY26" s="947"/>
      <c r="AZ26" s="947"/>
      <c r="BA26" s="947"/>
    </row>
    <row r="27" spans="1:53">
      <c r="A27" s="571">
        <v>6</v>
      </c>
      <c r="B27" s="3" t="s">
        <v>634</v>
      </c>
      <c r="F27" s="523"/>
      <c r="G27" s="572"/>
      <c r="H27" s="736" t="s">
        <v>451</v>
      </c>
      <c r="I27" s="433" t="s">
        <v>3222</v>
      </c>
      <c r="J27" s="433" t="s">
        <v>3222</v>
      </c>
      <c r="K27" s="433" t="s">
        <v>3222</v>
      </c>
      <c r="L27" s="433" t="s">
        <v>3222</v>
      </c>
      <c r="M27" s="861" t="s">
        <v>3221</v>
      </c>
      <c r="N27" s="433"/>
      <c r="O27" s="433"/>
      <c r="P27" s="433"/>
      <c r="Q27" s="433"/>
      <c r="R27" s="433"/>
      <c r="S27" s="736" t="s">
        <v>451</v>
      </c>
      <c r="T27" s="433" t="s">
        <v>623</v>
      </c>
      <c r="U27" s="433" t="s">
        <v>451</v>
      </c>
      <c r="V27" s="433" t="s">
        <v>623</v>
      </c>
      <c r="W27" s="433" t="s">
        <v>623</v>
      </c>
      <c r="X27" s="1021" t="s">
        <v>623</v>
      </c>
      <c r="Y27" s="1021" t="s">
        <v>500</v>
      </c>
      <c r="Z27" s="1020" t="s">
        <v>623</v>
      </c>
      <c r="AA27"/>
      <c r="AI27" s="898">
        <v>25</v>
      </c>
      <c r="AJ27" s="888" t="s">
        <v>474</v>
      </c>
      <c r="AK27" s="888" t="s">
        <v>475</v>
      </c>
      <c r="AL27" s="888">
        <v>6973739823</v>
      </c>
      <c r="AM27" s="889" t="s">
        <v>476</v>
      </c>
      <c r="AN27" s="888" t="s">
        <v>456</v>
      </c>
      <c r="AO27" s="888" t="s">
        <v>477</v>
      </c>
      <c r="AP27" s="888"/>
      <c r="AQ27" s="890"/>
      <c r="AR27" s="890"/>
      <c r="AS27" s="890"/>
      <c r="AT27" s="890"/>
      <c r="AU27" s="890"/>
      <c r="AV27" s="891" t="s">
        <v>478</v>
      </c>
      <c r="AW27" s="896"/>
      <c r="AX27" s="896"/>
      <c r="AY27" s="947"/>
      <c r="AZ27" s="947"/>
      <c r="BA27" s="947"/>
    </row>
    <row r="28" spans="1:53" ht="30">
      <c r="A28" s="571">
        <v>6</v>
      </c>
      <c r="B28" s="3" t="s">
        <v>634</v>
      </c>
      <c r="F28" s="523"/>
      <c r="G28" s="572"/>
      <c r="H28" s="736" t="s">
        <v>451</v>
      </c>
      <c r="I28" s="433" t="s">
        <v>3222</v>
      </c>
      <c r="J28" s="433" t="s">
        <v>3222</v>
      </c>
      <c r="K28" s="433" t="s">
        <v>3222</v>
      </c>
      <c r="L28" s="433" t="s">
        <v>3222</v>
      </c>
      <c r="M28" s="861" t="s">
        <v>3221</v>
      </c>
      <c r="N28" s="433"/>
      <c r="O28" s="433"/>
      <c r="P28" s="433"/>
      <c r="Q28" s="433"/>
      <c r="R28" s="433"/>
      <c r="S28" s="736" t="s">
        <v>451</v>
      </c>
      <c r="T28" s="433" t="s">
        <v>623</v>
      </c>
      <c r="U28" s="433" t="s">
        <v>451</v>
      </c>
      <c r="V28" s="433" t="s">
        <v>623</v>
      </c>
      <c r="W28" s="433" t="s">
        <v>623</v>
      </c>
      <c r="X28" s="1021" t="s">
        <v>623</v>
      </c>
      <c r="Y28" s="1021" t="s">
        <v>500</v>
      </c>
      <c r="Z28" s="1020" t="s">
        <v>623</v>
      </c>
      <c r="AA28" s="602"/>
      <c r="AI28" s="898">
        <v>26</v>
      </c>
      <c r="AJ28" s="888" t="s">
        <v>3238</v>
      </c>
      <c r="AK28" s="888" t="s">
        <v>2448</v>
      </c>
      <c r="AL28" s="888">
        <v>6936771591</v>
      </c>
      <c r="AM28" s="889" t="s">
        <v>3239</v>
      </c>
      <c r="AN28" s="888" t="s">
        <v>456</v>
      </c>
      <c r="AO28" s="888" t="s">
        <v>477</v>
      </c>
      <c r="AP28" s="888"/>
      <c r="AQ28" s="890"/>
      <c r="AR28" s="890"/>
      <c r="AS28" s="890"/>
      <c r="AT28" s="890"/>
      <c r="AU28" s="890"/>
      <c r="AV28" s="891" t="s">
        <v>3311</v>
      </c>
      <c r="AW28" s="896"/>
      <c r="AX28" s="896"/>
      <c r="AY28" s="947"/>
      <c r="AZ28" s="947"/>
      <c r="BA28" s="947"/>
    </row>
    <row r="29" spans="1:53">
      <c r="A29" s="571">
        <v>7</v>
      </c>
      <c r="B29" s="3" t="s">
        <v>634</v>
      </c>
      <c r="F29" s="523"/>
      <c r="G29" s="572"/>
      <c r="H29" s="736" t="s">
        <v>451</v>
      </c>
      <c r="I29" s="433" t="s">
        <v>3222</v>
      </c>
      <c r="J29" s="433" t="s">
        <v>3222</v>
      </c>
      <c r="K29" s="433" t="s">
        <v>3222</v>
      </c>
      <c r="L29" s="433" t="s">
        <v>3222</v>
      </c>
      <c r="M29" s="861">
        <v>7</v>
      </c>
      <c r="N29" s="433"/>
      <c r="O29" s="433"/>
      <c r="P29" s="433"/>
      <c r="Q29" s="433"/>
      <c r="R29" s="433"/>
      <c r="S29" s="736" t="s">
        <v>451</v>
      </c>
      <c r="T29" s="433" t="s">
        <v>623</v>
      </c>
      <c r="U29" s="433" t="s">
        <v>451</v>
      </c>
      <c r="V29" s="433" t="s">
        <v>623</v>
      </c>
      <c r="W29" s="433" t="s">
        <v>623</v>
      </c>
      <c r="X29" s="1021" t="s">
        <v>623</v>
      </c>
      <c r="Y29" s="1021" t="s">
        <v>500</v>
      </c>
      <c r="Z29" s="1020" t="s">
        <v>623</v>
      </c>
      <c r="AA29" s="602"/>
      <c r="AI29" s="898">
        <v>27</v>
      </c>
      <c r="AJ29" s="888" t="s">
        <v>529</v>
      </c>
      <c r="AK29" s="888" t="s">
        <v>530</v>
      </c>
      <c r="AL29" s="888">
        <v>6976147069</v>
      </c>
      <c r="AM29" s="889" t="s">
        <v>531</v>
      </c>
      <c r="AN29" s="888" t="s">
        <v>499</v>
      </c>
      <c r="AO29" s="888" t="s">
        <v>477</v>
      </c>
      <c r="AP29" s="888"/>
      <c r="AQ29" s="890"/>
      <c r="AR29" s="890"/>
      <c r="AS29" s="890"/>
      <c r="AT29" s="890"/>
      <c r="AU29" s="890"/>
      <c r="AV29" s="891" t="s">
        <v>532</v>
      </c>
      <c r="AW29" s="896"/>
      <c r="AX29" s="896"/>
      <c r="AY29" s="947"/>
      <c r="AZ29" s="947"/>
      <c r="BA29" s="947"/>
    </row>
    <row r="30" spans="1:53">
      <c r="A30" s="571">
        <v>8</v>
      </c>
      <c r="B30" s="3" t="s">
        <v>634</v>
      </c>
      <c r="F30" s="523"/>
      <c r="G30" s="572"/>
      <c r="H30" s="736" t="s">
        <v>451</v>
      </c>
      <c r="I30" s="433" t="s">
        <v>3222</v>
      </c>
      <c r="J30" s="433" t="s">
        <v>3222</v>
      </c>
      <c r="K30" s="433" t="s">
        <v>3222</v>
      </c>
      <c r="L30" s="433" t="s">
        <v>3222</v>
      </c>
      <c r="M30" s="861" t="s">
        <v>3221</v>
      </c>
      <c r="N30" s="433"/>
      <c r="O30" s="433"/>
      <c r="P30" s="433"/>
      <c r="Q30" s="433"/>
      <c r="R30" s="433"/>
      <c r="S30" s="736" t="s">
        <v>451</v>
      </c>
      <c r="T30" s="433" t="s">
        <v>623</v>
      </c>
      <c r="U30" s="433" t="s">
        <v>451</v>
      </c>
      <c r="V30" s="433" t="s">
        <v>623</v>
      </c>
      <c r="W30" s="433" t="s">
        <v>623</v>
      </c>
      <c r="X30" s="1021" t="s">
        <v>623</v>
      </c>
      <c r="Y30" s="1021" t="s">
        <v>500</v>
      </c>
      <c r="Z30" s="1020" t="s">
        <v>623</v>
      </c>
      <c r="AA30" s="433"/>
      <c r="AI30" s="285"/>
      <c r="AJ30" s="285" t="s">
        <v>584</v>
      </c>
      <c r="AK30" s="285" t="s">
        <v>544</v>
      </c>
      <c r="AL30" s="285">
        <v>6955641311</v>
      </c>
      <c r="AM30" s="285" t="s">
        <v>585</v>
      </c>
      <c r="AN30" s="837" t="s">
        <v>586</v>
      </c>
      <c r="AO30" s="837" t="s">
        <v>457</v>
      </c>
      <c r="AP30" s="285"/>
      <c r="AQ30" s="851"/>
      <c r="AR30" s="851"/>
      <c r="AS30" s="851"/>
      <c r="AT30" s="851"/>
      <c r="AU30" s="851"/>
      <c r="AV30" s="852" t="s">
        <v>587</v>
      </c>
      <c r="AW30" s="897"/>
      <c r="AX30" s="897"/>
      <c r="AY30" s="897"/>
      <c r="AZ30" s="897"/>
      <c r="BA30" s="897"/>
    </row>
    <row r="31" spans="1:53" ht="30.75" thickBot="1">
      <c r="A31" s="1014">
        <v>10</v>
      </c>
      <c r="B31" s="3" t="s">
        <v>634</v>
      </c>
      <c r="C31" s="1015"/>
      <c r="D31" s="1015"/>
      <c r="E31" s="1015"/>
      <c r="F31" s="1016"/>
      <c r="G31" s="1017"/>
      <c r="H31" s="999" t="s">
        <v>451</v>
      </c>
      <c r="I31" s="1000" t="s">
        <v>3222</v>
      </c>
      <c r="J31" s="1000" t="s">
        <v>3222</v>
      </c>
      <c r="K31" s="1000" t="s">
        <v>3222</v>
      </c>
      <c r="L31" s="1000" t="s">
        <v>3222</v>
      </c>
      <c r="M31" s="1001" t="s">
        <v>3221</v>
      </c>
      <c r="N31" s="433"/>
      <c r="O31" s="433"/>
      <c r="P31" s="433"/>
      <c r="Q31" s="433"/>
      <c r="R31" s="433"/>
      <c r="S31" s="999" t="s">
        <v>451</v>
      </c>
      <c r="T31" s="1000" t="s">
        <v>623</v>
      </c>
      <c r="U31" s="1000" t="s">
        <v>451</v>
      </c>
      <c r="V31" s="1000" t="s">
        <v>623</v>
      </c>
      <c r="W31" s="1000" t="s">
        <v>623</v>
      </c>
      <c r="X31" s="1022" t="s">
        <v>623</v>
      </c>
      <c r="Y31" s="1022" t="s">
        <v>500</v>
      </c>
      <c r="Z31" s="1023" t="s">
        <v>623</v>
      </c>
      <c r="AA31" s="433"/>
      <c r="AI31" s="285"/>
      <c r="AJ31" s="285" t="s">
        <v>603</v>
      </c>
      <c r="AK31" s="285" t="s">
        <v>604</v>
      </c>
      <c r="AL31" s="285">
        <v>6998108632</v>
      </c>
      <c r="AM31" s="285" t="s">
        <v>605</v>
      </c>
      <c r="AN31" s="837" t="s">
        <v>606</v>
      </c>
      <c r="AO31" s="837" t="s">
        <v>457</v>
      </c>
      <c r="AP31" s="285"/>
      <c r="AQ31" s="851"/>
      <c r="AR31" s="851"/>
      <c r="AS31" s="851"/>
      <c r="AT31" s="851"/>
      <c r="AU31" s="851"/>
      <c r="AV31" s="852" t="s">
        <v>607</v>
      </c>
      <c r="AW31" s="897"/>
      <c r="AX31" s="897"/>
      <c r="AY31" s="897"/>
      <c r="AZ31" s="897"/>
      <c r="BA31" s="897"/>
    </row>
    <row r="32" spans="1:53" ht="31.5" thickTop="1" thickBot="1">
      <c r="A32" s="571"/>
      <c r="F32" s="523"/>
      <c r="G32" s="572"/>
      <c r="I32" s="433"/>
      <c r="J32" s="433"/>
      <c r="K32" s="433"/>
      <c r="L32" s="433"/>
      <c r="M32" s="433"/>
      <c r="N32" s="433"/>
      <c r="O32" s="433"/>
      <c r="P32" s="433"/>
      <c r="Q32" s="433"/>
      <c r="R32" s="433"/>
      <c r="T32" s="433"/>
      <c r="U32" s="433"/>
      <c r="V32" s="433"/>
      <c r="W32" s="433"/>
      <c r="AA32" s="433"/>
      <c r="AI32" s="285"/>
      <c r="AJ32" s="285" t="s">
        <v>492</v>
      </c>
      <c r="AK32" s="285" t="s">
        <v>493</v>
      </c>
      <c r="AL32" s="285">
        <v>6973825235</v>
      </c>
      <c r="AM32" s="285" t="s">
        <v>3549</v>
      </c>
      <c r="AN32" s="837" t="s">
        <v>456</v>
      </c>
      <c r="AO32" s="837" t="s">
        <v>477</v>
      </c>
      <c r="AP32" s="285"/>
      <c r="AQ32" s="851"/>
      <c r="AR32" s="851"/>
      <c r="AS32" s="851"/>
      <c r="AT32" s="851"/>
      <c r="AU32" s="851"/>
      <c r="AV32" s="852" t="s">
        <v>495</v>
      </c>
      <c r="AW32" s="897"/>
      <c r="AX32" s="897"/>
      <c r="AY32" s="897"/>
      <c r="AZ32" s="897"/>
      <c r="BA32" s="897"/>
    </row>
    <row r="33" spans="1:53" ht="45" customHeight="1" thickTop="1" thickBot="1">
      <c r="A33" s="573" t="s">
        <v>424</v>
      </c>
      <c r="B33" s="574" t="s">
        <v>425</v>
      </c>
      <c r="C33" s="574" t="s">
        <v>426</v>
      </c>
      <c r="D33" s="574" t="s">
        <v>427</v>
      </c>
      <c r="E33" s="574" t="s">
        <v>3337</v>
      </c>
      <c r="F33" s="574" t="s">
        <v>428</v>
      </c>
      <c r="G33" s="575" t="s">
        <v>429</v>
      </c>
      <c r="H33" s="1018" t="s">
        <v>3624</v>
      </c>
      <c r="I33" s="1018" t="s">
        <v>3625</v>
      </c>
      <c r="J33" s="1018" t="s">
        <v>3626</v>
      </c>
      <c r="K33" s="1018" t="s">
        <v>3627</v>
      </c>
      <c r="L33" s="1018" t="s">
        <v>3628</v>
      </c>
      <c r="M33" s="1018" t="s">
        <v>3629</v>
      </c>
      <c r="N33" s="1019" t="s">
        <v>632</v>
      </c>
      <c r="O33" s="873"/>
      <c r="P33" s="873"/>
      <c r="Q33" s="873"/>
      <c r="R33" s="873"/>
      <c r="S33" s="1033" t="s">
        <v>3630</v>
      </c>
      <c r="T33" s="1018" t="s">
        <v>3631</v>
      </c>
      <c r="U33" s="1018" t="s">
        <v>3632</v>
      </c>
      <c r="V33" s="1018" t="s">
        <v>3633</v>
      </c>
      <c r="W33" s="1018" t="s">
        <v>3634</v>
      </c>
      <c r="X33" s="1018" t="s">
        <v>3635</v>
      </c>
      <c r="Y33" s="1019" t="s">
        <v>632</v>
      </c>
      <c r="Z33" s="873"/>
      <c r="AA33"/>
      <c r="AI33" s="285"/>
      <c r="AJ33" s="285" t="s">
        <v>466</v>
      </c>
      <c r="AK33" s="285" t="s">
        <v>467</v>
      </c>
      <c r="AL33" s="285">
        <v>6940828922</v>
      </c>
      <c r="AM33" s="285" t="s">
        <v>468</v>
      </c>
      <c r="AN33" s="837" t="s">
        <v>456</v>
      </c>
      <c r="AO33" s="837" t="s">
        <v>457</v>
      </c>
      <c r="AP33" s="285"/>
      <c r="AQ33" s="851"/>
      <c r="AR33" s="851"/>
      <c r="AS33" s="851"/>
      <c r="AT33" s="851"/>
      <c r="AU33" s="851"/>
      <c r="AV33" s="852" t="s">
        <v>469</v>
      </c>
      <c r="AW33" s="897"/>
      <c r="AX33" s="897"/>
      <c r="AY33" s="897"/>
      <c r="AZ33" s="897"/>
      <c r="BA33" s="897"/>
    </row>
    <row r="34" spans="1:53" ht="15.75" thickTop="1">
      <c r="A34" s="571">
        <v>1</v>
      </c>
      <c r="B34" s="3" t="s">
        <v>3623</v>
      </c>
      <c r="C34" s="3" t="s">
        <v>635</v>
      </c>
      <c r="D34" s="3" t="s">
        <v>636</v>
      </c>
      <c r="E34" s="3">
        <v>81</v>
      </c>
      <c r="F34" s="523" t="s">
        <v>637</v>
      </c>
      <c r="G34" s="572">
        <v>6973585676</v>
      </c>
      <c r="H34" s="734"/>
      <c r="I34" s="735"/>
      <c r="J34" s="735"/>
      <c r="K34" s="735"/>
      <c r="L34" s="735"/>
      <c r="M34" s="735"/>
      <c r="N34" s="860"/>
      <c r="O34" s="433"/>
      <c r="P34" s="433"/>
      <c r="Q34" s="433"/>
      <c r="R34" s="433"/>
      <c r="S34" s="734"/>
      <c r="T34" s="735"/>
      <c r="U34" s="735"/>
      <c r="V34" s="735"/>
      <c r="W34" s="735"/>
      <c r="X34" s="735"/>
      <c r="Y34" s="860"/>
      <c r="Z34" s="433"/>
      <c r="AA34"/>
      <c r="AI34" s="285"/>
      <c r="AJ34" s="285" t="s">
        <v>2383</v>
      </c>
      <c r="AK34" s="285" t="s">
        <v>746</v>
      </c>
      <c r="AL34" s="285">
        <v>6972600890</v>
      </c>
      <c r="AM34" s="285" t="s">
        <v>2384</v>
      </c>
      <c r="AN34" s="837" t="s">
        <v>456</v>
      </c>
      <c r="AO34" s="837" t="s">
        <v>477</v>
      </c>
      <c r="AP34" s="983"/>
      <c r="AQ34" s="983"/>
      <c r="AR34" s="983"/>
      <c r="AS34" s="983"/>
      <c r="AT34" s="983"/>
      <c r="AU34" s="983"/>
      <c r="AV34" s="983"/>
      <c r="AW34" s="897"/>
      <c r="AX34" s="897"/>
      <c r="AY34" s="897"/>
      <c r="AZ34" s="897"/>
      <c r="BA34" s="897"/>
    </row>
    <row r="35" spans="1:53" ht="16.5" customHeight="1">
      <c r="A35" s="571">
        <v>2</v>
      </c>
      <c r="B35" s="3" t="s">
        <v>3623</v>
      </c>
      <c r="C35" s="3" t="s">
        <v>638</v>
      </c>
      <c r="D35" s="3" t="s">
        <v>639</v>
      </c>
      <c r="E35" s="3">
        <v>82</v>
      </c>
      <c r="F35" s="523" t="s">
        <v>640</v>
      </c>
      <c r="G35" s="572">
        <v>6971993662</v>
      </c>
      <c r="H35" s="736"/>
      <c r="I35" s="433"/>
      <c r="J35" s="433"/>
      <c r="K35" s="433"/>
      <c r="L35" s="433"/>
      <c r="M35" s="433"/>
      <c r="N35" s="861"/>
      <c r="O35" s="433"/>
      <c r="P35" s="433"/>
      <c r="Q35" s="433"/>
      <c r="R35" s="433"/>
      <c r="S35" s="736"/>
      <c r="T35" s="433"/>
      <c r="U35" s="433"/>
      <c r="V35" s="433"/>
      <c r="W35" s="433"/>
      <c r="X35" s="433"/>
      <c r="Y35" s="861"/>
      <c r="Z35" s="433"/>
      <c r="AA35"/>
      <c r="AI35" s="983"/>
      <c r="AJ35" s="285" t="s">
        <v>2495</v>
      </c>
      <c r="AK35" s="285" t="s">
        <v>692</v>
      </c>
      <c r="AL35" s="285">
        <v>6944640433</v>
      </c>
      <c r="AM35" s="285" t="s">
        <v>2536</v>
      </c>
      <c r="AN35" s="837" t="s">
        <v>456</v>
      </c>
      <c r="AO35" s="852" t="s">
        <v>457</v>
      </c>
      <c r="AP35" s="285"/>
      <c r="AQ35" s="285"/>
      <c r="AR35" s="285"/>
      <c r="AS35" s="285"/>
      <c r="AT35" s="285"/>
      <c r="AU35" s="285"/>
      <c r="AV35" s="285"/>
      <c r="AW35" s="984"/>
      <c r="AX35" s="984"/>
      <c r="AY35" s="984"/>
      <c r="AZ35" s="984"/>
      <c r="BA35" s="984"/>
    </row>
    <row r="36" spans="1:53">
      <c r="A36" s="571">
        <v>3</v>
      </c>
      <c r="B36" s="3" t="s">
        <v>3623</v>
      </c>
      <c r="C36" s="3" t="s">
        <v>641</v>
      </c>
      <c r="D36" s="3" t="s">
        <v>642</v>
      </c>
      <c r="E36" s="3">
        <v>74</v>
      </c>
      <c r="F36" s="523" t="s">
        <v>643</v>
      </c>
      <c r="G36" s="572">
        <v>6985837967</v>
      </c>
      <c r="H36" s="736"/>
      <c r="I36" s="433"/>
      <c r="J36" s="433"/>
      <c r="K36" s="433"/>
      <c r="L36" s="433"/>
      <c r="M36" s="433"/>
      <c r="N36" s="861"/>
      <c r="O36" s="433"/>
      <c r="P36" s="433"/>
      <c r="Q36" s="433"/>
      <c r="R36" s="433"/>
      <c r="S36" s="736"/>
      <c r="T36" s="433"/>
      <c r="U36" s="433"/>
      <c r="V36" s="433"/>
      <c r="W36" s="433"/>
      <c r="X36" s="433"/>
      <c r="Y36" s="861"/>
      <c r="Z36" s="433"/>
      <c r="AA36"/>
      <c r="AI36" s="285"/>
      <c r="AJ36" s="285" t="s">
        <v>2575</v>
      </c>
      <c r="AK36" s="285" t="s">
        <v>809</v>
      </c>
      <c r="AL36" s="285">
        <v>6971745097</v>
      </c>
      <c r="AM36" s="285" t="s">
        <v>2576</v>
      </c>
      <c r="AN36" s="285" t="s">
        <v>622</v>
      </c>
      <c r="AO36" s="852" t="s">
        <v>477</v>
      </c>
      <c r="AP36" s="285"/>
      <c r="AQ36" s="285"/>
      <c r="AR36" s="285"/>
      <c r="AS36" s="285"/>
      <c r="AT36" s="285"/>
      <c r="AU36" s="285"/>
      <c r="AV36" s="285"/>
      <c r="AW36" s="852"/>
      <c r="AX36" s="852"/>
      <c r="AY36" s="852"/>
      <c r="AZ36" s="852"/>
      <c r="BA36" s="852"/>
    </row>
    <row r="37" spans="1:53" ht="17.25" customHeight="1">
      <c r="A37" s="571">
        <v>4</v>
      </c>
      <c r="B37" s="3" t="s">
        <v>3623</v>
      </c>
      <c r="C37" s="3" t="s">
        <v>544</v>
      </c>
      <c r="D37" s="3" t="s">
        <v>645</v>
      </c>
      <c r="E37" s="3">
        <v>72</v>
      </c>
      <c r="F37" s="523" t="s">
        <v>646</v>
      </c>
      <c r="G37" s="572">
        <v>6944918511</v>
      </c>
      <c r="H37" s="736"/>
      <c r="I37" s="433"/>
      <c r="J37" s="433"/>
      <c r="K37" s="433"/>
      <c r="L37" s="433"/>
      <c r="M37" s="433"/>
      <c r="N37" s="861"/>
      <c r="O37" s="433"/>
      <c r="P37" s="433"/>
      <c r="Q37" s="433"/>
      <c r="R37" s="433"/>
      <c r="S37" s="736"/>
      <c r="T37" s="433"/>
      <c r="U37" s="433"/>
      <c r="V37" s="433"/>
      <c r="W37" s="433"/>
      <c r="X37" s="433"/>
      <c r="Y37" s="861"/>
      <c r="Z37" s="433"/>
      <c r="AA37"/>
      <c r="AI37" s="285"/>
      <c r="AJ37" s="285" t="s">
        <v>2616</v>
      </c>
      <c r="AK37" s="285" t="s">
        <v>2617</v>
      </c>
      <c r="AL37" s="285">
        <v>6979971391</v>
      </c>
      <c r="AM37" s="285" t="s">
        <v>2618</v>
      </c>
      <c r="AN37" s="285" t="s">
        <v>614</v>
      </c>
      <c r="AO37" s="852" t="s">
        <v>457</v>
      </c>
      <c r="AP37" s="285"/>
      <c r="AQ37" s="285"/>
      <c r="AR37" s="285"/>
      <c r="AS37" s="285"/>
      <c r="AT37" s="285"/>
      <c r="AU37" s="285"/>
      <c r="AV37" s="285"/>
      <c r="AW37" s="852"/>
      <c r="AX37" s="852"/>
      <c r="AY37" s="852"/>
      <c r="AZ37" s="852"/>
      <c r="BA37" s="852"/>
    </row>
    <row r="38" spans="1:53" ht="17.25" customHeight="1">
      <c r="A38" s="571">
        <v>5</v>
      </c>
      <c r="B38" s="3" t="s">
        <v>3623</v>
      </c>
      <c r="C38" s="3" t="s">
        <v>3448</v>
      </c>
      <c r="D38" s="3" t="s">
        <v>647</v>
      </c>
      <c r="E38" s="3">
        <v>89</v>
      </c>
      <c r="F38" s="523" t="s">
        <v>3106</v>
      </c>
      <c r="G38" s="572">
        <v>6981865680</v>
      </c>
      <c r="H38" s="736"/>
      <c r="I38" s="433"/>
      <c r="J38" s="433"/>
      <c r="K38" s="433"/>
      <c r="L38" s="433"/>
      <c r="M38" s="433"/>
      <c r="N38" s="861"/>
      <c r="O38" s="433"/>
      <c r="P38" s="433"/>
      <c r="Q38" s="433"/>
      <c r="R38" s="433"/>
      <c r="S38" s="736"/>
      <c r="T38" s="433"/>
      <c r="U38" s="433"/>
      <c r="V38" s="433"/>
      <c r="W38" s="433"/>
      <c r="X38" s="433"/>
      <c r="Y38" s="861"/>
      <c r="Z38" s="433"/>
      <c r="AA38"/>
      <c r="AI38" s="285"/>
      <c r="AJ38" s="285" t="s">
        <v>2716</v>
      </c>
      <c r="AK38" s="285" t="s">
        <v>773</v>
      </c>
      <c r="AL38" s="285">
        <v>6947560903</v>
      </c>
      <c r="AM38" s="285" t="s">
        <v>2717</v>
      </c>
      <c r="AN38" s="285" t="str">
        <f>$AN$15</f>
        <v>Τεχνικός Αρτοποιίας – Ζαχαροπλαστικής</v>
      </c>
      <c r="AO38" s="852" t="s">
        <v>457</v>
      </c>
      <c r="AP38" s="285"/>
      <c r="AQ38" s="285"/>
      <c r="AR38" s="285"/>
      <c r="AS38" s="285"/>
      <c r="AT38" s="285"/>
      <c r="AU38" s="285"/>
      <c r="AV38" s="285"/>
      <c r="AW38" s="852"/>
      <c r="AX38" s="852"/>
      <c r="AY38" s="852"/>
      <c r="AZ38" s="852"/>
      <c r="BA38" s="852"/>
    </row>
    <row r="39" spans="1:53">
      <c r="A39" s="571">
        <v>6</v>
      </c>
      <c r="B39" s="3" t="s">
        <v>3623</v>
      </c>
      <c r="C39" s="3" t="s">
        <v>467</v>
      </c>
      <c r="D39" s="3" t="s">
        <v>652</v>
      </c>
      <c r="E39" s="3">
        <v>66</v>
      </c>
      <c r="F39" s="523" t="s">
        <v>653</v>
      </c>
      <c r="G39" s="572">
        <v>6955298183</v>
      </c>
      <c r="H39" s="736"/>
      <c r="I39" s="433"/>
      <c r="J39" s="433"/>
      <c r="K39" s="433"/>
      <c r="L39" s="433"/>
      <c r="M39" s="433"/>
      <c r="N39" s="861"/>
      <c r="O39" s="433"/>
      <c r="P39" s="433"/>
      <c r="Q39" s="433"/>
      <c r="R39" s="433"/>
      <c r="S39" s="736"/>
      <c r="T39" s="433"/>
      <c r="U39" s="433"/>
      <c r="V39" s="433"/>
      <c r="W39" s="433"/>
      <c r="X39" s="433"/>
      <c r="Y39" s="861"/>
      <c r="Z39" s="433"/>
      <c r="AA39"/>
      <c r="AI39" s="285"/>
      <c r="AJ39" s="285" t="s">
        <v>2696</v>
      </c>
      <c r="AK39" s="285" t="s">
        <v>2448</v>
      </c>
      <c r="AL39" s="285">
        <v>6936003082</v>
      </c>
      <c r="AM39" s="285" t="s">
        <v>2781</v>
      </c>
      <c r="AN39" s="285" t="str">
        <f>$AN$15</f>
        <v>Τεχνικός Αρτοποιίας – Ζαχαροπλαστικής</v>
      </c>
      <c r="AO39" s="852" t="s">
        <v>477</v>
      </c>
      <c r="AP39" s="285"/>
      <c r="AQ39" s="285"/>
      <c r="AR39" s="285"/>
      <c r="AS39" s="285"/>
      <c r="AT39" s="285"/>
      <c r="AU39" s="285"/>
      <c r="AV39" s="285"/>
      <c r="AW39" s="852"/>
      <c r="AX39" s="852"/>
      <c r="AY39" s="852"/>
      <c r="AZ39" s="852"/>
      <c r="BA39" s="852"/>
    </row>
    <row r="40" spans="1:53">
      <c r="A40" s="571">
        <v>7</v>
      </c>
      <c r="B40" s="3" t="s">
        <v>3623</v>
      </c>
      <c r="C40" s="3" t="s">
        <v>654</v>
      </c>
      <c r="D40" s="3" t="s">
        <v>655</v>
      </c>
      <c r="E40" s="3">
        <v>67</v>
      </c>
      <c r="F40" s="523" t="s">
        <v>656</v>
      </c>
      <c r="G40" s="572">
        <v>6987401697</v>
      </c>
      <c r="H40" s="736"/>
      <c r="I40" s="433"/>
      <c r="J40" s="433"/>
      <c r="K40" s="433"/>
      <c r="L40" s="433"/>
      <c r="M40" s="433"/>
      <c r="N40" s="861"/>
      <c r="O40" s="433"/>
      <c r="P40" s="433"/>
      <c r="Q40" s="433"/>
      <c r="R40" s="433"/>
      <c r="S40" s="736"/>
      <c r="T40" s="433"/>
      <c r="U40" s="433"/>
      <c r="V40" s="433"/>
      <c r="W40" s="433"/>
      <c r="X40" s="433"/>
      <c r="Y40" s="861"/>
      <c r="Z40" s="433"/>
      <c r="AA40" s="602"/>
      <c r="AI40" s="285"/>
      <c r="AJ40" s="285" t="s">
        <v>2587</v>
      </c>
      <c r="AK40" s="285" t="s">
        <v>2738</v>
      </c>
      <c r="AL40" s="285">
        <v>6907054898</v>
      </c>
      <c r="AM40" s="285" t="s">
        <v>2809</v>
      </c>
      <c r="AN40" s="285" t="str">
        <f>$AN$5</f>
        <v>Τεχνικός Μαγερικής Τέχνης</v>
      </c>
      <c r="AO40" s="852" t="s">
        <v>477</v>
      </c>
      <c r="AP40" s="285"/>
      <c r="AQ40" s="285"/>
      <c r="AR40" s="285"/>
      <c r="AS40" s="285"/>
      <c r="AT40" s="285"/>
      <c r="AU40" s="285"/>
      <c r="AV40" s="285"/>
      <c r="AW40" s="852"/>
      <c r="AX40" s="852"/>
      <c r="AY40" s="852"/>
      <c r="AZ40" s="852"/>
      <c r="BA40" s="852"/>
    </row>
    <row r="41" spans="1:53" ht="15.75" thickBot="1">
      <c r="A41" s="1014">
        <v>8</v>
      </c>
      <c r="B41" s="1015" t="s">
        <v>3623</v>
      </c>
      <c r="C41" s="1015" t="s">
        <v>604</v>
      </c>
      <c r="D41" s="1015" t="s">
        <v>657</v>
      </c>
      <c r="E41" s="1015">
        <v>69</v>
      </c>
      <c r="F41" s="1016" t="s">
        <v>658</v>
      </c>
      <c r="G41" s="1017">
        <v>6979541207</v>
      </c>
      <c r="H41" s="999"/>
      <c r="I41" s="1000"/>
      <c r="J41" s="1000"/>
      <c r="K41" s="1000"/>
      <c r="L41" s="1000"/>
      <c r="M41" s="1000"/>
      <c r="N41" s="1001"/>
      <c r="O41" s="433"/>
      <c r="P41" s="433"/>
      <c r="Q41" s="433"/>
      <c r="R41" s="433"/>
      <c r="S41" s="999"/>
      <c r="T41" s="1000"/>
      <c r="U41" s="1000"/>
      <c r="V41" s="1000"/>
      <c r="W41" s="1000"/>
      <c r="X41" s="1000"/>
      <c r="Y41" s="1001"/>
      <c r="Z41" s="433"/>
      <c r="AA41" s="602"/>
      <c r="AI41" s="285"/>
      <c r="AJ41" s="285" t="s">
        <v>584</v>
      </c>
      <c r="AK41" s="285" t="s">
        <v>544</v>
      </c>
      <c r="AL41" s="285">
        <v>6955641311</v>
      </c>
      <c r="AM41" s="285" t="s">
        <v>585</v>
      </c>
      <c r="AN41" s="837" t="s">
        <v>586</v>
      </c>
      <c r="AO41" s="837" t="s">
        <v>457</v>
      </c>
      <c r="AP41" s="285"/>
      <c r="AQ41" s="851"/>
      <c r="AR41" s="851"/>
      <c r="AS41" s="851"/>
      <c r="AT41" s="851"/>
      <c r="AU41" s="851"/>
      <c r="AV41" s="852" t="s">
        <v>587</v>
      </c>
      <c r="AW41" s="897"/>
      <c r="AX41" s="897"/>
      <c r="AY41" s="897"/>
      <c r="AZ41" s="897"/>
      <c r="BA41" s="897"/>
    </row>
    <row r="42" spans="1:53" ht="31.5" thickTop="1" thickBot="1">
      <c r="F42" s="523"/>
      <c r="Z42" s="433"/>
      <c r="AA42" s="433"/>
      <c r="AI42" s="285"/>
      <c r="AJ42" s="285" t="s">
        <v>603</v>
      </c>
      <c r="AK42" s="285" t="s">
        <v>604</v>
      </c>
      <c r="AL42" s="285">
        <v>6998108632</v>
      </c>
      <c r="AM42" s="285" t="s">
        <v>605</v>
      </c>
      <c r="AN42" s="837" t="s">
        <v>606</v>
      </c>
      <c r="AO42" s="837" t="s">
        <v>457</v>
      </c>
      <c r="AP42" s="285"/>
      <c r="AQ42" s="851"/>
      <c r="AR42" s="851"/>
      <c r="AS42" s="851"/>
      <c r="AT42" s="851"/>
      <c r="AU42" s="851"/>
      <c r="AV42" s="852" t="s">
        <v>607</v>
      </c>
      <c r="AW42" s="897"/>
      <c r="AX42" s="897"/>
      <c r="AY42" s="897"/>
      <c r="AZ42" s="897"/>
      <c r="BA42" s="897"/>
    </row>
    <row r="43" spans="1:53" ht="61.5" thickTop="1" thickBot="1">
      <c r="A43" s="579" t="s">
        <v>424</v>
      </c>
      <c r="B43" s="580" t="s">
        <v>425</v>
      </c>
      <c r="C43" s="580" t="s">
        <v>426</v>
      </c>
      <c r="D43" s="580" t="s">
        <v>427</v>
      </c>
      <c r="E43" s="580" t="s">
        <v>3337</v>
      </c>
      <c r="F43" s="580" t="s">
        <v>428</v>
      </c>
      <c r="G43" s="581" t="s">
        <v>429</v>
      </c>
      <c r="H43" s="732" t="s">
        <v>2511</v>
      </c>
      <c r="I43" s="732" t="s">
        <v>614</v>
      </c>
      <c r="J43" s="732" t="s">
        <v>3637</v>
      </c>
      <c r="K43" s="732" t="s">
        <v>3638</v>
      </c>
      <c r="L43" s="732" t="s">
        <v>2582</v>
      </c>
      <c r="M43" s="1024" t="s">
        <v>2542</v>
      </c>
      <c r="N43" s="1035" t="s">
        <v>3639</v>
      </c>
      <c r="O43" s="1035" t="s">
        <v>3640</v>
      </c>
      <c r="P43" s="1035" t="s">
        <v>2697</v>
      </c>
      <c r="Q43" s="1036" t="s">
        <v>632</v>
      </c>
      <c r="S43" s="732" t="s">
        <v>2511</v>
      </c>
      <c r="T43" s="732" t="s">
        <v>614</v>
      </c>
      <c r="U43" s="732" t="s">
        <v>3637</v>
      </c>
      <c r="V43" s="732" t="s">
        <v>3638</v>
      </c>
      <c r="W43" s="732" t="s">
        <v>2582</v>
      </c>
      <c r="X43" s="1024" t="s">
        <v>2542</v>
      </c>
      <c r="Y43" s="1035" t="s">
        <v>3639</v>
      </c>
      <c r="Z43" s="433"/>
      <c r="AA43" s="433"/>
      <c r="AI43" s="285"/>
      <c r="AJ43" s="285" t="s">
        <v>492</v>
      </c>
      <c r="AK43" s="285" t="s">
        <v>493</v>
      </c>
      <c r="AL43" s="285">
        <v>6973825235</v>
      </c>
      <c r="AM43" s="285" t="s">
        <v>3549</v>
      </c>
      <c r="AN43" s="837" t="s">
        <v>456</v>
      </c>
      <c r="AO43" s="837" t="s">
        <v>477</v>
      </c>
      <c r="AP43" s="285"/>
      <c r="AQ43" s="851"/>
      <c r="AR43" s="851"/>
      <c r="AS43" s="851"/>
      <c r="AT43" s="851"/>
      <c r="AU43" s="851"/>
      <c r="AV43" s="852" t="s">
        <v>495</v>
      </c>
      <c r="AW43" s="897"/>
      <c r="AX43" s="897"/>
      <c r="AY43" s="897"/>
      <c r="AZ43" s="897"/>
      <c r="BA43" s="897"/>
    </row>
    <row r="44" spans="1:53" ht="15.75" thickTop="1">
      <c r="A44" s="1077">
        <v>1</v>
      </c>
      <c r="B44" s="882" t="s">
        <v>3636</v>
      </c>
      <c r="C44" s="882" t="s">
        <v>612</v>
      </c>
      <c r="D44" s="882" t="s">
        <v>3663</v>
      </c>
      <c r="E44" s="882"/>
      <c r="F44" s="1078" t="s">
        <v>3664</v>
      </c>
      <c r="G44" s="1079">
        <v>6996825501</v>
      </c>
      <c r="H44" s="862"/>
      <c r="I44" s="1002"/>
      <c r="J44" s="1002"/>
      <c r="K44" s="1002"/>
      <c r="L44" s="1002"/>
      <c r="M44" s="1002"/>
      <c r="N44" s="1002"/>
      <c r="O44" s="1002"/>
      <c r="P44" s="1002"/>
      <c r="Q44" s="1028"/>
      <c r="S44" s="862"/>
      <c r="T44" s="1002"/>
      <c r="U44" s="1002"/>
      <c r="V44" s="1002"/>
      <c r="W44" s="1002"/>
      <c r="X44" s="1002"/>
      <c r="Y44" s="1002"/>
      <c r="AA44" s="433"/>
      <c r="AI44" s="285"/>
      <c r="AJ44" s="285" t="s">
        <v>466</v>
      </c>
      <c r="AK44" s="285" t="s">
        <v>467</v>
      </c>
      <c r="AL44" s="285">
        <v>6940828922</v>
      </c>
      <c r="AM44" s="285" t="s">
        <v>468</v>
      </c>
      <c r="AN44" s="837" t="s">
        <v>456</v>
      </c>
      <c r="AO44" s="837" t="s">
        <v>457</v>
      </c>
      <c r="AP44" s="285"/>
      <c r="AQ44" s="851"/>
      <c r="AR44" s="851"/>
      <c r="AS44" s="851"/>
      <c r="AT44" s="851"/>
      <c r="AU44" s="851"/>
      <c r="AV44" s="852" t="s">
        <v>469</v>
      </c>
      <c r="AW44" s="897"/>
      <c r="AX44" s="897"/>
      <c r="AY44" s="897"/>
      <c r="AZ44" s="897"/>
      <c r="BA44" s="897"/>
    </row>
    <row r="45" spans="1:53" ht="62.25" customHeight="1" thickBot="1">
      <c r="A45" s="548">
        <v>2</v>
      </c>
      <c r="B45" s="3" t="s">
        <v>3636</v>
      </c>
      <c r="F45" s="523"/>
      <c r="G45" s="549"/>
      <c r="H45" s="863"/>
      <c r="I45" s="433"/>
      <c r="J45" s="433"/>
      <c r="K45" s="433"/>
      <c r="L45" s="433"/>
      <c r="M45" s="433"/>
      <c r="N45" s="433"/>
      <c r="O45" s="433"/>
      <c r="P45" s="433"/>
      <c r="Q45" s="1029"/>
      <c r="S45" s="863"/>
      <c r="T45" s="433"/>
      <c r="U45" s="433"/>
      <c r="V45" s="433"/>
      <c r="W45" s="433"/>
      <c r="X45" s="433"/>
      <c r="Y45" s="433"/>
      <c r="Z45" s="1035" t="s">
        <v>3640</v>
      </c>
      <c r="AA45" s="1035" t="s">
        <v>2697</v>
      </c>
      <c r="AB45" s="1036" t="s">
        <v>632</v>
      </c>
    </row>
    <row r="46" spans="1:53" ht="15.75" thickTop="1">
      <c r="A46" s="548">
        <v>3</v>
      </c>
      <c r="B46" s="3" t="s">
        <v>3636</v>
      </c>
      <c r="F46" s="523"/>
      <c r="G46" s="549"/>
      <c r="H46" s="863"/>
      <c r="I46" s="433"/>
      <c r="J46" s="433"/>
      <c r="K46" s="433"/>
      <c r="L46" s="433"/>
      <c r="M46" s="433"/>
      <c r="N46" s="433"/>
      <c r="O46" s="433"/>
      <c r="P46" s="433"/>
      <c r="Q46" s="1029"/>
      <c r="S46" s="863"/>
      <c r="T46" s="433"/>
      <c r="U46" s="433"/>
      <c r="V46" s="433"/>
      <c r="W46" s="433"/>
      <c r="X46" s="433"/>
      <c r="Y46" s="433"/>
      <c r="Z46" s="1002"/>
      <c r="AA46" s="1002"/>
      <c r="AB46" s="1028"/>
    </row>
    <row r="47" spans="1:53">
      <c r="A47" s="548">
        <v>4</v>
      </c>
      <c r="B47" s="3" t="s">
        <v>3636</v>
      </c>
      <c r="F47" s="523"/>
      <c r="G47" s="549"/>
      <c r="H47" s="863"/>
      <c r="I47" s="433"/>
      <c r="J47" s="433"/>
      <c r="K47" s="433"/>
      <c r="L47" s="433"/>
      <c r="M47" s="433"/>
      <c r="N47" s="433"/>
      <c r="O47" s="433"/>
      <c r="P47" s="433"/>
      <c r="Q47" s="1029"/>
      <c r="S47" s="863"/>
      <c r="T47" s="433"/>
      <c r="U47" s="433"/>
      <c r="V47" s="433"/>
      <c r="W47" s="433"/>
      <c r="X47" s="433"/>
      <c r="Y47" s="433"/>
      <c r="Z47" s="433"/>
      <c r="AA47" s="433"/>
      <c r="AB47" s="1029"/>
    </row>
    <row r="48" spans="1:53">
      <c r="A48" s="548">
        <v>5</v>
      </c>
      <c r="B48" s="3" t="s">
        <v>3636</v>
      </c>
      <c r="F48" s="523"/>
      <c r="G48" s="549"/>
      <c r="H48" s="863"/>
      <c r="I48" s="433"/>
      <c r="J48" s="433"/>
      <c r="K48" s="433"/>
      <c r="L48" s="433"/>
      <c r="M48" s="433"/>
      <c r="N48" s="433"/>
      <c r="O48" s="433"/>
      <c r="P48" s="433"/>
      <c r="Q48" s="1029"/>
      <c r="S48" s="863"/>
      <c r="T48" s="433"/>
      <c r="U48" s="433"/>
      <c r="V48" s="433"/>
      <c r="W48" s="433"/>
      <c r="X48" s="433"/>
      <c r="Y48" s="433"/>
      <c r="Z48" s="433"/>
      <c r="AA48" s="433"/>
      <c r="AB48" s="1029"/>
    </row>
    <row r="49" spans="1:53">
      <c r="A49" s="548">
        <v>6</v>
      </c>
      <c r="B49" s="3" t="s">
        <v>3636</v>
      </c>
      <c r="F49" s="523"/>
      <c r="G49" s="549"/>
      <c r="H49" s="863"/>
      <c r="I49" s="433"/>
      <c r="J49" s="433"/>
      <c r="K49" s="433"/>
      <c r="L49" s="433"/>
      <c r="M49" s="433"/>
      <c r="N49" s="433"/>
      <c r="O49" s="433"/>
      <c r="P49" s="433"/>
      <c r="Q49" s="1029"/>
      <c r="S49" s="863"/>
      <c r="T49" s="433"/>
      <c r="U49" s="433"/>
      <c r="V49" s="433"/>
      <c r="W49" s="433"/>
      <c r="X49" s="433"/>
      <c r="Y49" s="433"/>
      <c r="Z49" s="433"/>
      <c r="AA49" s="433"/>
      <c r="AB49" s="1029"/>
      <c r="AI49" s="136"/>
      <c r="AJ49" s="136"/>
      <c r="AK49" s="136"/>
      <c r="AL49" s="136"/>
      <c r="AM49" s="136"/>
      <c r="AN49" s="136"/>
      <c r="AO49" s="82"/>
      <c r="AP49" s="136"/>
      <c r="AQ49" s="136"/>
      <c r="AR49" s="136"/>
      <c r="AS49" s="136"/>
      <c r="AT49" s="136"/>
      <c r="AU49" s="136"/>
      <c r="AV49" s="136"/>
      <c r="AW49" s="82"/>
      <c r="AX49" s="82"/>
      <c r="AY49" s="82"/>
      <c r="AZ49" s="82"/>
      <c r="BA49" s="82"/>
    </row>
    <row r="50" spans="1:53">
      <c r="A50" s="548">
        <v>7</v>
      </c>
      <c r="B50" s="3" t="s">
        <v>3636</v>
      </c>
      <c r="F50" s="523"/>
      <c r="G50" s="549"/>
      <c r="H50" s="863"/>
      <c r="I50" s="433"/>
      <c r="J50" s="433"/>
      <c r="K50" s="433"/>
      <c r="L50" s="433"/>
      <c r="M50" s="433"/>
      <c r="N50" s="433"/>
      <c r="O50" s="433"/>
      <c r="P50" s="433"/>
      <c r="Q50" s="1029"/>
      <c r="S50" s="863"/>
      <c r="T50" s="433"/>
      <c r="U50" s="433"/>
      <c r="V50" s="433"/>
      <c r="W50" s="433"/>
      <c r="X50" s="433"/>
      <c r="Y50" s="433"/>
      <c r="Z50" s="433"/>
      <c r="AA50" s="433"/>
      <c r="AB50" s="1029"/>
      <c r="AI50" s="136"/>
      <c r="AJ50" s="136"/>
      <c r="AK50" s="136"/>
      <c r="AL50" s="136"/>
      <c r="AM50" s="136"/>
      <c r="AN50" s="136"/>
      <c r="AO50" s="82"/>
      <c r="AP50" s="136"/>
      <c r="AQ50" s="136"/>
      <c r="AR50" s="136"/>
      <c r="AS50" s="136"/>
      <c r="AT50" s="136"/>
      <c r="AU50" s="136"/>
      <c r="AV50" s="136"/>
      <c r="AW50" s="82"/>
      <c r="AX50" s="82"/>
      <c r="AY50" s="82"/>
      <c r="AZ50" s="82"/>
      <c r="BA50" s="82"/>
    </row>
    <row r="51" spans="1:53">
      <c r="A51" s="548">
        <v>8</v>
      </c>
      <c r="B51" s="3" t="s">
        <v>3636</v>
      </c>
      <c r="F51" s="523"/>
      <c r="G51" s="549"/>
      <c r="H51" s="863"/>
      <c r="I51" s="433"/>
      <c r="J51" s="433"/>
      <c r="K51" s="433"/>
      <c r="L51" s="433"/>
      <c r="M51" s="433"/>
      <c r="N51" s="433"/>
      <c r="O51" s="433"/>
      <c r="P51" s="433"/>
      <c r="Q51" s="1029"/>
      <c r="S51" s="863"/>
      <c r="T51" s="433"/>
      <c r="U51" s="433"/>
      <c r="V51" s="433"/>
      <c r="W51" s="433"/>
      <c r="X51" s="433"/>
      <c r="Y51" s="433"/>
      <c r="Z51" s="433"/>
      <c r="AA51" s="433"/>
      <c r="AB51" s="1029"/>
      <c r="AI51" s="136"/>
      <c r="AJ51" s="136"/>
      <c r="AK51" s="136"/>
      <c r="AL51" s="136"/>
      <c r="AM51" s="136"/>
      <c r="AN51" s="136"/>
      <c r="AO51" s="82"/>
      <c r="AP51" s="136"/>
      <c r="AQ51" s="136"/>
      <c r="AR51" s="136"/>
      <c r="AS51" s="136"/>
      <c r="AT51" s="136"/>
      <c r="AU51" s="136"/>
      <c r="AV51" s="136"/>
      <c r="AW51" s="82"/>
      <c r="AX51" s="82"/>
      <c r="AY51" s="82"/>
      <c r="AZ51" s="82"/>
      <c r="BA51" s="82"/>
    </row>
    <row r="52" spans="1:53">
      <c r="A52" s="548">
        <v>9</v>
      </c>
      <c r="B52" s="3" t="s">
        <v>3636</v>
      </c>
      <c r="F52" s="523"/>
      <c r="G52" s="549"/>
      <c r="H52" s="863"/>
      <c r="I52" s="433"/>
      <c r="J52" s="433"/>
      <c r="K52" s="433"/>
      <c r="L52" s="433"/>
      <c r="M52" s="433"/>
      <c r="N52" s="433"/>
      <c r="O52" s="433"/>
      <c r="P52" s="433"/>
      <c r="Q52" s="1029"/>
      <c r="S52" s="863"/>
      <c r="T52" s="433"/>
      <c r="U52" s="433"/>
      <c r="V52" s="433"/>
      <c r="W52" s="433"/>
      <c r="X52" s="433"/>
      <c r="Y52" s="433"/>
      <c r="Z52" s="433"/>
      <c r="AA52" s="433"/>
      <c r="AB52" s="1029"/>
      <c r="AI52" s="136"/>
      <c r="AJ52" s="136"/>
      <c r="AK52" s="136"/>
      <c r="AL52" s="136"/>
      <c r="AM52" s="136"/>
      <c r="AN52" s="136"/>
      <c r="AO52" s="82"/>
      <c r="AP52" s="136"/>
      <c r="AQ52" s="136"/>
      <c r="AR52" s="136"/>
      <c r="AS52" s="136"/>
      <c r="AT52" s="136"/>
      <c r="AU52" s="136"/>
      <c r="AV52" s="136"/>
      <c r="AW52" s="82"/>
      <c r="AX52" s="82"/>
      <c r="AY52" s="82"/>
      <c r="AZ52" s="82"/>
      <c r="BA52" s="82"/>
    </row>
    <row r="53" spans="1:53" ht="15.75" thickBot="1">
      <c r="A53" s="548">
        <v>10</v>
      </c>
      <c r="B53" s="577" t="s">
        <v>3636</v>
      </c>
      <c r="C53" s="577"/>
      <c r="D53" s="577"/>
      <c r="E53" s="577"/>
      <c r="F53" s="814"/>
      <c r="G53" s="578"/>
      <c r="H53" s="864"/>
      <c r="I53" s="1005"/>
      <c r="J53" s="1005"/>
      <c r="K53" s="1005"/>
      <c r="L53" s="1005"/>
      <c r="M53" s="1005"/>
      <c r="N53" s="1005"/>
      <c r="O53" s="1005"/>
      <c r="P53" s="1005"/>
      <c r="Q53" s="1030"/>
      <c r="S53" s="864"/>
      <c r="T53" s="1005"/>
      <c r="U53" s="1005"/>
      <c r="V53" s="1005"/>
      <c r="W53" s="1005"/>
      <c r="X53" s="1005"/>
      <c r="Y53" s="1005"/>
      <c r="Z53" s="433"/>
      <c r="AA53" s="433"/>
      <c r="AB53" s="1029"/>
      <c r="AI53" s="136"/>
      <c r="AJ53" s="136"/>
      <c r="AK53" s="136"/>
      <c r="AL53" s="136"/>
      <c r="AM53" s="136"/>
      <c r="AN53" s="136"/>
      <c r="AO53" s="82"/>
      <c r="AP53" s="136"/>
      <c r="AQ53" s="136"/>
      <c r="AR53" s="136"/>
      <c r="AS53" s="136"/>
      <c r="AT53" s="136"/>
      <c r="AU53" s="136"/>
      <c r="AV53" s="136"/>
      <c r="AW53" s="82"/>
      <c r="AX53" s="82"/>
      <c r="AY53" s="82"/>
      <c r="AZ53" s="82"/>
      <c r="BA53" s="82"/>
    </row>
    <row r="54" spans="1:53" ht="16.5" thickTop="1" thickBot="1">
      <c r="A54" s="548"/>
      <c r="B54" s="577"/>
      <c r="C54" s="577"/>
      <c r="D54" s="577"/>
      <c r="E54" s="577"/>
      <c r="F54" s="814"/>
      <c r="G54" s="578"/>
      <c r="I54" s="433"/>
      <c r="J54" s="433"/>
      <c r="K54" s="433"/>
      <c r="L54" s="433"/>
      <c r="M54" s="1029"/>
      <c r="Z54" s="433"/>
      <c r="AA54" s="433"/>
      <c r="AB54" s="1029"/>
      <c r="AI54" s="136"/>
      <c r="AJ54" s="136"/>
      <c r="AK54" s="136"/>
      <c r="AL54" s="136"/>
      <c r="AM54" s="136"/>
      <c r="AN54" s="136"/>
      <c r="AO54" s="82"/>
      <c r="AP54" s="136"/>
      <c r="AQ54" s="136"/>
      <c r="AR54" s="136"/>
      <c r="AS54" s="136"/>
      <c r="AT54" s="136"/>
      <c r="AU54" s="136"/>
      <c r="AV54" s="136"/>
      <c r="AW54" s="82"/>
      <c r="AX54" s="82"/>
      <c r="AY54" s="82"/>
      <c r="AZ54" s="82"/>
      <c r="BA54" s="82"/>
    </row>
    <row r="55" spans="1:53" ht="61.5" thickTop="1" thickBot="1">
      <c r="A55" s="579" t="s">
        <v>424</v>
      </c>
      <c r="B55" s="580" t="s">
        <v>425</v>
      </c>
      <c r="C55" s="580" t="s">
        <v>426</v>
      </c>
      <c r="D55" s="580" t="s">
        <v>427</v>
      </c>
      <c r="E55" s="580" t="s">
        <v>3337</v>
      </c>
      <c r="F55" s="580" t="s">
        <v>428</v>
      </c>
      <c r="G55" s="581" t="s">
        <v>429</v>
      </c>
      <c r="H55" s="732" t="s">
        <v>663</v>
      </c>
      <c r="I55" s="732" t="s">
        <v>664</v>
      </c>
      <c r="J55" s="732" t="s">
        <v>665</v>
      </c>
      <c r="K55" s="732" t="s">
        <v>666</v>
      </c>
      <c r="L55" s="732" t="s">
        <v>667</v>
      </c>
      <c r="M55" s="1031" t="s">
        <v>668</v>
      </c>
      <c r="N55" s="873"/>
      <c r="O55" s="873"/>
      <c r="P55" s="873"/>
      <c r="Q55" s="873"/>
      <c r="R55" s="873"/>
      <c r="S55" s="1034" t="s">
        <v>1311</v>
      </c>
      <c r="T55" s="732" t="s">
        <v>3359</v>
      </c>
      <c r="U55" s="732" t="s">
        <v>632</v>
      </c>
      <c r="V55" s="732" t="s">
        <v>1307</v>
      </c>
      <c r="W55" s="732" t="s">
        <v>3360</v>
      </c>
      <c r="X55" s="732" t="s">
        <v>3361</v>
      </c>
      <c r="Y55" s="732" t="s">
        <v>3362</v>
      </c>
      <c r="Z55" s="1005"/>
      <c r="AA55" s="1005"/>
      <c r="AB55" s="1030"/>
      <c r="AI55" s="136"/>
      <c r="AJ55" s="136"/>
      <c r="AK55" s="136"/>
      <c r="AL55" s="136"/>
      <c r="AM55" s="136"/>
      <c r="AN55" s="136"/>
      <c r="AO55" s="82"/>
      <c r="AP55" s="136"/>
      <c r="AQ55" s="136"/>
      <c r="AR55" s="136"/>
      <c r="AS55" s="136"/>
      <c r="AT55" s="136"/>
      <c r="AU55" s="136"/>
      <c r="AV55" s="136"/>
      <c r="AW55" s="82"/>
      <c r="AX55" s="82"/>
      <c r="AY55" s="82"/>
      <c r="AZ55" s="82"/>
      <c r="BA55" s="82"/>
    </row>
    <row r="56" spans="1:53" ht="15.75" thickTop="1">
      <c r="A56" s="548">
        <v>1</v>
      </c>
      <c r="B56" s="3" t="s">
        <v>1357</v>
      </c>
      <c r="F56" s="523"/>
      <c r="G56" s="549"/>
      <c r="H56" s="862" t="s">
        <v>3222</v>
      </c>
      <c r="I56" s="1002" t="s">
        <v>3222</v>
      </c>
      <c r="J56" s="1002" t="s">
        <v>3222</v>
      </c>
      <c r="K56" s="1002" t="s">
        <v>3222</v>
      </c>
      <c r="L56" s="1002" t="s">
        <v>3222</v>
      </c>
      <c r="M56" s="1028" t="s">
        <v>3222</v>
      </c>
      <c r="N56" s="433"/>
      <c r="O56" s="433"/>
      <c r="P56" s="433"/>
      <c r="Q56" s="433"/>
      <c r="R56" s="433"/>
      <c r="S56" s="862" t="s">
        <v>623</v>
      </c>
      <c r="T56" s="1002" t="s">
        <v>623</v>
      </c>
      <c r="U56" s="1002" t="s">
        <v>451</v>
      </c>
      <c r="V56" s="1002" t="s">
        <v>623</v>
      </c>
      <c r="W56" s="1002" t="s">
        <v>451</v>
      </c>
      <c r="X56" s="433" t="s">
        <v>623</v>
      </c>
      <c r="Y56" s="1002" t="s">
        <v>623</v>
      </c>
      <c r="AA56" s="433"/>
      <c r="AI56" s="136"/>
      <c r="AJ56" s="136"/>
      <c r="AK56" s="136"/>
      <c r="AL56" s="136"/>
      <c r="AM56" s="136"/>
      <c r="AN56" s="136"/>
      <c r="AO56" s="82"/>
      <c r="AP56" s="136"/>
      <c r="AQ56" s="136"/>
      <c r="AR56" s="136"/>
      <c r="AS56" s="136"/>
      <c r="AT56" s="136"/>
      <c r="AU56" s="136"/>
      <c r="AV56" s="136"/>
      <c r="AW56" s="82"/>
      <c r="AX56" s="82"/>
      <c r="AY56" s="82"/>
      <c r="AZ56" s="82"/>
      <c r="BA56" s="82"/>
    </row>
    <row r="57" spans="1:53" ht="30.75" thickBot="1">
      <c r="A57" s="548">
        <v>2</v>
      </c>
      <c r="B57" s="3" t="s">
        <v>1357</v>
      </c>
      <c r="F57" s="523"/>
      <c r="G57" s="549"/>
      <c r="H57" s="863" t="s">
        <v>3222</v>
      </c>
      <c r="I57" s="433" t="s">
        <v>3222</v>
      </c>
      <c r="J57" s="433" t="s">
        <v>3222</v>
      </c>
      <c r="K57" s="433" t="s">
        <v>3222</v>
      </c>
      <c r="L57" s="433" t="s">
        <v>3222</v>
      </c>
      <c r="M57" s="1029" t="s">
        <v>3222</v>
      </c>
      <c r="N57" s="433"/>
      <c r="O57" s="433"/>
      <c r="P57" s="433"/>
      <c r="Q57" s="433"/>
      <c r="R57" s="433"/>
      <c r="S57" s="863" t="s">
        <v>623</v>
      </c>
      <c r="T57" s="433" t="s">
        <v>623</v>
      </c>
      <c r="U57" s="433" t="s">
        <v>451</v>
      </c>
      <c r="V57" s="433" t="s">
        <v>623</v>
      </c>
      <c r="W57" s="433" t="s">
        <v>451</v>
      </c>
      <c r="X57" s="433" t="s">
        <v>623</v>
      </c>
      <c r="Y57" s="433" t="s">
        <v>623</v>
      </c>
      <c r="Z57" s="874" t="s">
        <v>3363</v>
      </c>
      <c r="AA57" s="433"/>
    </row>
    <row r="58" spans="1:53" ht="15.75" thickTop="1">
      <c r="A58" s="548">
        <v>3</v>
      </c>
      <c r="B58" s="3" t="s">
        <v>1357</v>
      </c>
      <c r="F58" s="523"/>
      <c r="G58" s="549"/>
      <c r="H58" s="863" t="s">
        <v>3222</v>
      </c>
      <c r="I58" s="433" t="s">
        <v>3222</v>
      </c>
      <c r="J58" s="433" t="s">
        <v>3222</v>
      </c>
      <c r="K58" s="433" t="s">
        <v>3222</v>
      </c>
      <c r="L58" s="433" t="s">
        <v>3222</v>
      </c>
      <c r="M58" s="1029" t="s">
        <v>3222</v>
      </c>
      <c r="N58" s="433"/>
      <c r="O58" s="433"/>
      <c r="P58" s="433"/>
      <c r="Q58" s="433"/>
      <c r="R58" s="433"/>
      <c r="S58" s="863" t="s">
        <v>623</v>
      </c>
      <c r="T58" s="433" t="s">
        <v>623</v>
      </c>
      <c r="U58" s="433" t="s">
        <v>451</v>
      </c>
      <c r="V58" s="433" t="s">
        <v>623</v>
      </c>
      <c r="W58" s="433" t="s">
        <v>451</v>
      </c>
      <c r="X58" s="433" t="s">
        <v>623</v>
      </c>
      <c r="Y58" s="433" t="s">
        <v>623</v>
      </c>
      <c r="Z58" s="1003" t="s">
        <v>623</v>
      </c>
      <c r="AA58" s="433"/>
    </row>
    <row r="59" spans="1:53">
      <c r="A59" s="548">
        <v>4</v>
      </c>
      <c r="B59" s="3" t="s">
        <v>1357</v>
      </c>
      <c r="F59" s="523"/>
      <c r="G59" s="549"/>
      <c r="H59" s="863" t="s">
        <v>3222</v>
      </c>
      <c r="I59" s="433" t="s">
        <v>3222</v>
      </c>
      <c r="J59" s="433" t="s">
        <v>3222</v>
      </c>
      <c r="K59" s="433" t="s">
        <v>3222</v>
      </c>
      <c r="L59" s="433" t="s">
        <v>3222</v>
      </c>
      <c r="M59" s="1029" t="s">
        <v>3222</v>
      </c>
      <c r="N59" s="433"/>
      <c r="O59" s="433"/>
      <c r="P59" s="433"/>
      <c r="Q59" s="433"/>
      <c r="R59" s="433"/>
      <c r="S59" s="863" t="s">
        <v>623</v>
      </c>
      <c r="T59" s="433" t="s">
        <v>623</v>
      </c>
      <c r="U59" s="433" t="s">
        <v>451</v>
      </c>
      <c r="V59" s="433" t="s">
        <v>623</v>
      </c>
      <c r="W59" s="433" t="s">
        <v>451</v>
      </c>
      <c r="X59" s="433" t="s">
        <v>623</v>
      </c>
      <c r="Y59" s="433" t="s">
        <v>623</v>
      </c>
      <c r="Z59" s="1004" t="s">
        <v>623</v>
      </c>
      <c r="AA59" s="433"/>
    </row>
    <row r="60" spans="1:53">
      <c r="A60" s="548">
        <v>5</v>
      </c>
      <c r="B60" s="3" t="s">
        <v>1357</v>
      </c>
      <c r="F60" s="523"/>
      <c r="G60" s="549"/>
      <c r="H60" s="863" t="s">
        <v>3222</v>
      </c>
      <c r="I60" s="433" t="s">
        <v>3222</v>
      </c>
      <c r="J60" s="433" t="s">
        <v>3222</v>
      </c>
      <c r="K60" s="433" t="s">
        <v>3222</v>
      </c>
      <c r="L60" s="433" t="s">
        <v>3222</v>
      </c>
      <c r="M60" s="1029" t="s">
        <v>3222</v>
      </c>
      <c r="N60" s="433"/>
      <c r="O60" s="433"/>
      <c r="P60" s="433"/>
      <c r="Q60" s="433"/>
      <c r="R60" s="433"/>
      <c r="S60" s="863" t="s">
        <v>623</v>
      </c>
      <c r="T60" s="433" t="s">
        <v>623</v>
      </c>
      <c r="U60" s="433" t="s">
        <v>451</v>
      </c>
      <c r="V60" s="433" t="s">
        <v>623</v>
      </c>
      <c r="W60" s="433" t="s">
        <v>451</v>
      </c>
      <c r="X60" s="433" t="s">
        <v>623</v>
      </c>
      <c r="Y60" s="433" t="s">
        <v>623</v>
      </c>
      <c r="Z60" s="1004" t="s">
        <v>623</v>
      </c>
    </row>
    <row r="61" spans="1:53">
      <c r="A61" s="548">
        <v>6</v>
      </c>
      <c r="B61" s="3" t="s">
        <v>1357</v>
      </c>
      <c r="F61" s="523"/>
      <c r="G61" s="549"/>
      <c r="H61" s="863" t="s">
        <v>3222</v>
      </c>
      <c r="I61" s="433" t="s">
        <v>3222</v>
      </c>
      <c r="J61" s="433" t="s">
        <v>3222</v>
      </c>
      <c r="K61" s="433" t="s">
        <v>3222</v>
      </c>
      <c r="L61" s="433" t="s">
        <v>3222</v>
      </c>
      <c r="M61" s="1029" t="s">
        <v>3222</v>
      </c>
      <c r="N61" s="433"/>
      <c r="O61" s="433"/>
      <c r="P61" s="433"/>
      <c r="Q61" s="433"/>
      <c r="R61" s="433"/>
      <c r="S61" s="863" t="s">
        <v>623</v>
      </c>
      <c r="T61" s="433" t="s">
        <v>623</v>
      </c>
      <c r="U61" s="433" t="s">
        <v>451</v>
      </c>
      <c r="V61" s="433" t="s">
        <v>623</v>
      </c>
      <c r="W61" s="433" t="s">
        <v>451</v>
      </c>
      <c r="X61" s="433" t="s">
        <v>623</v>
      </c>
      <c r="Y61" s="433" t="s">
        <v>623</v>
      </c>
      <c r="Z61" s="1004" t="s">
        <v>623</v>
      </c>
    </row>
    <row r="62" spans="1:53">
      <c r="A62" s="548">
        <v>7</v>
      </c>
      <c r="B62" s="3" t="s">
        <v>1357</v>
      </c>
      <c r="F62" s="523"/>
      <c r="G62" s="549"/>
      <c r="H62" s="863" t="s">
        <v>3222</v>
      </c>
      <c r="I62" s="433" t="s">
        <v>3222</v>
      </c>
      <c r="J62" s="433" t="s">
        <v>3222</v>
      </c>
      <c r="K62" s="433" t="s">
        <v>3222</v>
      </c>
      <c r="L62" s="433" t="s">
        <v>3222</v>
      </c>
      <c r="M62" s="1029" t="s">
        <v>3222</v>
      </c>
      <c r="N62" s="433"/>
      <c r="O62" s="433"/>
      <c r="P62" s="433"/>
      <c r="Q62" s="433"/>
      <c r="R62" s="433"/>
      <c r="S62" s="863" t="s">
        <v>623</v>
      </c>
      <c r="T62" s="433" t="s">
        <v>623</v>
      </c>
      <c r="U62" s="433" t="s">
        <v>451</v>
      </c>
      <c r="V62" s="433" t="s">
        <v>623</v>
      </c>
      <c r="W62" s="433" t="s">
        <v>451</v>
      </c>
      <c r="X62" s="433" t="s">
        <v>623</v>
      </c>
      <c r="Y62" s="433" t="s">
        <v>623</v>
      </c>
      <c r="Z62" s="1004" t="s">
        <v>623</v>
      </c>
    </row>
    <row r="63" spans="1:53">
      <c r="A63" s="548">
        <v>8</v>
      </c>
      <c r="B63" s="3" t="s">
        <v>1357</v>
      </c>
      <c r="F63" s="523"/>
      <c r="G63" s="549"/>
      <c r="H63" s="863" t="s">
        <v>3222</v>
      </c>
      <c r="I63" s="433" t="s">
        <v>3222</v>
      </c>
      <c r="J63" s="433" t="s">
        <v>3222</v>
      </c>
      <c r="K63" s="433" t="s">
        <v>3222</v>
      </c>
      <c r="L63" s="433" t="s">
        <v>3222</v>
      </c>
      <c r="M63" s="1029" t="s">
        <v>3222</v>
      </c>
      <c r="N63" s="433"/>
      <c r="O63" s="433"/>
      <c r="P63" s="433"/>
      <c r="Q63" s="433"/>
      <c r="R63" s="433"/>
      <c r="S63" s="863" t="s">
        <v>623</v>
      </c>
      <c r="T63" s="433" t="s">
        <v>623</v>
      </c>
      <c r="U63" s="433" t="s">
        <v>451</v>
      </c>
      <c r="V63" s="433" t="s">
        <v>623</v>
      </c>
      <c r="W63" s="433" t="s">
        <v>451</v>
      </c>
      <c r="X63" s="433" t="s">
        <v>623</v>
      </c>
      <c r="Y63" s="433" t="s">
        <v>623</v>
      </c>
      <c r="Z63" s="1004" t="s">
        <v>623</v>
      </c>
    </row>
    <row r="64" spans="1:53">
      <c r="A64" s="548">
        <v>9</v>
      </c>
      <c r="B64" s="3" t="s">
        <v>1357</v>
      </c>
      <c r="F64" s="523"/>
      <c r="G64" s="549"/>
      <c r="H64" s="863" t="s">
        <v>3222</v>
      </c>
      <c r="I64" s="433" t="s">
        <v>3222</v>
      </c>
      <c r="J64" s="433" t="s">
        <v>3222</v>
      </c>
      <c r="K64" s="433" t="s">
        <v>3222</v>
      </c>
      <c r="L64" s="433" t="s">
        <v>3222</v>
      </c>
      <c r="M64" s="1029" t="s">
        <v>3222</v>
      </c>
      <c r="N64" s="433"/>
      <c r="O64" s="433"/>
      <c r="P64" s="433"/>
      <c r="Q64" s="433"/>
      <c r="R64" s="433"/>
      <c r="S64" s="863" t="s">
        <v>623</v>
      </c>
      <c r="T64" s="433" t="s">
        <v>623</v>
      </c>
      <c r="U64" s="433" t="s">
        <v>451</v>
      </c>
      <c r="V64" s="433" t="s">
        <v>623</v>
      </c>
      <c r="W64" s="433" t="s">
        <v>451</v>
      </c>
      <c r="X64" s="433" t="s">
        <v>623</v>
      </c>
      <c r="Y64" s="433" t="s">
        <v>623</v>
      </c>
      <c r="Z64" s="1004" t="s">
        <v>623</v>
      </c>
    </row>
    <row r="65" spans="1:27" ht="15.75" thickBot="1">
      <c r="A65" s="548">
        <v>10</v>
      </c>
      <c r="B65" s="577" t="s">
        <v>1357</v>
      </c>
      <c r="C65" s="577"/>
      <c r="D65" s="577"/>
      <c r="E65" s="577"/>
      <c r="F65" s="814"/>
      <c r="G65" s="578"/>
      <c r="H65" s="864" t="s">
        <v>3222</v>
      </c>
      <c r="I65" s="1005" t="s">
        <v>3222</v>
      </c>
      <c r="J65" s="1005" t="s">
        <v>3222</v>
      </c>
      <c r="K65" s="1005" t="s">
        <v>3222</v>
      </c>
      <c r="L65" s="1005" t="s">
        <v>3222</v>
      </c>
      <c r="M65" s="1030" t="s">
        <v>3222</v>
      </c>
      <c r="N65" s="433"/>
      <c r="O65" s="433"/>
      <c r="P65" s="433"/>
      <c r="Q65" s="433"/>
      <c r="R65" s="433"/>
      <c r="S65" s="864" t="s">
        <v>623</v>
      </c>
      <c r="T65" s="1005" t="s">
        <v>623</v>
      </c>
      <c r="U65" s="1005" t="s">
        <v>451</v>
      </c>
      <c r="V65" s="1005" t="s">
        <v>623</v>
      </c>
      <c r="W65" s="1005" t="s">
        <v>451</v>
      </c>
      <c r="X65" s="1005" t="s">
        <v>623</v>
      </c>
      <c r="Y65" s="1005" t="s">
        <v>623</v>
      </c>
      <c r="Z65" s="1004" t="s">
        <v>623</v>
      </c>
    </row>
    <row r="66" spans="1:27" ht="16.5" thickTop="1" thickBot="1">
      <c r="F66" s="523"/>
      <c r="Z66" s="1004" t="s">
        <v>623</v>
      </c>
    </row>
    <row r="67" spans="1:27" ht="31.5" thickTop="1" thickBot="1">
      <c r="A67" s="584" t="s">
        <v>424</v>
      </c>
      <c r="B67" s="585" t="s">
        <v>425</v>
      </c>
      <c r="C67" s="585" t="s">
        <v>426</v>
      </c>
      <c r="D67" s="585" t="s">
        <v>427</v>
      </c>
      <c r="E67" s="585" t="s">
        <v>3337</v>
      </c>
      <c r="F67" s="585" t="s">
        <v>428</v>
      </c>
      <c r="G67" s="586" t="s">
        <v>429</v>
      </c>
      <c r="H67" s="1049" t="s">
        <v>686</v>
      </c>
      <c r="I67" s="1049" t="s">
        <v>687</v>
      </c>
      <c r="J67" s="1049" t="s">
        <v>688</v>
      </c>
      <c r="K67" s="1049" t="s">
        <v>689</v>
      </c>
      <c r="L67" s="1050" t="s">
        <v>690</v>
      </c>
      <c r="M67" s="1051" t="s">
        <v>632</v>
      </c>
      <c r="N67" s="873"/>
      <c r="O67" s="873"/>
      <c r="P67" s="873"/>
      <c r="Q67" s="873"/>
      <c r="R67" s="873"/>
      <c r="S67" s="1037" t="s">
        <v>3366</v>
      </c>
      <c r="T67" s="725" t="s">
        <v>1230</v>
      </c>
      <c r="U67" s="725" t="s">
        <v>632</v>
      </c>
      <c r="V67" s="725" t="s">
        <v>1238</v>
      </c>
      <c r="W67" s="725" t="s">
        <v>3367</v>
      </c>
      <c r="X67" s="725" t="s">
        <v>1208</v>
      </c>
      <c r="Z67" s="1006" t="s">
        <v>623</v>
      </c>
    </row>
    <row r="68" spans="1:27" ht="15.75" thickTop="1">
      <c r="A68" s="751">
        <v>1</v>
      </c>
      <c r="B68" s="752" t="s">
        <v>691</v>
      </c>
      <c r="C68" s="752"/>
      <c r="D68" s="752"/>
      <c r="E68" s="752"/>
      <c r="F68" s="815"/>
      <c r="G68" s="753"/>
      <c r="H68" s="726">
        <v>5</v>
      </c>
      <c r="I68" s="865" t="s">
        <v>542</v>
      </c>
      <c r="J68" s="865" t="s">
        <v>3221</v>
      </c>
      <c r="K68" s="865" t="s">
        <v>3222</v>
      </c>
      <c r="L68" s="865" t="s">
        <v>3222</v>
      </c>
      <c r="M68" s="728" t="s">
        <v>451</v>
      </c>
      <c r="N68" s="433"/>
      <c r="O68" s="433"/>
      <c r="P68" s="433"/>
      <c r="Q68" s="433"/>
      <c r="R68" s="433"/>
      <c r="S68" s="726" t="s">
        <v>514</v>
      </c>
      <c r="T68" s="865" t="s">
        <v>451</v>
      </c>
      <c r="U68" s="865" t="s">
        <v>500</v>
      </c>
      <c r="V68" s="865" t="s">
        <v>623</v>
      </c>
      <c r="W68" s="865" t="s">
        <v>623</v>
      </c>
      <c r="X68" s="866" t="s">
        <v>623</v>
      </c>
    </row>
    <row r="69" spans="1:27">
      <c r="A69" s="550">
        <v>2</v>
      </c>
      <c r="B69" s="3" t="s">
        <v>691</v>
      </c>
      <c r="F69" s="523"/>
      <c r="G69" s="551"/>
      <c r="H69" s="727">
        <v>5</v>
      </c>
      <c r="I69" s="433" t="s">
        <v>542</v>
      </c>
      <c r="J69" s="433" t="s">
        <v>3221</v>
      </c>
      <c r="K69" s="433" t="s">
        <v>3222</v>
      </c>
      <c r="L69" s="433" t="s">
        <v>3222</v>
      </c>
      <c r="M69" s="728" t="s">
        <v>451</v>
      </c>
      <c r="N69" s="433"/>
      <c r="O69" s="433"/>
      <c r="P69" s="433"/>
      <c r="Q69" s="433"/>
      <c r="R69" s="433"/>
      <c r="S69" s="727" t="s">
        <v>514</v>
      </c>
      <c r="T69" s="433" t="s">
        <v>451</v>
      </c>
      <c r="U69" s="433" t="s">
        <v>500</v>
      </c>
      <c r="V69" s="433" t="s">
        <v>623</v>
      </c>
      <c r="W69" s="433" t="s">
        <v>623</v>
      </c>
      <c r="X69" s="728" t="s">
        <v>623</v>
      </c>
    </row>
    <row r="70" spans="1:27">
      <c r="A70" s="550">
        <v>3</v>
      </c>
      <c r="B70" s="3" t="s">
        <v>691</v>
      </c>
      <c r="F70" s="523"/>
      <c r="G70" s="551"/>
      <c r="H70" s="727">
        <v>5</v>
      </c>
      <c r="I70" s="433" t="s">
        <v>542</v>
      </c>
      <c r="J70" s="433" t="s">
        <v>3221</v>
      </c>
      <c r="K70" s="433" t="s">
        <v>3222</v>
      </c>
      <c r="L70" s="433" t="s">
        <v>3222</v>
      </c>
      <c r="M70" s="728" t="s">
        <v>451</v>
      </c>
      <c r="N70" s="433"/>
      <c r="O70" s="433"/>
      <c r="P70" s="433"/>
      <c r="Q70" s="433"/>
      <c r="R70" s="433"/>
      <c r="S70" s="727" t="s">
        <v>514</v>
      </c>
      <c r="T70" s="433" t="s">
        <v>451</v>
      </c>
      <c r="U70" s="433" t="s">
        <v>500</v>
      </c>
      <c r="V70" s="433" t="s">
        <v>623</v>
      </c>
      <c r="W70" s="433" t="s">
        <v>623</v>
      </c>
      <c r="X70" s="728" t="s">
        <v>623</v>
      </c>
      <c r="AA70" s="873"/>
    </row>
    <row r="71" spans="1:27">
      <c r="A71" s="550">
        <v>4</v>
      </c>
      <c r="B71" s="3" t="s">
        <v>691</v>
      </c>
      <c r="F71" s="523"/>
      <c r="G71" s="551"/>
      <c r="H71" s="727">
        <v>5</v>
      </c>
      <c r="I71" s="433" t="s">
        <v>542</v>
      </c>
      <c r="J71" s="433" t="s">
        <v>3221</v>
      </c>
      <c r="K71" s="433" t="s">
        <v>3222</v>
      </c>
      <c r="L71" s="433" t="s">
        <v>3222</v>
      </c>
      <c r="M71" s="728" t="s">
        <v>451</v>
      </c>
      <c r="N71" s="433"/>
      <c r="O71" s="433"/>
      <c r="P71" s="433"/>
      <c r="Q71" s="433"/>
      <c r="R71" s="433"/>
      <c r="S71" s="727" t="s">
        <v>514</v>
      </c>
      <c r="T71" s="433" t="s">
        <v>451</v>
      </c>
      <c r="U71" s="433" t="s">
        <v>500</v>
      </c>
      <c r="V71" s="433" t="s">
        <v>623</v>
      </c>
      <c r="W71" s="433" t="s">
        <v>623</v>
      </c>
      <c r="X71" s="728" t="s">
        <v>623</v>
      </c>
      <c r="AA71" s="433"/>
    </row>
    <row r="72" spans="1:27">
      <c r="A72" s="550">
        <v>5</v>
      </c>
      <c r="B72" s="3" t="s">
        <v>691</v>
      </c>
      <c r="F72" s="523"/>
      <c r="G72" s="551"/>
      <c r="H72" s="727">
        <v>5</v>
      </c>
      <c r="I72" s="433" t="s">
        <v>542</v>
      </c>
      <c r="J72" s="433" t="s">
        <v>3221</v>
      </c>
      <c r="K72" s="433" t="s">
        <v>3222</v>
      </c>
      <c r="L72" s="433" t="s">
        <v>3222</v>
      </c>
      <c r="M72" s="728" t="s">
        <v>451</v>
      </c>
      <c r="N72" s="433"/>
      <c r="O72" s="433"/>
      <c r="P72" s="433"/>
      <c r="Q72" s="433"/>
      <c r="R72" s="433"/>
      <c r="S72" s="727" t="s">
        <v>514</v>
      </c>
      <c r="T72" s="433" t="s">
        <v>451</v>
      </c>
      <c r="U72" s="433" t="s">
        <v>500</v>
      </c>
      <c r="V72" s="433" t="s">
        <v>623</v>
      </c>
      <c r="W72" s="433" t="s">
        <v>623</v>
      </c>
      <c r="X72" s="728" t="s">
        <v>623</v>
      </c>
      <c r="AA72" s="433"/>
    </row>
    <row r="73" spans="1:27">
      <c r="A73" s="550">
        <v>6</v>
      </c>
      <c r="B73" s="3" t="s">
        <v>691</v>
      </c>
      <c r="G73" s="551"/>
      <c r="H73" s="727">
        <v>5</v>
      </c>
      <c r="I73" s="433" t="s">
        <v>542</v>
      </c>
      <c r="J73" s="433" t="s">
        <v>3221</v>
      </c>
      <c r="K73" s="433" t="s">
        <v>3222</v>
      </c>
      <c r="L73" s="433" t="s">
        <v>3222</v>
      </c>
      <c r="M73" s="728" t="s">
        <v>451</v>
      </c>
      <c r="N73" s="433"/>
      <c r="O73" s="433"/>
      <c r="P73" s="433"/>
      <c r="Q73" s="433"/>
      <c r="R73" s="433"/>
      <c r="S73" s="727" t="s">
        <v>514</v>
      </c>
      <c r="T73" s="433" t="s">
        <v>451</v>
      </c>
      <c r="U73" s="433" t="s">
        <v>500</v>
      </c>
      <c r="V73" s="433" t="s">
        <v>623</v>
      </c>
      <c r="W73" s="433" t="s">
        <v>623</v>
      </c>
      <c r="X73" s="728" t="s">
        <v>623</v>
      </c>
      <c r="AA73" s="433"/>
    </row>
    <row r="74" spans="1:27">
      <c r="A74" s="550">
        <v>7</v>
      </c>
      <c r="B74" s="3" t="s">
        <v>691</v>
      </c>
      <c r="F74" s="523"/>
      <c r="G74" s="551"/>
      <c r="H74" s="727">
        <v>5</v>
      </c>
      <c r="I74" s="433" t="s">
        <v>542</v>
      </c>
      <c r="J74" s="433" t="s">
        <v>3221</v>
      </c>
      <c r="K74" s="433" t="s">
        <v>3222</v>
      </c>
      <c r="L74" s="433" t="s">
        <v>3222</v>
      </c>
      <c r="M74" s="728" t="s">
        <v>451</v>
      </c>
      <c r="N74" s="433"/>
      <c r="O74" s="433"/>
      <c r="P74" s="433"/>
      <c r="Q74" s="433"/>
      <c r="R74" s="433"/>
      <c r="S74" s="727" t="s">
        <v>514</v>
      </c>
      <c r="T74" s="433" t="s">
        <v>451</v>
      </c>
      <c r="U74" s="433" t="s">
        <v>500</v>
      </c>
      <c r="V74" s="433" t="s">
        <v>623</v>
      </c>
      <c r="W74" s="433" t="s">
        <v>623</v>
      </c>
      <c r="X74" s="728" t="s">
        <v>623</v>
      </c>
      <c r="AA74" s="433"/>
    </row>
    <row r="75" spans="1:27">
      <c r="A75" s="550">
        <v>8</v>
      </c>
      <c r="B75" s="3" t="s">
        <v>691</v>
      </c>
      <c r="F75" s="523"/>
      <c r="G75" s="551"/>
      <c r="H75" s="727">
        <v>5</v>
      </c>
      <c r="I75" s="433" t="s">
        <v>542</v>
      </c>
      <c r="J75" s="433" t="s">
        <v>3221</v>
      </c>
      <c r="K75" s="433" t="s">
        <v>3222</v>
      </c>
      <c r="L75" s="433" t="s">
        <v>3222</v>
      </c>
      <c r="M75" s="728" t="s">
        <v>451</v>
      </c>
      <c r="N75" s="433"/>
      <c r="O75" s="433"/>
      <c r="P75" s="433"/>
      <c r="Q75" s="433"/>
      <c r="R75" s="433"/>
      <c r="S75" s="727" t="s">
        <v>514</v>
      </c>
      <c r="T75" s="433" t="s">
        <v>451</v>
      </c>
      <c r="U75" s="433" t="s">
        <v>500</v>
      </c>
      <c r="V75" s="433" t="s">
        <v>623</v>
      </c>
      <c r="W75" s="433" t="s">
        <v>623</v>
      </c>
      <c r="X75" s="728" t="s">
        <v>623</v>
      </c>
      <c r="AA75" s="433"/>
    </row>
    <row r="76" spans="1:27">
      <c r="A76" s="550">
        <v>9</v>
      </c>
      <c r="B76" s="3" t="s">
        <v>691</v>
      </c>
      <c r="F76" s="523"/>
      <c r="G76" s="551"/>
      <c r="H76" s="727" t="s">
        <v>3222</v>
      </c>
      <c r="I76" s="433" t="s">
        <v>542</v>
      </c>
      <c r="J76" s="433" t="s">
        <v>3221</v>
      </c>
      <c r="K76" s="433" t="s">
        <v>3222</v>
      </c>
      <c r="L76" s="433" t="s">
        <v>3222</v>
      </c>
      <c r="M76" s="728" t="s">
        <v>451</v>
      </c>
      <c r="N76" s="433"/>
      <c r="O76" s="433"/>
      <c r="P76" s="433"/>
      <c r="Q76" s="433"/>
      <c r="R76" s="433"/>
      <c r="S76" s="727" t="s">
        <v>514</v>
      </c>
      <c r="T76" s="433" t="s">
        <v>451</v>
      </c>
      <c r="U76" s="433" t="s">
        <v>500</v>
      </c>
      <c r="V76" s="433" t="s">
        <v>623</v>
      </c>
      <c r="W76" s="433" t="s">
        <v>623</v>
      </c>
      <c r="X76" s="728" t="s">
        <v>623</v>
      </c>
      <c r="AA76" s="598" t="s">
        <v>625</v>
      </c>
    </row>
    <row r="77" spans="1:27" ht="15.75" thickBot="1">
      <c r="A77" s="754">
        <v>10</v>
      </c>
      <c r="B77" s="582" t="s">
        <v>691</v>
      </c>
      <c r="C77" s="582"/>
      <c r="D77" s="582"/>
      <c r="E77" s="582"/>
      <c r="F77" s="816"/>
      <c r="G77" s="583"/>
      <c r="H77" s="729" t="s">
        <v>3222</v>
      </c>
      <c r="I77" s="730" t="s">
        <v>542</v>
      </c>
      <c r="J77" s="730" t="s">
        <v>3221</v>
      </c>
      <c r="K77" s="730" t="s">
        <v>3222</v>
      </c>
      <c r="L77" s="730" t="s">
        <v>3222</v>
      </c>
      <c r="M77" s="731" t="s">
        <v>451</v>
      </c>
      <c r="N77" s="433"/>
      <c r="O77" s="433"/>
      <c r="P77" s="433"/>
      <c r="Q77" s="433"/>
      <c r="R77" s="433"/>
      <c r="S77" s="729" t="s">
        <v>514</v>
      </c>
      <c r="T77" s="730" t="s">
        <v>451</v>
      </c>
      <c r="U77" s="730" t="s">
        <v>500</v>
      </c>
      <c r="V77" s="730" t="s">
        <v>623</v>
      </c>
      <c r="W77" s="730" t="s">
        <v>623</v>
      </c>
      <c r="X77" s="731" t="s">
        <v>623</v>
      </c>
    </row>
    <row r="78" spans="1:27" ht="16.5" thickTop="1" thickBot="1">
      <c r="F78" s="523"/>
    </row>
    <row r="79" spans="1:27" ht="76.5" thickTop="1" thickBot="1">
      <c r="A79" s="1041" t="s">
        <v>424</v>
      </c>
      <c r="B79" s="1042" t="s">
        <v>425</v>
      </c>
      <c r="C79" s="1042" t="s">
        <v>426</v>
      </c>
      <c r="D79" s="1042" t="s">
        <v>427</v>
      </c>
      <c r="E79" s="1042" t="s">
        <v>3337</v>
      </c>
      <c r="F79" s="1042" t="s">
        <v>428</v>
      </c>
      <c r="G79" s="1043" t="s">
        <v>429</v>
      </c>
      <c r="H79" s="1039" t="s">
        <v>716</v>
      </c>
      <c r="I79" s="1039" t="s">
        <v>717</v>
      </c>
      <c r="J79" s="1039" t="s">
        <v>718</v>
      </c>
      <c r="K79" s="1039" t="s">
        <v>719</v>
      </c>
      <c r="L79" s="1057" t="s">
        <v>720</v>
      </c>
      <c r="M79" s="1058" t="s">
        <v>632</v>
      </c>
      <c r="N79" s="873"/>
      <c r="O79" s="873"/>
      <c r="P79" s="873"/>
      <c r="Q79" s="873"/>
      <c r="R79" s="873"/>
      <c r="S79" s="1038" t="s">
        <v>1232</v>
      </c>
      <c r="T79" s="1039" t="s">
        <v>632</v>
      </c>
      <c r="U79" s="1039" t="s">
        <v>1210</v>
      </c>
      <c r="V79" s="1039" t="s">
        <v>1240</v>
      </c>
      <c r="W79" s="1040" t="s">
        <v>3368</v>
      </c>
    </row>
    <row r="80" spans="1:27" ht="15.75" thickTop="1">
      <c r="A80" s="1044">
        <v>1</v>
      </c>
      <c r="B80" s="3" t="s">
        <v>721</v>
      </c>
      <c r="C80" s="3" t="s">
        <v>692</v>
      </c>
      <c r="D80" s="3" t="s">
        <v>693</v>
      </c>
      <c r="E80" s="3">
        <v>83</v>
      </c>
      <c r="F80" s="523" t="s">
        <v>694</v>
      </c>
      <c r="G80" s="588">
        <v>6973805890</v>
      </c>
      <c r="H80" s="867" t="s">
        <v>3222</v>
      </c>
      <c r="I80" s="868" t="s">
        <v>3619</v>
      </c>
      <c r="J80" s="868" t="s">
        <v>3222</v>
      </c>
      <c r="K80" s="868" t="s">
        <v>3619</v>
      </c>
      <c r="L80" s="868" t="s">
        <v>3222</v>
      </c>
      <c r="M80" s="1053" t="s">
        <v>451</v>
      </c>
      <c r="N80" s="433"/>
      <c r="O80" s="433"/>
      <c r="P80" s="433"/>
      <c r="Q80" s="433"/>
      <c r="R80" s="433"/>
      <c r="S80" s="1059" t="s">
        <v>562</v>
      </c>
      <c r="T80" s="868" t="s">
        <v>551</v>
      </c>
      <c r="U80" s="868" t="s">
        <v>623</v>
      </c>
      <c r="V80" s="868" t="s">
        <v>623</v>
      </c>
      <c r="W80" s="1052" t="s">
        <v>562</v>
      </c>
    </row>
    <row r="81" spans="1:41">
      <c r="A81" s="1044">
        <v>2</v>
      </c>
      <c r="B81" s="3" t="s">
        <v>721</v>
      </c>
      <c r="C81" s="3" t="s">
        <v>696</v>
      </c>
      <c r="D81" s="3" t="s">
        <v>697</v>
      </c>
      <c r="E81" s="3">
        <v>88</v>
      </c>
      <c r="F81" s="523" t="s">
        <v>698</v>
      </c>
      <c r="G81" s="588">
        <v>6987666484</v>
      </c>
      <c r="H81" s="869" t="s">
        <v>3222</v>
      </c>
      <c r="I81" s="433" t="s">
        <v>3619</v>
      </c>
      <c r="J81" s="433" t="s">
        <v>3222</v>
      </c>
      <c r="K81" s="433" t="s">
        <v>3619</v>
      </c>
      <c r="L81" s="433" t="s">
        <v>3222</v>
      </c>
      <c r="M81" s="1053" t="s">
        <v>451</v>
      </c>
      <c r="N81" s="433"/>
      <c r="O81" s="433"/>
      <c r="P81" s="433"/>
      <c r="Q81" s="433"/>
      <c r="R81" s="433"/>
      <c r="S81" s="1060" t="s">
        <v>562</v>
      </c>
      <c r="T81" s="433" t="s">
        <v>551</v>
      </c>
      <c r="U81" s="433" t="s">
        <v>623</v>
      </c>
      <c r="V81" s="433" t="s">
        <v>623</v>
      </c>
      <c r="W81" s="1053" t="s">
        <v>562</v>
      </c>
    </row>
    <row r="82" spans="1:41">
      <c r="A82" s="1044">
        <v>3</v>
      </c>
      <c r="B82" s="3" t="s">
        <v>721</v>
      </c>
      <c r="C82" s="3" t="s">
        <v>699</v>
      </c>
      <c r="D82" s="3" t="s">
        <v>700</v>
      </c>
      <c r="E82" s="3">
        <v>52</v>
      </c>
      <c r="F82" s="523" t="s">
        <v>701</v>
      </c>
      <c r="G82" s="588">
        <v>6989801222</v>
      </c>
      <c r="H82" s="869" t="s">
        <v>3222</v>
      </c>
      <c r="I82" s="433">
        <v>11</v>
      </c>
      <c r="J82" s="433" t="s">
        <v>3222</v>
      </c>
      <c r="K82" s="433" t="s">
        <v>3619</v>
      </c>
      <c r="L82" s="433" t="s">
        <v>3222</v>
      </c>
      <c r="M82" s="1053" t="s">
        <v>451</v>
      </c>
      <c r="N82" s="433"/>
      <c r="O82" s="433"/>
      <c r="P82" s="433"/>
      <c r="Q82" s="433"/>
      <c r="R82" s="433"/>
      <c r="S82" s="1060" t="s">
        <v>562</v>
      </c>
      <c r="T82" s="433" t="s">
        <v>551</v>
      </c>
      <c r="U82" s="433" t="s">
        <v>623</v>
      </c>
      <c r="V82" s="433" t="s">
        <v>623</v>
      </c>
      <c r="W82" s="1053" t="s">
        <v>562</v>
      </c>
    </row>
    <row r="83" spans="1:41">
      <c r="A83" s="1044">
        <v>4</v>
      </c>
      <c r="B83" s="3" t="s">
        <v>721</v>
      </c>
      <c r="C83" s="3" t="s">
        <v>676</v>
      </c>
      <c r="D83" s="3" t="s">
        <v>702</v>
      </c>
      <c r="E83" s="3">
        <v>55</v>
      </c>
      <c r="F83" s="523" t="s">
        <v>703</v>
      </c>
      <c r="G83" s="588">
        <v>6949909988</v>
      </c>
      <c r="H83" s="869" t="s">
        <v>3222</v>
      </c>
      <c r="I83" s="433" t="s">
        <v>3619</v>
      </c>
      <c r="J83" s="433" t="s">
        <v>3222</v>
      </c>
      <c r="K83" s="433" t="s">
        <v>3619</v>
      </c>
      <c r="L83" s="433" t="s">
        <v>3222</v>
      </c>
      <c r="M83" s="1053" t="s">
        <v>451</v>
      </c>
      <c r="N83" s="433"/>
      <c r="O83" s="433"/>
      <c r="P83" s="433"/>
      <c r="Q83" s="433"/>
      <c r="R83" s="433"/>
      <c r="S83" s="1060" t="s">
        <v>562</v>
      </c>
      <c r="T83" s="433" t="s">
        <v>551</v>
      </c>
      <c r="U83" s="433" t="s">
        <v>623</v>
      </c>
      <c r="V83" s="433" t="s">
        <v>623</v>
      </c>
      <c r="W83" s="1053" t="s">
        <v>562</v>
      </c>
      <c r="AN83" s="81"/>
      <c r="AO83"/>
    </row>
    <row r="84" spans="1:41">
      <c r="A84" s="1044">
        <v>5</v>
      </c>
      <c r="B84" s="3" t="s">
        <v>721</v>
      </c>
      <c r="C84" s="3" t="s">
        <v>704</v>
      </c>
      <c r="D84" s="3" t="s">
        <v>705</v>
      </c>
      <c r="E84" s="3">
        <v>54</v>
      </c>
      <c r="F84" s="523" t="s">
        <v>706</v>
      </c>
      <c r="G84" s="588">
        <v>6976024153</v>
      </c>
      <c r="H84" s="870" t="s">
        <v>3222</v>
      </c>
      <c r="I84" s="433" t="s">
        <v>3619</v>
      </c>
      <c r="J84" s="433" t="s">
        <v>3222</v>
      </c>
      <c r="K84" s="433" t="s">
        <v>3619</v>
      </c>
      <c r="L84" s="433" t="s">
        <v>3222</v>
      </c>
      <c r="M84" s="1053" t="s">
        <v>451</v>
      </c>
      <c r="N84" s="433"/>
      <c r="O84" s="433"/>
      <c r="P84" s="433"/>
      <c r="Q84" s="433"/>
      <c r="R84" s="433"/>
      <c r="S84" s="1061" t="s">
        <v>562</v>
      </c>
      <c r="T84" s="433" t="s">
        <v>551</v>
      </c>
      <c r="U84" s="433" t="s">
        <v>623</v>
      </c>
      <c r="V84" s="433" t="s">
        <v>623</v>
      </c>
      <c r="W84" s="1053" t="s">
        <v>562</v>
      </c>
      <c r="AN84" s="81"/>
      <c r="AO84"/>
    </row>
    <row r="85" spans="1:41">
      <c r="A85" s="1044">
        <v>6</v>
      </c>
      <c r="B85" s="3" t="s">
        <v>721</v>
      </c>
      <c r="C85" s="3" t="s">
        <v>692</v>
      </c>
      <c r="D85" s="3" t="s">
        <v>707</v>
      </c>
      <c r="E85" s="3">
        <v>53</v>
      </c>
      <c r="F85" s="523" t="s">
        <v>708</v>
      </c>
      <c r="G85" s="588">
        <v>6986783854</v>
      </c>
      <c r="H85" s="870" t="s">
        <v>3222</v>
      </c>
      <c r="I85" s="433" t="s">
        <v>3619</v>
      </c>
      <c r="J85" s="433" t="s">
        <v>3222</v>
      </c>
      <c r="K85" s="433" t="s">
        <v>3619</v>
      </c>
      <c r="L85" s="433" t="s">
        <v>3222</v>
      </c>
      <c r="M85" s="1053" t="s">
        <v>451</v>
      </c>
      <c r="N85" s="433"/>
      <c r="O85" s="433"/>
      <c r="P85" s="433"/>
      <c r="Q85" s="433"/>
      <c r="R85" s="433"/>
      <c r="S85" s="1061" t="s">
        <v>562</v>
      </c>
      <c r="T85" s="433" t="s">
        <v>551</v>
      </c>
      <c r="U85" s="433" t="s">
        <v>623</v>
      </c>
      <c r="V85" s="433" t="s">
        <v>623</v>
      </c>
      <c r="W85" s="1053" t="s">
        <v>562</v>
      </c>
      <c r="AN85" s="81"/>
      <c r="AO85"/>
    </row>
    <row r="86" spans="1:41">
      <c r="A86" s="1044">
        <v>7</v>
      </c>
      <c r="B86" s="3" t="s">
        <v>721</v>
      </c>
      <c r="C86" s="3" t="s">
        <v>544</v>
      </c>
      <c r="D86" s="3" t="s">
        <v>711</v>
      </c>
      <c r="E86" s="3">
        <v>56</v>
      </c>
      <c r="F86" s="523" t="s">
        <v>712</v>
      </c>
      <c r="G86" s="588">
        <v>6974068149</v>
      </c>
      <c r="H86" s="869" t="s">
        <v>3222</v>
      </c>
      <c r="I86" s="433" t="s">
        <v>3619</v>
      </c>
      <c r="J86" s="433" t="s">
        <v>3222</v>
      </c>
      <c r="K86" s="433" t="s">
        <v>3619</v>
      </c>
      <c r="L86" s="433" t="s">
        <v>3222</v>
      </c>
      <c r="M86" s="1053" t="s">
        <v>451</v>
      </c>
      <c r="N86" s="433"/>
      <c r="O86" s="433"/>
      <c r="P86" s="433"/>
      <c r="Q86" s="433"/>
      <c r="R86" s="433"/>
      <c r="S86" s="1060" t="s">
        <v>562</v>
      </c>
      <c r="T86" s="433" t="s">
        <v>551</v>
      </c>
      <c r="U86" s="433" t="s">
        <v>623</v>
      </c>
      <c r="V86" s="433" t="s">
        <v>623</v>
      </c>
      <c r="W86" s="1053" t="s">
        <v>562</v>
      </c>
      <c r="AN86" s="81"/>
      <c r="AO86"/>
    </row>
    <row r="87" spans="1:41">
      <c r="A87" s="1044">
        <v>8</v>
      </c>
      <c r="B87" s="3" t="s">
        <v>721</v>
      </c>
      <c r="C87" s="3" t="s">
        <v>713</v>
      </c>
      <c r="D87" s="3" t="s">
        <v>714</v>
      </c>
      <c r="E87" s="3">
        <v>51</v>
      </c>
      <c r="F87" s="523" t="s">
        <v>715</v>
      </c>
      <c r="G87" s="588">
        <v>6945766487</v>
      </c>
      <c r="H87" s="869" t="s">
        <v>3222</v>
      </c>
      <c r="I87" s="433">
        <v>11</v>
      </c>
      <c r="J87" s="433" t="s">
        <v>3222</v>
      </c>
      <c r="K87" s="433" t="s">
        <v>3619</v>
      </c>
      <c r="L87" s="433" t="s">
        <v>3222</v>
      </c>
      <c r="M87" s="1053" t="s">
        <v>451</v>
      </c>
      <c r="N87" s="433"/>
      <c r="O87" s="433"/>
      <c r="P87" s="433"/>
      <c r="Q87" s="433"/>
      <c r="R87" s="433"/>
      <c r="S87" s="1060" t="s">
        <v>562</v>
      </c>
      <c r="T87" s="433" t="s">
        <v>551</v>
      </c>
      <c r="U87" s="433" t="s">
        <v>623</v>
      </c>
      <c r="V87" s="433" t="s">
        <v>623</v>
      </c>
      <c r="W87" s="1053" t="s">
        <v>562</v>
      </c>
      <c r="AN87" s="81"/>
      <c r="AO87"/>
    </row>
    <row r="88" spans="1:41" ht="15.75" thickBot="1">
      <c r="A88" s="1045">
        <v>9</v>
      </c>
      <c r="B88" s="1046" t="s">
        <v>721</v>
      </c>
      <c r="C88" s="1046" t="s">
        <v>3320</v>
      </c>
      <c r="D88" s="1046" t="s">
        <v>3316</v>
      </c>
      <c r="E88" s="1046" t="s">
        <v>771</v>
      </c>
      <c r="F88" s="1047" t="s">
        <v>3318</v>
      </c>
      <c r="G88" s="1048">
        <v>6940584115</v>
      </c>
      <c r="H88" s="1054" t="s">
        <v>3222</v>
      </c>
      <c r="I88" s="1055" t="s">
        <v>3619</v>
      </c>
      <c r="J88" s="1055" t="s">
        <v>3222</v>
      </c>
      <c r="K88" s="1055" t="s">
        <v>3619</v>
      </c>
      <c r="L88" s="1055" t="s">
        <v>3222</v>
      </c>
      <c r="M88" s="1056" t="s">
        <v>451</v>
      </c>
      <c r="N88" s="433"/>
      <c r="O88" s="433"/>
      <c r="P88" s="433"/>
      <c r="Q88" s="433"/>
      <c r="R88" s="433"/>
      <c r="S88" s="1062" t="s">
        <v>562</v>
      </c>
      <c r="T88" s="1055" t="s">
        <v>551</v>
      </c>
      <c r="U88" s="1055" t="s">
        <v>623</v>
      </c>
      <c r="V88" s="1055" t="s">
        <v>623</v>
      </c>
      <c r="W88" s="1056" t="s">
        <v>562</v>
      </c>
      <c r="AN88" s="81"/>
      <c r="AO88"/>
    </row>
    <row r="89" spans="1:41" ht="16.5" thickTop="1" thickBot="1">
      <c r="F89" s="523"/>
      <c r="O89" s="433"/>
      <c r="P89" s="433"/>
      <c r="Q89" s="433"/>
      <c r="R89" s="433"/>
      <c r="AA89"/>
      <c r="AN89" s="81"/>
      <c r="AO89"/>
    </row>
    <row r="90" spans="1:41" ht="31.5" thickTop="1" thickBot="1">
      <c r="A90" s="595" t="s">
        <v>424</v>
      </c>
      <c r="B90" s="596" t="s">
        <v>425</v>
      </c>
      <c r="C90" s="596" t="s">
        <v>426</v>
      </c>
      <c r="D90" s="596" t="s">
        <v>427</v>
      </c>
      <c r="E90" s="596" t="s">
        <v>3337</v>
      </c>
      <c r="F90" s="596" t="s">
        <v>428</v>
      </c>
      <c r="G90" s="597" t="s">
        <v>429</v>
      </c>
      <c r="H90" s="715" t="s">
        <v>686</v>
      </c>
      <c r="I90" s="715" t="s">
        <v>752</v>
      </c>
      <c r="J90" s="715" t="s">
        <v>753</v>
      </c>
      <c r="K90" s="715" t="s">
        <v>754</v>
      </c>
      <c r="L90" s="715" t="s">
        <v>690</v>
      </c>
      <c r="M90" s="1063" t="s">
        <v>755</v>
      </c>
      <c r="N90" s="873"/>
      <c r="S90" s="1064" t="s">
        <v>1691</v>
      </c>
      <c r="T90" s="715" t="s">
        <v>3369</v>
      </c>
      <c r="U90" s="715" t="s">
        <v>2656</v>
      </c>
      <c r="V90" s="715" t="s">
        <v>2540</v>
      </c>
      <c r="W90" s="715" t="s">
        <v>3367</v>
      </c>
      <c r="X90" s="715" t="s">
        <v>1208</v>
      </c>
      <c r="AA90"/>
      <c r="AN90" s="81"/>
      <c r="AO90"/>
    </row>
    <row r="91" spans="1:41" ht="15.75" thickTop="1">
      <c r="A91" s="1080">
        <v>1</v>
      </c>
      <c r="B91" s="1081" t="s">
        <v>756</v>
      </c>
      <c r="C91" s="1081" t="s">
        <v>746</v>
      </c>
      <c r="D91" s="1081" t="s">
        <v>3666</v>
      </c>
      <c r="E91" s="1081"/>
      <c r="F91" s="1082" t="s">
        <v>3667</v>
      </c>
      <c r="G91" s="1083">
        <v>6988281254</v>
      </c>
      <c r="H91" s="716" t="s">
        <v>3222</v>
      </c>
      <c r="I91" s="717" t="s">
        <v>542</v>
      </c>
      <c r="J91" s="717" t="s">
        <v>3221</v>
      </c>
      <c r="K91" s="717" t="s">
        <v>3222</v>
      </c>
      <c r="L91" s="717" t="s">
        <v>3222</v>
      </c>
      <c r="M91" s="718" t="s">
        <v>451</v>
      </c>
      <c r="N91" s="433"/>
      <c r="O91" s="873"/>
      <c r="P91" s="873"/>
      <c r="Q91" s="873"/>
      <c r="R91" s="873"/>
      <c r="S91" s="716" t="s">
        <v>514</v>
      </c>
      <c r="T91" s="717" t="s">
        <v>451</v>
      </c>
      <c r="U91" s="717" t="s">
        <v>500</v>
      </c>
      <c r="V91" s="717" t="s">
        <v>623</v>
      </c>
      <c r="W91" s="717" t="s">
        <v>623</v>
      </c>
      <c r="X91" s="718" t="s">
        <v>623</v>
      </c>
      <c r="AA91"/>
      <c r="AN91" s="81"/>
      <c r="AO91"/>
    </row>
    <row r="92" spans="1:41">
      <c r="A92" s="1084">
        <v>2</v>
      </c>
      <c r="B92" s="882" t="s">
        <v>756</v>
      </c>
      <c r="C92" s="882" t="s">
        <v>683</v>
      </c>
      <c r="D92" s="882" t="s">
        <v>3668</v>
      </c>
      <c r="E92" s="882"/>
      <c r="F92" s="1078" t="s">
        <v>3669</v>
      </c>
      <c r="G92" s="1085">
        <v>6942286531</v>
      </c>
      <c r="H92" s="719" t="s">
        <v>3222</v>
      </c>
      <c r="I92" s="433" t="s">
        <v>542</v>
      </c>
      <c r="J92" s="433" t="s">
        <v>3221</v>
      </c>
      <c r="K92" s="433" t="s">
        <v>3222</v>
      </c>
      <c r="L92" s="433" t="s">
        <v>3222</v>
      </c>
      <c r="M92" s="720" t="s">
        <v>451</v>
      </c>
      <c r="N92" s="433"/>
      <c r="O92" s="433"/>
      <c r="P92" s="433"/>
      <c r="Q92" s="433"/>
      <c r="R92" s="433"/>
      <c r="S92" s="719" t="s">
        <v>514</v>
      </c>
      <c r="T92" s="433" t="s">
        <v>451</v>
      </c>
      <c r="U92" s="433" t="s">
        <v>500</v>
      </c>
      <c r="V92" s="433" t="s">
        <v>623</v>
      </c>
      <c r="W92" s="433" t="s">
        <v>623</v>
      </c>
      <c r="X92" s="720" t="s">
        <v>623</v>
      </c>
      <c r="AA92"/>
      <c r="AN92" s="81"/>
      <c r="AO92"/>
    </row>
    <row r="93" spans="1:41">
      <c r="A93" s="546">
        <v>3</v>
      </c>
      <c r="B93" s="3" t="s">
        <v>756</v>
      </c>
      <c r="F93" s="523"/>
      <c r="G93" s="547"/>
      <c r="H93" s="719" t="s">
        <v>3222</v>
      </c>
      <c r="I93" s="433" t="s">
        <v>542</v>
      </c>
      <c r="J93" s="433" t="s">
        <v>3221</v>
      </c>
      <c r="K93" s="433" t="s">
        <v>3222</v>
      </c>
      <c r="L93" s="433" t="s">
        <v>3222</v>
      </c>
      <c r="M93" s="720" t="s">
        <v>451</v>
      </c>
      <c r="N93" s="433"/>
      <c r="O93" s="433"/>
      <c r="P93" s="433"/>
      <c r="Q93" s="433"/>
      <c r="R93" s="433"/>
      <c r="S93" s="719" t="s">
        <v>514</v>
      </c>
      <c r="T93" s="433" t="s">
        <v>451</v>
      </c>
      <c r="U93" s="433" t="s">
        <v>500</v>
      </c>
      <c r="V93" s="433" t="s">
        <v>623</v>
      </c>
      <c r="W93" s="433" t="s">
        <v>623</v>
      </c>
      <c r="X93" s="720" t="s">
        <v>623</v>
      </c>
      <c r="AA93"/>
      <c r="AN93" s="81"/>
      <c r="AO93"/>
    </row>
    <row r="94" spans="1:41">
      <c r="A94" s="546">
        <v>4</v>
      </c>
      <c r="B94" s="3" t="s">
        <v>756</v>
      </c>
      <c r="F94" s="523"/>
      <c r="G94" s="547"/>
      <c r="H94" s="719" t="s">
        <v>3222</v>
      </c>
      <c r="I94" s="433" t="s">
        <v>542</v>
      </c>
      <c r="J94" s="433" t="s">
        <v>3221</v>
      </c>
      <c r="K94" s="433" t="s">
        <v>3222</v>
      </c>
      <c r="L94" s="433" t="s">
        <v>3222</v>
      </c>
      <c r="M94" s="720" t="s">
        <v>451</v>
      </c>
      <c r="N94" s="433"/>
      <c r="O94" s="433"/>
      <c r="P94" s="433"/>
      <c r="Q94" s="433"/>
      <c r="R94" s="433"/>
      <c r="S94" s="719" t="s">
        <v>514</v>
      </c>
      <c r="T94" s="433" t="s">
        <v>451</v>
      </c>
      <c r="U94" s="433" t="s">
        <v>500</v>
      </c>
      <c r="V94" s="433" t="s">
        <v>623</v>
      </c>
      <c r="W94" s="433" t="s">
        <v>623</v>
      </c>
      <c r="X94" s="720" t="s">
        <v>623</v>
      </c>
      <c r="AA94"/>
      <c r="AN94" s="81"/>
      <c r="AO94"/>
    </row>
    <row r="95" spans="1:41">
      <c r="A95" s="546">
        <v>5</v>
      </c>
      <c r="B95" s="3" t="s">
        <v>756</v>
      </c>
      <c r="F95" s="523"/>
      <c r="G95" s="547"/>
      <c r="H95" s="719" t="s">
        <v>3222</v>
      </c>
      <c r="I95" s="433" t="s">
        <v>542</v>
      </c>
      <c r="J95" s="433" t="s">
        <v>3221</v>
      </c>
      <c r="K95" s="433" t="s">
        <v>3222</v>
      </c>
      <c r="L95" s="433" t="s">
        <v>3222</v>
      </c>
      <c r="M95" s="720" t="s">
        <v>451</v>
      </c>
      <c r="N95" s="433"/>
      <c r="O95" s="433"/>
      <c r="P95" s="433"/>
      <c r="Q95" s="433"/>
      <c r="R95" s="433"/>
      <c r="S95" s="719" t="s">
        <v>514</v>
      </c>
      <c r="T95" s="433" t="s">
        <v>451</v>
      </c>
      <c r="U95" s="433" t="s">
        <v>500</v>
      </c>
      <c r="V95" s="433" t="s">
        <v>623</v>
      </c>
      <c r="W95" s="433" t="s">
        <v>623</v>
      </c>
      <c r="X95" s="720" t="s">
        <v>623</v>
      </c>
      <c r="AA95"/>
      <c r="AN95" s="81"/>
      <c r="AO95"/>
    </row>
    <row r="96" spans="1:41">
      <c r="A96" s="546">
        <v>6</v>
      </c>
      <c r="B96" s="3" t="s">
        <v>756</v>
      </c>
      <c r="F96" s="523"/>
      <c r="G96" s="547"/>
      <c r="H96" s="719" t="s">
        <v>3222</v>
      </c>
      <c r="I96" s="433" t="s">
        <v>542</v>
      </c>
      <c r="J96" s="433" t="s">
        <v>3221</v>
      </c>
      <c r="K96" s="433" t="s">
        <v>3222</v>
      </c>
      <c r="L96" s="433" t="s">
        <v>3222</v>
      </c>
      <c r="M96" s="720" t="s">
        <v>451</v>
      </c>
      <c r="N96" s="433"/>
      <c r="O96" s="433"/>
      <c r="P96" s="433"/>
      <c r="Q96" s="433"/>
      <c r="R96" s="433"/>
      <c r="S96" s="719" t="s">
        <v>514</v>
      </c>
      <c r="T96" s="433" t="s">
        <v>451</v>
      </c>
      <c r="U96" s="433" t="s">
        <v>500</v>
      </c>
      <c r="V96" s="433" t="s">
        <v>623</v>
      </c>
      <c r="W96" s="433" t="s">
        <v>623</v>
      </c>
      <c r="X96" s="720" t="s">
        <v>623</v>
      </c>
      <c r="AA96"/>
      <c r="AN96" s="81"/>
      <c r="AO96"/>
    </row>
    <row r="97" spans="1:41">
      <c r="A97" s="546">
        <v>7</v>
      </c>
      <c r="B97" s="3" t="s">
        <v>756</v>
      </c>
      <c r="F97" s="523"/>
      <c r="G97" s="547"/>
      <c r="H97" s="719" t="s">
        <v>3222</v>
      </c>
      <c r="I97" s="433" t="s">
        <v>542</v>
      </c>
      <c r="J97" s="433" t="s">
        <v>3221</v>
      </c>
      <c r="K97" s="433" t="s">
        <v>3222</v>
      </c>
      <c r="L97" s="433" t="s">
        <v>3222</v>
      </c>
      <c r="M97" s="720" t="s">
        <v>451</v>
      </c>
      <c r="N97" s="433"/>
      <c r="O97" s="433"/>
      <c r="P97" s="433"/>
      <c r="Q97" s="433"/>
      <c r="R97" s="433"/>
      <c r="S97" s="719" t="s">
        <v>514</v>
      </c>
      <c r="T97" s="433" t="s">
        <v>451</v>
      </c>
      <c r="U97" s="433" t="s">
        <v>500</v>
      </c>
      <c r="V97" s="433" t="s">
        <v>623</v>
      </c>
      <c r="W97" s="433" t="s">
        <v>623</v>
      </c>
      <c r="X97" s="720" t="s">
        <v>623</v>
      </c>
      <c r="AA97"/>
      <c r="AN97" s="81"/>
      <c r="AO97"/>
    </row>
    <row r="98" spans="1:41">
      <c r="A98" s="546">
        <v>8</v>
      </c>
      <c r="B98" s="3" t="s">
        <v>756</v>
      </c>
      <c r="F98" s="523"/>
      <c r="G98" s="547"/>
      <c r="H98" s="719" t="s">
        <v>3222</v>
      </c>
      <c r="I98" s="433" t="s">
        <v>542</v>
      </c>
      <c r="J98" s="433" t="s">
        <v>3221</v>
      </c>
      <c r="K98" s="433" t="s">
        <v>3222</v>
      </c>
      <c r="L98" s="433" t="s">
        <v>3222</v>
      </c>
      <c r="M98" s="720" t="s">
        <v>451</v>
      </c>
      <c r="N98" s="433"/>
      <c r="O98" s="433"/>
      <c r="P98" s="433"/>
      <c r="Q98" s="433"/>
      <c r="R98" s="433"/>
      <c r="S98" s="719" t="s">
        <v>514</v>
      </c>
      <c r="T98" s="433" t="s">
        <v>451</v>
      </c>
      <c r="U98" s="433" t="s">
        <v>500</v>
      </c>
      <c r="V98" s="433" t="s">
        <v>623</v>
      </c>
      <c r="W98" s="433" t="s">
        <v>623</v>
      </c>
      <c r="X98" s="720" t="s">
        <v>623</v>
      </c>
      <c r="AA98"/>
      <c r="AN98" s="81"/>
      <c r="AO98"/>
    </row>
    <row r="99" spans="1:41">
      <c r="A99" s="546">
        <v>9</v>
      </c>
      <c r="B99" s="3" t="s">
        <v>756</v>
      </c>
      <c r="F99" s="523"/>
      <c r="G99" s="547"/>
      <c r="H99" s="719" t="s">
        <v>3222</v>
      </c>
      <c r="I99" s="433" t="s">
        <v>542</v>
      </c>
      <c r="J99" s="433" t="s">
        <v>3221</v>
      </c>
      <c r="K99" s="433" t="s">
        <v>3222</v>
      </c>
      <c r="L99" s="433" t="s">
        <v>3222</v>
      </c>
      <c r="M99" s="720" t="s">
        <v>451</v>
      </c>
      <c r="N99" s="433"/>
      <c r="O99" s="433"/>
      <c r="P99" s="433"/>
      <c r="Q99" s="433"/>
      <c r="R99" s="433"/>
      <c r="S99" s="719" t="s">
        <v>514</v>
      </c>
      <c r="T99" s="433" t="s">
        <v>451</v>
      </c>
      <c r="U99" s="433" t="s">
        <v>500</v>
      </c>
      <c r="V99" s="433" t="s">
        <v>623</v>
      </c>
      <c r="W99" s="433" t="s">
        <v>623</v>
      </c>
      <c r="X99" s="720" t="s">
        <v>623</v>
      </c>
      <c r="AA99"/>
      <c r="AN99" s="81"/>
      <c r="AO99"/>
    </row>
    <row r="100" spans="1:41" ht="15.75" thickBot="1">
      <c r="A100" s="553">
        <v>10</v>
      </c>
      <c r="B100" s="554" t="s">
        <v>756</v>
      </c>
      <c r="C100" s="554"/>
      <c r="D100" s="554"/>
      <c r="E100" s="554"/>
      <c r="F100" s="818"/>
      <c r="G100" s="556"/>
      <c r="H100" s="844" t="s">
        <v>3222</v>
      </c>
      <c r="I100" s="845" t="s">
        <v>542</v>
      </c>
      <c r="J100" s="845" t="s">
        <v>3221</v>
      </c>
      <c r="K100" s="845" t="s">
        <v>3222</v>
      </c>
      <c r="L100" s="845" t="s">
        <v>3222</v>
      </c>
      <c r="M100" s="846" t="s">
        <v>451</v>
      </c>
      <c r="N100" s="433"/>
      <c r="O100" s="433"/>
      <c r="P100" s="433"/>
      <c r="Q100" s="433"/>
      <c r="R100" s="433"/>
      <c r="S100" s="844" t="s">
        <v>514</v>
      </c>
      <c r="T100" s="845" t="s">
        <v>451</v>
      </c>
      <c r="U100" s="845" t="s">
        <v>500</v>
      </c>
      <c r="V100" s="845" t="s">
        <v>623</v>
      </c>
      <c r="W100" s="845" t="s">
        <v>623</v>
      </c>
      <c r="X100" s="846" t="s">
        <v>623</v>
      </c>
      <c r="AA100"/>
      <c r="AN100" s="81"/>
      <c r="AO100"/>
    </row>
    <row r="101" spans="1:41" ht="15.75" thickTop="1">
      <c r="F101" s="523"/>
      <c r="I101" s="433"/>
      <c r="J101" s="433"/>
      <c r="K101" s="433"/>
      <c r="L101" s="433"/>
      <c r="M101" s="433"/>
      <c r="N101" s="433"/>
      <c r="O101" s="433"/>
      <c r="P101" s="433"/>
      <c r="Q101" s="433"/>
      <c r="R101" s="433"/>
      <c r="T101" s="433"/>
      <c r="U101" s="433"/>
      <c r="V101" s="433"/>
      <c r="W101" s="433"/>
      <c r="AA101"/>
      <c r="AN101" s="81"/>
      <c r="AO101"/>
    </row>
    <row r="102" spans="1:41" ht="15.75" thickBot="1">
      <c r="F102" s="523"/>
      <c r="O102" s="433"/>
      <c r="P102" s="433"/>
      <c r="Q102" s="433"/>
      <c r="R102" s="433"/>
      <c r="AA102"/>
      <c r="AN102" s="81"/>
      <c r="AO102"/>
    </row>
    <row r="103" spans="1:41" ht="46.5" thickTop="1" thickBot="1">
      <c r="A103" s="595" t="s">
        <v>424</v>
      </c>
      <c r="B103" s="596" t="s">
        <v>425</v>
      </c>
      <c r="C103" s="596" t="s">
        <v>426</v>
      </c>
      <c r="D103" s="596" t="s">
        <v>427</v>
      </c>
      <c r="E103" s="596" t="s">
        <v>3337</v>
      </c>
      <c r="F103" s="596" t="s">
        <v>428</v>
      </c>
      <c r="G103" s="597" t="s">
        <v>429</v>
      </c>
      <c r="H103" s="715" t="s">
        <v>3646</v>
      </c>
      <c r="I103" s="715" t="s">
        <v>716</v>
      </c>
      <c r="J103" s="715" t="s">
        <v>3641</v>
      </c>
      <c r="K103" s="715" t="s">
        <v>3642</v>
      </c>
      <c r="L103" s="715" t="s">
        <v>3643</v>
      </c>
      <c r="M103" s="1025" t="s">
        <v>3644</v>
      </c>
      <c r="N103" s="1068" t="s">
        <v>3645</v>
      </c>
      <c r="S103" s="1065" t="s">
        <v>1210</v>
      </c>
      <c r="T103" s="1066" t="s">
        <v>3647</v>
      </c>
      <c r="U103" s="1066" t="s">
        <v>1240</v>
      </c>
      <c r="V103" s="1067" t="s">
        <v>3648</v>
      </c>
      <c r="W103" s="873"/>
      <c r="X103" s="873"/>
      <c r="AA103"/>
      <c r="AN103" s="81"/>
      <c r="AO103"/>
    </row>
    <row r="104" spans="1:41" ht="15.75" thickTop="1">
      <c r="A104" s="847">
        <v>1</v>
      </c>
      <c r="B104" s="848" t="s">
        <v>756</v>
      </c>
      <c r="C104" s="848" t="s">
        <v>757</v>
      </c>
      <c r="D104" s="848" t="s">
        <v>758</v>
      </c>
      <c r="E104" s="848">
        <v>64</v>
      </c>
      <c r="F104" s="849" t="s">
        <v>759</v>
      </c>
      <c r="G104" s="850">
        <v>6940054319</v>
      </c>
      <c r="H104" s="716"/>
      <c r="I104" s="717"/>
      <c r="J104" s="717"/>
      <c r="K104" s="717"/>
      <c r="L104" s="717"/>
      <c r="M104" s="717"/>
      <c r="N104" s="718"/>
      <c r="O104" s="873"/>
      <c r="P104" s="873"/>
      <c r="Q104" s="873"/>
      <c r="R104" s="873"/>
      <c r="S104" s="716"/>
      <c r="T104" s="717"/>
      <c r="U104" s="717"/>
      <c r="V104" s="718"/>
      <c r="W104" s="433"/>
      <c r="X104" s="433"/>
      <c r="AA104"/>
      <c r="AN104" s="81"/>
      <c r="AO104"/>
    </row>
    <row r="105" spans="1:41" ht="75" customHeight="1">
      <c r="A105" s="546">
        <v>2</v>
      </c>
      <c r="B105" s="3" t="s">
        <v>756</v>
      </c>
      <c r="C105" s="3" t="s">
        <v>523</v>
      </c>
      <c r="D105" s="3" t="s">
        <v>760</v>
      </c>
      <c r="E105" s="3">
        <v>65</v>
      </c>
      <c r="F105" s="523" t="s">
        <v>761</v>
      </c>
      <c r="G105" s="547">
        <v>6975768226</v>
      </c>
      <c r="H105" s="719"/>
      <c r="I105" s="433"/>
      <c r="J105" s="433"/>
      <c r="K105" s="433"/>
      <c r="L105" s="433"/>
      <c r="M105" s="433"/>
      <c r="N105" s="720"/>
      <c r="O105" s="433"/>
      <c r="P105" s="433"/>
      <c r="Q105" s="433"/>
      <c r="R105" s="433"/>
      <c r="S105" s="719"/>
      <c r="T105" s="433"/>
      <c r="U105" s="433"/>
      <c r="V105" s="720"/>
      <c r="W105" s="433"/>
      <c r="X105" s="433"/>
      <c r="AA105"/>
      <c r="AN105" s="81"/>
      <c r="AO105"/>
    </row>
    <row r="106" spans="1:41">
      <c r="A106" s="546">
        <v>3</v>
      </c>
      <c r="B106" s="3" t="s">
        <v>756</v>
      </c>
      <c r="C106" s="3" t="s">
        <v>762</v>
      </c>
      <c r="D106" s="3" t="s">
        <v>763</v>
      </c>
      <c r="E106" s="3">
        <v>62</v>
      </c>
      <c r="F106" s="523" t="s">
        <v>3249</v>
      </c>
      <c r="G106" s="547">
        <v>6947244770</v>
      </c>
      <c r="H106" s="719"/>
      <c r="I106" s="433"/>
      <c r="J106" s="433"/>
      <c r="K106" s="433"/>
      <c r="L106" s="433"/>
      <c r="M106" s="433"/>
      <c r="N106" s="720"/>
      <c r="O106" s="433"/>
      <c r="P106" s="433"/>
      <c r="Q106" s="433"/>
      <c r="R106" s="433"/>
      <c r="S106" s="719"/>
      <c r="T106" s="433"/>
      <c r="U106" s="433"/>
      <c r="V106" s="720"/>
      <c r="W106" s="433"/>
      <c r="X106" s="433"/>
      <c r="AA106"/>
      <c r="AN106" s="81"/>
      <c r="AO106"/>
    </row>
    <row r="107" spans="1:41">
      <c r="A107" s="546">
        <v>4</v>
      </c>
      <c r="B107" s="3" t="s">
        <v>756</v>
      </c>
      <c r="C107" s="3" t="s">
        <v>765</v>
      </c>
      <c r="D107" s="3" t="s">
        <v>766</v>
      </c>
      <c r="E107" s="3">
        <v>86</v>
      </c>
      <c r="F107" s="523" t="s">
        <v>767</v>
      </c>
      <c r="G107" s="547">
        <v>6995394678</v>
      </c>
      <c r="H107" s="719"/>
      <c r="I107" s="433"/>
      <c r="J107" s="433"/>
      <c r="K107" s="433"/>
      <c r="L107" s="433"/>
      <c r="M107" s="433"/>
      <c r="N107" s="720"/>
      <c r="O107" s="433"/>
      <c r="P107" s="433"/>
      <c r="Q107" s="433"/>
      <c r="R107" s="433"/>
      <c r="S107" s="719"/>
      <c r="T107" s="433"/>
      <c r="U107" s="433"/>
      <c r="V107" s="720"/>
      <c r="W107" s="433"/>
      <c r="X107" s="433"/>
      <c r="AA107"/>
    </row>
    <row r="108" spans="1:41" ht="15.75" customHeight="1">
      <c r="A108" s="546">
        <v>5</v>
      </c>
      <c r="B108" s="3" t="s">
        <v>756</v>
      </c>
      <c r="C108" s="3" t="s">
        <v>768</v>
      </c>
      <c r="D108" s="3" t="s">
        <v>769</v>
      </c>
      <c r="E108" s="3">
        <v>90</v>
      </c>
      <c r="F108" s="523" t="s">
        <v>770</v>
      </c>
      <c r="G108" s="547">
        <v>6949115068</v>
      </c>
      <c r="H108" s="719"/>
      <c r="I108" s="433"/>
      <c r="J108" s="433"/>
      <c r="K108" s="433"/>
      <c r="L108" s="433"/>
      <c r="M108" s="433"/>
      <c r="N108" s="720"/>
      <c r="O108" s="433"/>
      <c r="P108" s="433"/>
      <c r="Q108" s="433"/>
      <c r="R108" s="433"/>
      <c r="S108" s="719"/>
      <c r="T108" s="433"/>
      <c r="U108" s="433"/>
      <c r="V108" s="720"/>
      <c r="W108" s="433"/>
      <c r="X108" s="433"/>
      <c r="AA108"/>
    </row>
    <row r="109" spans="1:41">
      <c r="A109" s="546">
        <v>6</v>
      </c>
      <c r="B109" s="3" t="s">
        <v>756</v>
      </c>
      <c r="C109" s="3" t="s">
        <v>773</v>
      </c>
      <c r="D109" s="3" t="s">
        <v>774</v>
      </c>
      <c r="E109" s="3">
        <v>63</v>
      </c>
      <c r="F109" s="523" t="s">
        <v>775</v>
      </c>
      <c r="G109" s="547">
        <v>6947290911</v>
      </c>
      <c r="H109" s="719"/>
      <c r="I109" s="433"/>
      <c r="J109" s="433"/>
      <c r="K109" s="433"/>
      <c r="L109" s="433"/>
      <c r="M109" s="433"/>
      <c r="N109" s="720"/>
      <c r="O109" s="433"/>
      <c r="P109" s="433"/>
      <c r="Q109" s="433"/>
      <c r="R109" s="433"/>
      <c r="S109" s="719"/>
      <c r="T109" s="433"/>
      <c r="U109" s="433"/>
      <c r="V109" s="720"/>
      <c r="W109" s="433"/>
      <c r="X109" s="433"/>
      <c r="AA109"/>
    </row>
    <row r="110" spans="1:41" ht="15.75" thickBot="1">
      <c r="A110" s="553">
        <v>7</v>
      </c>
      <c r="B110" s="554" t="s">
        <v>756</v>
      </c>
      <c r="C110" s="554" t="s">
        <v>493</v>
      </c>
      <c r="D110" s="554" t="s">
        <v>3298</v>
      </c>
      <c r="E110" s="554" t="s">
        <v>771</v>
      </c>
      <c r="F110" s="818" t="s">
        <v>1109</v>
      </c>
      <c r="G110" s="556">
        <v>6909081473</v>
      </c>
      <c r="H110" s="844"/>
      <c r="I110" s="845"/>
      <c r="J110" s="845"/>
      <c r="K110" s="845"/>
      <c r="L110" s="845"/>
      <c r="M110" s="845"/>
      <c r="N110" s="846"/>
      <c r="O110" s="433"/>
      <c r="P110" s="433"/>
      <c r="Q110" s="433"/>
      <c r="R110" s="433"/>
      <c r="S110" s="844"/>
      <c r="T110" s="845"/>
      <c r="U110" s="845"/>
      <c r="V110" s="846"/>
      <c r="W110" s="433"/>
      <c r="X110" s="433"/>
      <c r="AA110"/>
    </row>
    <row r="111" spans="1:41" ht="16.5" thickTop="1" thickBot="1">
      <c r="F111" s="523"/>
      <c r="I111" s="433"/>
      <c r="J111" s="433"/>
      <c r="K111" s="433"/>
      <c r="L111" s="433"/>
      <c r="M111" s="433"/>
      <c r="N111" s="433"/>
      <c r="O111" s="433"/>
      <c r="P111" s="433"/>
      <c r="Q111" s="433"/>
      <c r="R111" s="433"/>
      <c r="T111" s="433"/>
      <c r="U111" s="433"/>
      <c r="V111" s="433"/>
      <c r="W111" s="433"/>
      <c r="X111" s="433"/>
      <c r="AA111"/>
    </row>
    <row r="112" spans="1:41" ht="16.5" thickTop="1" thickBot="1">
      <c r="A112" s="1120" t="s">
        <v>424</v>
      </c>
      <c r="B112" s="1121" t="s">
        <v>425</v>
      </c>
      <c r="C112" s="1121" t="s">
        <v>426</v>
      </c>
      <c r="D112" s="1121" t="s">
        <v>427</v>
      </c>
      <c r="E112" s="1121" t="s">
        <v>3337</v>
      </c>
      <c r="F112" s="1121" t="s">
        <v>428</v>
      </c>
      <c r="G112" s="1122" t="s">
        <v>429</v>
      </c>
      <c r="H112" s="966"/>
      <c r="I112" s="967"/>
      <c r="J112" s="967"/>
      <c r="K112" s="967"/>
      <c r="L112" s="967"/>
      <c r="M112" s="967"/>
      <c r="N112" s="967"/>
      <c r="S112" s="966"/>
      <c r="T112" s="967"/>
      <c r="U112" s="967"/>
      <c r="V112" s="967"/>
      <c r="W112" s="967"/>
    </row>
    <row r="113" spans="1:53" ht="59.25" customHeight="1" thickTop="1">
      <c r="A113" s="1112">
        <v>1</v>
      </c>
      <c r="B113" s="3" t="s">
        <v>3782</v>
      </c>
      <c r="F113" s="523"/>
      <c r="G113" s="1113"/>
      <c r="O113" s="967"/>
      <c r="P113" s="967"/>
      <c r="Q113" s="967"/>
      <c r="R113" s="967"/>
    </row>
    <row r="114" spans="1:53">
      <c r="A114" s="1112">
        <v>2</v>
      </c>
      <c r="B114" s="3" t="s">
        <v>3782</v>
      </c>
      <c r="C114" s="136"/>
      <c r="D114" s="136"/>
      <c r="F114" s="1069"/>
      <c r="G114" s="1114"/>
    </row>
    <row r="115" spans="1:53" ht="23.25">
      <c r="A115" s="1112">
        <v>3</v>
      </c>
      <c r="B115" s="3" t="s">
        <v>3782</v>
      </c>
      <c r="F115" s="523"/>
      <c r="G115" s="1113"/>
      <c r="AA115" s="826"/>
      <c r="AB115" s="825"/>
    </row>
    <row r="116" spans="1:53" ht="20.25">
      <c r="A116" s="1112">
        <v>4</v>
      </c>
      <c r="B116" s="3" t="s">
        <v>3782</v>
      </c>
      <c r="C116" s="136"/>
      <c r="D116" s="136"/>
      <c r="F116" s="1069"/>
      <c r="G116" s="1114"/>
      <c r="AA116" s="823"/>
      <c r="AB116" s="824"/>
    </row>
    <row r="117" spans="1:53" ht="20.25">
      <c r="A117" s="1112">
        <v>5</v>
      </c>
      <c r="B117" s="3" t="s">
        <v>3782</v>
      </c>
      <c r="C117" s="136"/>
      <c r="D117" s="136"/>
      <c r="F117" s="1069"/>
      <c r="G117" s="1114"/>
      <c r="AA117" s="823"/>
      <c r="AB117" s="824"/>
      <c r="AI117" s="437"/>
      <c r="AJ117" s="437"/>
      <c r="AK117" s="437"/>
      <c r="AL117" s="437"/>
      <c r="AM117" s="437"/>
      <c r="AN117" s="437"/>
      <c r="AO117" s="970"/>
      <c r="AP117" s="437"/>
      <c r="AQ117" s="437"/>
      <c r="AR117" s="437"/>
      <c r="AS117" s="437"/>
      <c r="AT117" s="437"/>
      <c r="AU117" s="437"/>
      <c r="AV117" s="437"/>
      <c r="AW117" s="970"/>
      <c r="AX117" s="970"/>
      <c r="AY117" s="970"/>
      <c r="AZ117" s="970"/>
      <c r="BA117" s="970"/>
    </row>
    <row r="118" spans="1:53" ht="20.25">
      <c r="A118" s="1112">
        <v>6</v>
      </c>
      <c r="B118" s="3" t="s">
        <v>3782</v>
      </c>
      <c r="C118" s="136"/>
      <c r="D118" s="136"/>
      <c r="F118" s="1069"/>
      <c r="G118" s="1114"/>
      <c r="AA118" s="823"/>
      <c r="AB118" s="824"/>
    </row>
    <row r="119" spans="1:53" ht="20.25">
      <c r="A119" s="1112">
        <v>7</v>
      </c>
      <c r="B119" s="3" t="s">
        <v>3782</v>
      </c>
      <c r="C119" s="136"/>
      <c r="D119" s="136"/>
      <c r="F119" s="1069"/>
      <c r="G119" s="1114"/>
      <c r="X119" s="433"/>
      <c r="AA119" s="823"/>
      <c r="AB119" s="824"/>
    </row>
    <row r="120" spans="1:53" ht="21" thickBot="1">
      <c r="A120" s="1115">
        <v>8</v>
      </c>
      <c r="B120" s="1116" t="s">
        <v>3782</v>
      </c>
      <c r="C120" s="1117"/>
      <c r="D120" s="1117"/>
      <c r="E120" s="1116"/>
      <c r="F120" s="1118"/>
      <c r="G120" s="1119"/>
      <c r="AA120" s="823"/>
      <c r="AB120" s="824"/>
    </row>
    <row r="121" spans="1:53" ht="21.75" thickTop="1" thickBot="1">
      <c r="C121" s="136"/>
      <c r="D121" s="136"/>
      <c r="F121" s="1069"/>
      <c r="G121" s="136"/>
      <c r="AA121" s="823"/>
      <c r="AB121" s="824"/>
    </row>
    <row r="122" spans="1:53" ht="16.5" thickTop="1" thickBot="1">
      <c r="A122" s="1131" t="s">
        <v>424</v>
      </c>
      <c r="B122" s="1132" t="s">
        <v>425</v>
      </c>
      <c r="C122" s="1132" t="s">
        <v>426</v>
      </c>
      <c r="D122" s="1132" t="s">
        <v>427</v>
      </c>
      <c r="E122" s="1132" t="s">
        <v>3337</v>
      </c>
      <c r="F122" s="1132" t="s">
        <v>428</v>
      </c>
      <c r="G122" s="1133" t="s">
        <v>429</v>
      </c>
      <c r="H122" s="966"/>
      <c r="I122" s="967"/>
      <c r="J122" s="967"/>
      <c r="K122" s="967"/>
      <c r="L122" s="967"/>
      <c r="M122" s="967"/>
      <c r="N122" s="967"/>
      <c r="S122" s="966"/>
      <c r="T122" s="967"/>
      <c r="U122" s="967"/>
      <c r="V122" s="967"/>
      <c r="W122" s="967"/>
    </row>
    <row r="123" spans="1:53" ht="59.25" customHeight="1" thickTop="1">
      <c r="A123" s="1123">
        <v>1</v>
      </c>
      <c r="B123" s="3" t="s">
        <v>3783</v>
      </c>
      <c r="F123" s="523"/>
      <c r="G123" s="1124"/>
      <c r="O123" s="967"/>
      <c r="P123" s="967"/>
      <c r="Q123" s="967"/>
      <c r="R123" s="967"/>
    </row>
    <row r="124" spans="1:53">
      <c r="A124" s="1123">
        <v>2</v>
      </c>
      <c r="B124" s="3" t="s">
        <v>3783</v>
      </c>
      <c r="C124" s="136"/>
      <c r="D124" s="136"/>
      <c r="F124" s="1069"/>
      <c r="G124" s="1125"/>
    </row>
    <row r="125" spans="1:53" ht="23.25">
      <c r="A125" s="1123">
        <v>3</v>
      </c>
      <c r="B125" s="3" t="s">
        <v>3783</v>
      </c>
      <c r="F125" s="523"/>
      <c r="G125" s="1124"/>
      <c r="AA125" s="826"/>
      <c r="AB125" s="825"/>
    </row>
    <row r="126" spans="1:53" ht="20.25">
      <c r="A126" s="1123">
        <v>4</v>
      </c>
      <c r="B126" s="3" t="s">
        <v>3783</v>
      </c>
      <c r="C126" s="136"/>
      <c r="D126" s="136"/>
      <c r="F126" s="1069"/>
      <c r="G126" s="1125"/>
      <c r="AA126" s="823"/>
      <c r="AB126" s="824"/>
    </row>
    <row r="127" spans="1:53" ht="20.25">
      <c r="A127" s="1123">
        <v>5</v>
      </c>
      <c r="B127" s="3" t="s">
        <v>3783</v>
      </c>
      <c r="C127" s="136"/>
      <c r="D127" s="136"/>
      <c r="F127" s="1069"/>
      <c r="G127" s="1125"/>
      <c r="AA127" s="823"/>
      <c r="AB127" s="824"/>
      <c r="AI127" s="437"/>
      <c r="AJ127" s="437"/>
      <c r="AK127" s="437"/>
      <c r="AL127" s="437"/>
      <c r="AM127" s="437"/>
      <c r="AN127" s="437"/>
      <c r="AO127" s="970"/>
      <c r="AP127" s="437"/>
      <c r="AQ127" s="437"/>
      <c r="AR127" s="437"/>
      <c r="AS127" s="437"/>
      <c r="AT127" s="437"/>
      <c r="AU127" s="437"/>
      <c r="AV127" s="437"/>
      <c r="AW127" s="970"/>
      <c r="AX127" s="970"/>
      <c r="AY127" s="970"/>
      <c r="AZ127" s="970"/>
      <c r="BA127" s="970"/>
    </row>
    <row r="128" spans="1:53" ht="20.25">
      <c r="A128" s="1123">
        <v>6</v>
      </c>
      <c r="B128" s="3" t="s">
        <v>3783</v>
      </c>
      <c r="C128" s="136"/>
      <c r="D128" s="136"/>
      <c r="F128" s="1069"/>
      <c r="G128" s="1125"/>
      <c r="AA128" s="823"/>
      <c r="AB128" s="824"/>
    </row>
    <row r="129" spans="1:53" ht="20.25">
      <c r="A129" s="1123">
        <v>7</v>
      </c>
      <c r="B129" s="3" t="s">
        <v>3783</v>
      </c>
      <c r="C129" s="136"/>
      <c r="D129" s="136"/>
      <c r="F129" s="1069"/>
      <c r="G129" s="1125"/>
      <c r="X129" s="433"/>
      <c r="AA129" s="823"/>
      <c r="AB129" s="824"/>
    </row>
    <row r="130" spans="1:53" ht="21" thickBot="1">
      <c r="A130" s="1126">
        <v>8</v>
      </c>
      <c r="B130" s="1127" t="s">
        <v>3783</v>
      </c>
      <c r="C130" s="1128"/>
      <c r="D130" s="1128"/>
      <c r="E130" s="1127"/>
      <c r="F130" s="1129"/>
      <c r="G130" s="1130"/>
      <c r="AA130" s="823"/>
      <c r="AB130" s="824"/>
    </row>
    <row r="131" spans="1:53" ht="15.75" thickTop="1">
      <c r="F131" s="523"/>
      <c r="I131" s="1171" t="s">
        <v>3805</v>
      </c>
      <c r="J131" s="1171"/>
      <c r="K131" s="1173" t="s">
        <v>3806</v>
      </c>
      <c r="L131" s="1173"/>
      <c r="M131" s="1108" t="s">
        <v>3807</v>
      </c>
      <c r="N131" s="433"/>
      <c r="O131" s="433"/>
      <c r="P131" s="433"/>
      <c r="Q131" s="433"/>
      <c r="R131" s="433"/>
      <c r="T131" s="433"/>
      <c r="U131" s="433"/>
      <c r="V131" s="433"/>
      <c r="W131" s="433"/>
      <c r="AA131"/>
    </row>
    <row r="132" spans="1:53">
      <c r="A132" s="1168" t="s">
        <v>3650</v>
      </c>
      <c r="B132" s="1168"/>
      <c r="C132" s="1168"/>
      <c r="D132" s="1168"/>
      <c r="E132" s="1168"/>
      <c r="F132" s="1168"/>
      <c r="G132" s="1168"/>
      <c r="H132" s="1076" t="s">
        <v>3652</v>
      </c>
      <c r="I132" s="1172">
        <f>COUNTIF(H133:H190,TRUE)</f>
        <v>16</v>
      </c>
      <c r="J132" s="1172"/>
      <c r="K132" s="1174">
        <f>COUNTIF(H133:H190,FALSE)</f>
        <v>30</v>
      </c>
      <c r="L132" s="1174"/>
      <c r="M132" s="1107">
        <f>SUM(I132:L132)</f>
        <v>46</v>
      </c>
      <c r="N132" s="433"/>
      <c r="O132" s="433"/>
      <c r="P132" s="433"/>
      <c r="Q132" s="433"/>
      <c r="R132" s="433"/>
      <c r="AA132"/>
    </row>
    <row r="133" spans="1:53">
      <c r="A133" s="1070" t="s">
        <v>424</v>
      </c>
      <c r="B133" s="1071" t="s">
        <v>425</v>
      </c>
      <c r="C133" s="1071" t="s">
        <v>426</v>
      </c>
      <c r="D133" s="1071" t="s">
        <v>427</v>
      </c>
      <c r="E133" s="1071" t="s">
        <v>3337</v>
      </c>
      <c r="F133" s="1071" t="s">
        <v>428</v>
      </c>
      <c r="G133" s="1072" t="s">
        <v>429</v>
      </c>
      <c r="H133" s="967"/>
      <c r="J133" s="967"/>
      <c r="K133" s="967"/>
      <c r="L133" s="967"/>
      <c r="M133" s="967"/>
      <c r="N133" s="967"/>
      <c r="S133" s="966"/>
      <c r="T133" s="967"/>
      <c r="U133" s="967"/>
      <c r="V133" s="967"/>
      <c r="W133" s="967"/>
    </row>
    <row r="134" spans="1:53" ht="59.25" customHeight="1">
      <c r="A134" s="954">
        <v>1</v>
      </c>
      <c r="B134" s="888" t="s">
        <v>3556</v>
      </c>
      <c r="C134" s="888" t="s">
        <v>2377</v>
      </c>
      <c r="D134" s="888" t="s">
        <v>2376</v>
      </c>
      <c r="E134" s="888">
        <v>1</v>
      </c>
      <c r="F134" s="889" t="s">
        <v>2378</v>
      </c>
      <c r="G134" s="955">
        <v>6948791813</v>
      </c>
      <c r="H134" s="1105" t="b">
        <v>0</v>
      </c>
      <c r="O134" s="967"/>
      <c r="P134" s="967"/>
      <c r="Q134" s="967"/>
      <c r="R134" s="967"/>
    </row>
    <row r="135" spans="1:53">
      <c r="A135" s="954">
        <v>2</v>
      </c>
      <c r="B135" s="888" t="s">
        <v>3556</v>
      </c>
      <c r="C135" s="956" t="s">
        <v>544</v>
      </c>
      <c r="D135" s="956" t="s">
        <v>2388</v>
      </c>
      <c r="E135" s="888">
        <v>2</v>
      </c>
      <c r="F135" s="957" t="s">
        <v>2443</v>
      </c>
      <c r="G135" s="958">
        <v>6944310262</v>
      </c>
      <c r="H135" s="1105" t="b">
        <v>0</v>
      </c>
    </row>
    <row r="136" spans="1:53" ht="23.25">
      <c r="A136" s="954">
        <v>3</v>
      </c>
      <c r="B136" s="888" t="s">
        <v>3556</v>
      </c>
      <c r="C136" s="888" t="s">
        <v>746</v>
      </c>
      <c r="D136" s="888" t="s">
        <v>2389</v>
      </c>
      <c r="E136" s="888">
        <v>3</v>
      </c>
      <c r="F136" s="889" t="s">
        <v>2490</v>
      </c>
      <c r="G136" s="955">
        <v>6986437802</v>
      </c>
      <c r="H136" s="1105" t="b">
        <v>1</v>
      </c>
      <c r="AA136" s="826"/>
      <c r="AB136" s="825"/>
    </row>
    <row r="137" spans="1:53" ht="20.25">
      <c r="A137" s="954">
        <v>4</v>
      </c>
      <c r="B137" s="888" t="s">
        <v>3556</v>
      </c>
      <c r="C137" s="956" t="s">
        <v>544</v>
      </c>
      <c r="D137" s="956" t="s">
        <v>2390</v>
      </c>
      <c r="E137" s="888">
        <v>4</v>
      </c>
      <c r="F137" s="957" t="s">
        <v>2534</v>
      </c>
      <c r="G137" s="958">
        <v>6973021250</v>
      </c>
      <c r="H137" s="1105" t="b">
        <v>0</v>
      </c>
      <c r="AA137" s="823"/>
      <c r="AB137" s="824"/>
    </row>
    <row r="138" spans="1:53" ht="20.25">
      <c r="A138" s="954">
        <v>5</v>
      </c>
      <c r="B138" s="888" t="s">
        <v>3556</v>
      </c>
      <c r="C138" s="956" t="s">
        <v>553</v>
      </c>
      <c r="D138" s="956" t="s">
        <v>2391</v>
      </c>
      <c r="E138" s="888" t="s">
        <v>771</v>
      </c>
      <c r="F138" s="957" t="s">
        <v>2574</v>
      </c>
      <c r="G138" s="958">
        <v>6907313952</v>
      </c>
      <c r="H138" s="1105" t="b">
        <v>0</v>
      </c>
      <c r="AA138" s="823"/>
      <c r="AB138" s="824"/>
      <c r="AI138" s="437"/>
      <c r="AJ138" s="437"/>
      <c r="AK138" s="437"/>
      <c r="AL138" s="437"/>
      <c r="AM138" s="437"/>
      <c r="AN138" s="437"/>
      <c r="AO138" s="970"/>
      <c r="AP138" s="437"/>
      <c r="AQ138" s="437"/>
      <c r="AR138" s="437"/>
      <c r="AS138" s="437"/>
      <c r="AT138" s="437"/>
      <c r="AU138" s="437"/>
      <c r="AV138" s="437"/>
      <c r="AW138" s="970"/>
      <c r="AX138" s="970"/>
      <c r="AY138" s="970"/>
      <c r="AZ138" s="970"/>
      <c r="BA138" s="970"/>
    </row>
    <row r="139" spans="1:53" ht="20.25">
      <c r="A139" s="954">
        <v>6</v>
      </c>
      <c r="B139" s="888" t="s">
        <v>3556</v>
      </c>
      <c r="C139" s="956" t="s">
        <v>696</v>
      </c>
      <c r="D139" s="956" t="s">
        <v>2392</v>
      </c>
      <c r="E139" s="888">
        <v>7</v>
      </c>
      <c r="F139" s="957" t="s">
        <v>2615</v>
      </c>
      <c r="G139" s="958">
        <v>6972431687</v>
      </c>
      <c r="H139" s="598"/>
      <c r="AA139" s="823"/>
      <c r="AB139" s="824"/>
    </row>
    <row r="140" spans="1:53" ht="20.25">
      <c r="A140" s="954">
        <v>7</v>
      </c>
      <c r="B140" s="888" t="s">
        <v>3556</v>
      </c>
      <c r="C140" s="956" t="s">
        <v>540</v>
      </c>
      <c r="D140" s="956" t="s">
        <v>2393</v>
      </c>
      <c r="E140" s="888">
        <v>23</v>
      </c>
      <c r="F140" s="957" t="s">
        <v>2647</v>
      </c>
      <c r="G140" s="958">
        <v>6974839532</v>
      </c>
      <c r="H140" s="1105" t="b">
        <v>0</v>
      </c>
      <c r="X140" s="433"/>
      <c r="AA140" s="823"/>
      <c r="AB140" s="824"/>
    </row>
    <row r="141" spans="1:53" ht="21" thickBot="1">
      <c r="A141" s="954">
        <v>8</v>
      </c>
      <c r="B141" s="888" t="s">
        <v>3556</v>
      </c>
      <c r="C141" s="960" t="s">
        <v>2447</v>
      </c>
      <c r="D141" s="960" t="s">
        <v>2394</v>
      </c>
      <c r="E141" s="959">
        <v>8</v>
      </c>
      <c r="F141" s="961" t="s">
        <v>2439</v>
      </c>
      <c r="G141" s="962">
        <v>6976890221</v>
      </c>
      <c r="H141" s="1105" t="b">
        <v>0</v>
      </c>
      <c r="AA141" s="823"/>
      <c r="AB141" s="824"/>
    </row>
    <row r="142" spans="1:53" ht="21" thickBot="1">
      <c r="C142" s="136"/>
      <c r="D142" s="136"/>
      <c r="F142" s="1069"/>
      <c r="G142" s="136"/>
      <c r="H142" s="598"/>
      <c r="AA142" s="823"/>
      <c r="AB142" s="824"/>
    </row>
    <row r="143" spans="1:53" ht="79.5" customHeight="1">
      <c r="A143" s="963" t="s">
        <v>424</v>
      </c>
      <c r="B143" s="964" t="s">
        <v>425</v>
      </c>
      <c r="C143" s="964" t="s">
        <v>426</v>
      </c>
      <c r="D143" s="964" t="s">
        <v>427</v>
      </c>
      <c r="E143" s="964" t="s">
        <v>3337</v>
      </c>
      <c r="F143" s="964" t="s">
        <v>502</v>
      </c>
      <c r="G143" s="965" t="s">
        <v>429</v>
      </c>
      <c r="H143" s="598"/>
      <c r="AA143" s="823"/>
      <c r="AB143" s="824"/>
    </row>
    <row r="144" spans="1:53" ht="20.25">
      <c r="A144" s="954">
        <v>1</v>
      </c>
      <c r="B144" s="888" t="s">
        <v>3649</v>
      </c>
      <c r="C144" s="888" t="s">
        <v>475</v>
      </c>
      <c r="D144" s="888" t="s">
        <v>527</v>
      </c>
      <c r="E144" s="888">
        <v>25</v>
      </c>
      <c r="F144" s="889" t="s">
        <v>528</v>
      </c>
      <c r="G144" s="955">
        <v>6976606306</v>
      </c>
      <c r="H144" s="1105" t="b">
        <v>0</v>
      </c>
      <c r="O144" s="978"/>
      <c r="P144" s="978"/>
      <c r="Q144" s="978"/>
      <c r="R144" s="978"/>
      <c r="AA144" s="823"/>
      <c r="AB144" s="824"/>
    </row>
    <row r="145" spans="1:53" s="437" customFormat="1" ht="20.25">
      <c r="A145" s="954">
        <v>2</v>
      </c>
      <c r="B145" s="888" t="s">
        <v>3649</v>
      </c>
      <c r="C145" s="956" t="s">
        <v>533</v>
      </c>
      <c r="D145" s="956" t="s">
        <v>534</v>
      </c>
      <c r="E145" s="888">
        <v>26</v>
      </c>
      <c r="F145" s="957" t="s">
        <v>535</v>
      </c>
      <c r="G145" s="958">
        <v>6980272629</v>
      </c>
      <c r="H145" s="1105" t="b">
        <v>0</v>
      </c>
      <c r="J145" s="598"/>
      <c r="K145" s="598"/>
      <c r="L145" s="598"/>
      <c r="M145" s="598"/>
      <c r="N145" s="598"/>
      <c r="O145" s="598"/>
      <c r="P145" s="598"/>
      <c r="Q145" s="598"/>
      <c r="R145" s="598"/>
      <c r="S145" s="433"/>
      <c r="T145" s="598"/>
      <c r="U145" s="598"/>
      <c r="V145" s="598"/>
      <c r="W145" s="598"/>
      <c r="X145" s="598"/>
      <c r="Y145" s="598"/>
      <c r="Z145" s="598"/>
      <c r="AA145" s="968"/>
      <c r="AB145" s="969"/>
      <c r="AI145"/>
      <c r="AJ145"/>
      <c r="AK145"/>
      <c r="AL145"/>
      <c r="AM145"/>
      <c r="AN145"/>
      <c r="AO145" s="81"/>
      <c r="AP145"/>
      <c r="AQ145"/>
      <c r="AR145"/>
      <c r="AS145"/>
      <c r="AT145"/>
      <c r="AU145"/>
      <c r="AV145"/>
      <c r="AW145" s="81"/>
      <c r="AX145" s="81"/>
      <c r="AY145" s="81"/>
      <c r="AZ145" s="81"/>
      <c r="BA145" s="81"/>
    </row>
    <row r="146" spans="1:53" ht="20.25">
      <c r="A146" s="954">
        <v>3</v>
      </c>
      <c r="B146" s="888" t="s">
        <v>3649</v>
      </c>
      <c r="C146" s="888" t="s">
        <v>544</v>
      </c>
      <c r="D146" s="888" t="s">
        <v>545</v>
      </c>
      <c r="E146" s="888">
        <v>27</v>
      </c>
      <c r="F146" s="889" t="s">
        <v>546</v>
      </c>
      <c r="G146" s="955">
        <v>6943744160</v>
      </c>
      <c r="H146" s="1105" t="b">
        <v>0</v>
      </c>
      <c r="AA146" s="823"/>
      <c r="AB146" s="824"/>
    </row>
    <row r="147" spans="1:53" ht="20.25">
      <c r="A147" s="954">
        <v>4</v>
      </c>
      <c r="B147" s="888" t="s">
        <v>3649</v>
      </c>
      <c r="C147" s="956" t="s">
        <v>553</v>
      </c>
      <c r="D147" s="956" t="s">
        <v>554</v>
      </c>
      <c r="E147" s="888">
        <v>28</v>
      </c>
      <c r="F147" s="957" t="s">
        <v>555</v>
      </c>
      <c r="G147" s="958">
        <v>6931835451</v>
      </c>
      <c r="H147" s="1105" t="b">
        <v>0</v>
      </c>
      <c r="AA147" s="823"/>
      <c r="AB147" s="824"/>
    </row>
    <row r="148" spans="1:53" ht="20.25">
      <c r="A148" s="954">
        <v>6</v>
      </c>
      <c r="B148" s="888" t="s">
        <v>3649</v>
      </c>
      <c r="C148" s="956" t="s">
        <v>573</v>
      </c>
      <c r="D148" s="956" t="s">
        <v>3088</v>
      </c>
      <c r="E148" s="888">
        <v>87</v>
      </c>
      <c r="F148" s="957" t="s">
        <v>574</v>
      </c>
      <c r="G148" s="958">
        <v>6947489270</v>
      </c>
      <c r="H148" s="1105" t="b">
        <v>0</v>
      </c>
      <c r="AA148" s="823"/>
      <c r="AB148" s="824"/>
      <c r="AI148" s="979"/>
      <c r="AJ148" s="979"/>
      <c r="AK148" s="979"/>
      <c r="AL148" s="979"/>
      <c r="AM148" s="979"/>
      <c r="AN148" s="979"/>
      <c r="AO148" s="980"/>
      <c r="AP148" s="979"/>
    </row>
    <row r="149" spans="1:53" ht="20.25">
      <c r="A149" s="954">
        <v>7</v>
      </c>
      <c r="B149" s="888" t="s">
        <v>3649</v>
      </c>
      <c r="C149" s="956" t="s">
        <v>581</v>
      </c>
      <c r="D149" s="956" t="s">
        <v>582</v>
      </c>
      <c r="E149" s="888">
        <v>30</v>
      </c>
      <c r="F149" s="957" t="s">
        <v>583</v>
      </c>
      <c r="G149" s="958">
        <v>6951734324</v>
      </c>
      <c r="H149" s="1105" t="b">
        <v>0</v>
      </c>
      <c r="AA149" s="823"/>
      <c r="AB149" s="824"/>
    </row>
    <row r="150" spans="1:53" ht="20.25">
      <c r="A150" s="954">
        <v>8</v>
      </c>
      <c r="B150" s="888" t="s">
        <v>3649</v>
      </c>
      <c r="C150" s="956" t="s">
        <v>600</v>
      </c>
      <c r="D150" s="956" t="s">
        <v>601</v>
      </c>
      <c r="E150" s="888">
        <v>61</v>
      </c>
      <c r="F150" s="957" t="s">
        <v>602</v>
      </c>
      <c r="G150" s="958">
        <v>6986849556</v>
      </c>
      <c r="H150" s="1106" t="b">
        <v>0</v>
      </c>
      <c r="J150" s="978"/>
      <c r="K150" s="978"/>
      <c r="L150" s="978"/>
      <c r="M150" s="978"/>
      <c r="N150" s="978"/>
      <c r="S150" s="601"/>
      <c r="T150" s="978"/>
      <c r="U150" s="978"/>
      <c r="V150" s="978"/>
      <c r="W150" s="978"/>
      <c r="X150" s="978"/>
      <c r="Y150" s="978"/>
      <c r="AA150" s="823"/>
      <c r="AB150" s="824"/>
    </row>
    <row r="151" spans="1:53" ht="15.75" thickBot="1">
      <c r="A151" s="954">
        <v>9</v>
      </c>
      <c r="B151" s="888" t="s">
        <v>3649</v>
      </c>
      <c r="C151" s="960" t="s">
        <v>608</v>
      </c>
      <c r="D151" s="960" t="s">
        <v>609</v>
      </c>
      <c r="E151" s="959">
        <v>35</v>
      </c>
      <c r="F151" s="961" t="s">
        <v>610</v>
      </c>
      <c r="G151" s="962">
        <v>6986697472</v>
      </c>
      <c r="H151" s="1105" t="b">
        <v>0</v>
      </c>
    </row>
    <row r="152" spans="1:53" ht="15.75" thickBot="1">
      <c r="C152" s="951"/>
      <c r="D152" s="952"/>
      <c r="F152" s="953"/>
      <c r="G152" s="952"/>
      <c r="H152" s="598"/>
      <c r="Z152" s="978"/>
    </row>
    <row r="153" spans="1:53">
      <c r="A153" s="975" t="s">
        <v>424</v>
      </c>
      <c r="B153" s="976" t="s">
        <v>425</v>
      </c>
      <c r="C153" s="976" t="s">
        <v>426</v>
      </c>
      <c r="D153" s="976" t="s">
        <v>427</v>
      </c>
      <c r="E153" s="976" t="s">
        <v>3337</v>
      </c>
      <c r="F153" s="976" t="s">
        <v>428</v>
      </c>
      <c r="G153" s="977" t="s">
        <v>429</v>
      </c>
      <c r="H153" s="598"/>
    </row>
    <row r="154" spans="1:53">
      <c r="A154" s="972">
        <v>1</v>
      </c>
      <c r="B154" s="971" t="s">
        <v>3555</v>
      </c>
      <c r="C154" s="13" t="s">
        <v>768</v>
      </c>
      <c r="D154" s="13" t="s">
        <v>2886</v>
      </c>
      <c r="E154" s="971" t="s">
        <v>771</v>
      </c>
      <c r="F154" s="33" t="s">
        <v>2887</v>
      </c>
      <c r="G154" s="973">
        <v>6973800907</v>
      </c>
      <c r="H154" s="1105" t="b">
        <v>0</v>
      </c>
    </row>
    <row r="155" spans="1:53">
      <c r="A155" s="972">
        <v>2</v>
      </c>
      <c r="B155" s="971" t="s">
        <v>3555</v>
      </c>
      <c r="C155" s="13" t="s">
        <v>475</v>
      </c>
      <c r="D155" s="13" t="s">
        <v>674</v>
      </c>
      <c r="E155" s="971">
        <v>6</v>
      </c>
      <c r="F155" s="33" t="s">
        <v>2902</v>
      </c>
      <c r="G155" s="973">
        <v>6971911553</v>
      </c>
      <c r="H155" s="1105" t="b">
        <v>1</v>
      </c>
    </row>
    <row r="156" spans="1:53">
      <c r="A156" s="972">
        <v>3</v>
      </c>
      <c r="B156" s="971" t="s">
        <v>3555</v>
      </c>
      <c r="C156" s="13" t="s">
        <v>544</v>
      </c>
      <c r="D156" s="13" t="s">
        <v>2397</v>
      </c>
      <c r="E156" s="971">
        <v>9</v>
      </c>
      <c r="F156" s="33" t="s">
        <v>2712</v>
      </c>
      <c r="G156" s="973">
        <v>6988607936</v>
      </c>
      <c r="H156" s="1105" t="b">
        <v>1</v>
      </c>
    </row>
    <row r="157" spans="1:53">
      <c r="A157" s="972">
        <v>4</v>
      </c>
      <c r="B157" s="971" t="s">
        <v>3555</v>
      </c>
      <c r="C157" s="13" t="s">
        <v>2449</v>
      </c>
      <c r="D157" s="13" t="s">
        <v>2398</v>
      </c>
      <c r="E157" s="971">
        <v>17</v>
      </c>
      <c r="F157" s="33" t="s">
        <v>2612</v>
      </c>
      <c r="G157" s="973">
        <v>6947161430</v>
      </c>
      <c r="H157" s="1105" t="b">
        <v>1</v>
      </c>
    </row>
    <row r="158" spans="1:53">
      <c r="A158" s="972">
        <v>5</v>
      </c>
      <c r="B158" s="971" t="s">
        <v>3555</v>
      </c>
      <c r="C158" s="13" t="s">
        <v>746</v>
      </c>
      <c r="D158" s="13" t="s">
        <v>2399</v>
      </c>
      <c r="E158" s="971">
        <v>18</v>
      </c>
      <c r="F158" s="33" t="s">
        <v>2919</v>
      </c>
      <c r="G158" s="973">
        <v>6949227372</v>
      </c>
      <c r="H158" s="1105" t="b">
        <v>0</v>
      </c>
    </row>
    <row r="159" spans="1:53">
      <c r="A159" s="972">
        <v>6</v>
      </c>
      <c r="B159" s="971" t="s">
        <v>3555</v>
      </c>
      <c r="C159" s="13" t="s">
        <v>746</v>
      </c>
      <c r="D159" s="13" t="s">
        <v>2400</v>
      </c>
      <c r="E159" s="971">
        <v>19</v>
      </c>
      <c r="F159" s="33" t="s">
        <v>2735</v>
      </c>
      <c r="G159" s="973">
        <v>6984586165</v>
      </c>
      <c r="H159" s="1105" t="b">
        <v>1</v>
      </c>
    </row>
    <row r="160" spans="1:53">
      <c r="A160" s="972">
        <v>7</v>
      </c>
      <c r="B160" s="971" t="s">
        <v>3555</v>
      </c>
      <c r="C160" s="13" t="s">
        <v>604</v>
      </c>
      <c r="D160" s="13" t="s">
        <v>2401</v>
      </c>
      <c r="E160" s="971">
        <v>20</v>
      </c>
      <c r="F160" s="33" t="s">
        <v>2934</v>
      </c>
      <c r="G160" s="973">
        <v>6972517203</v>
      </c>
      <c r="H160" s="1105" t="b">
        <v>1</v>
      </c>
    </row>
    <row r="161" spans="1:62" ht="15.75" thickBot="1">
      <c r="A161" s="972">
        <v>8</v>
      </c>
      <c r="B161" s="971" t="s">
        <v>3555</v>
      </c>
      <c r="C161" s="15" t="s">
        <v>608</v>
      </c>
      <c r="D161" s="15" t="s">
        <v>2402</v>
      </c>
      <c r="E161" s="974">
        <v>21</v>
      </c>
      <c r="F161" s="35" t="s">
        <v>2943</v>
      </c>
      <c r="G161" s="315">
        <v>6941447919</v>
      </c>
      <c r="H161" s="1105" t="b">
        <v>1</v>
      </c>
    </row>
    <row r="162" spans="1:62">
      <c r="H162" s="598"/>
    </row>
    <row r="163" spans="1:62">
      <c r="A163" s="1073" t="s">
        <v>424</v>
      </c>
      <c r="B163" s="1073" t="s">
        <v>425</v>
      </c>
      <c r="C163" s="1073" t="s">
        <v>426</v>
      </c>
      <c r="D163" s="1073" t="s">
        <v>427</v>
      </c>
      <c r="E163" s="1073" t="s">
        <v>3337</v>
      </c>
      <c r="F163" s="1073" t="s">
        <v>428</v>
      </c>
      <c r="G163" s="1073" t="s">
        <v>429</v>
      </c>
      <c r="H163" s="598"/>
    </row>
    <row r="164" spans="1:62">
      <c r="A164" s="971">
        <v>1</v>
      </c>
      <c r="B164" s="971" t="s">
        <v>721</v>
      </c>
      <c r="C164" s="13" t="s">
        <v>722</v>
      </c>
      <c r="D164" s="13" t="s">
        <v>723</v>
      </c>
      <c r="E164" s="971">
        <v>77</v>
      </c>
      <c r="F164" s="33" t="s">
        <v>724</v>
      </c>
      <c r="G164" s="13">
        <v>6974170536</v>
      </c>
      <c r="H164" s="1105" t="b">
        <v>0</v>
      </c>
    </row>
    <row r="165" spans="1:62">
      <c r="A165" s="971">
        <v>2</v>
      </c>
      <c r="B165" s="971" t="s">
        <v>721</v>
      </c>
      <c r="C165" s="13" t="s">
        <v>725</v>
      </c>
      <c r="D165" s="13" t="s">
        <v>726</v>
      </c>
      <c r="E165" s="971">
        <v>79</v>
      </c>
      <c r="F165" s="33" t="s">
        <v>727</v>
      </c>
      <c r="G165" s="13">
        <v>6978474740</v>
      </c>
      <c r="H165" s="1105" t="b">
        <v>0</v>
      </c>
    </row>
    <row r="166" spans="1:62">
      <c r="A166" s="971">
        <v>3</v>
      </c>
      <c r="B166" s="971" t="s">
        <v>721</v>
      </c>
      <c r="C166" s="13" t="s">
        <v>470</v>
      </c>
      <c r="D166" s="13" t="s">
        <v>729</v>
      </c>
      <c r="E166" s="971">
        <v>39</v>
      </c>
      <c r="F166" s="33" t="s">
        <v>730</v>
      </c>
      <c r="G166" s="13">
        <v>6986405541</v>
      </c>
      <c r="H166" s="1105" t="b">
        <v>0</v>
      </c>
    </row>
    <row r="167" spans="1:62">
      <c r="A167" s="971">
        <v>4</v>
      </c>
      <c r="B167" s="971" t="s">
        <v>721</v>
      </c>
      <c r="C167" s="13" t="s">
        <v>731</v>
      </c>
      <c r="D167" s="13" t="s">
        <v>732</v>
      </c>
      <c r="E167" s="971">
        <v>78</v>
      </c>
      <c r="F167" s="33" t="s">
        <v>733</v>
      </c>
      <c r="G167" s="13">
        <v>6978161053</v>
      </c>
      <c r="H167" s="1105" t="b">
        <v>1</v>
      </c>
    </row>
    <row r="168" spans="1:62">
      <c r="A168" s="971">
        <v>5</v>
      </c>
      <c r="B168" s="971" t="s">
        <v>721</v>
      </c>
      <c r="C168" s="13" t="s">
        <v>544</v>
      </c>
      <c r="D168" s="13" t="s">
        <v>735</v>
      </c>
      <c r="E168" s="971">
        <v>41</v>
      </c>
      <c r="F168" s="33" t="s">
        <v>736</v>
      </c>
      <c r="G168" s="13">
        <v>6985725551</v>
      </c>
      <c r="H168" s="1105" t="b">
        <v>1</v>
      </c>
    </row>
    <row r="169" spans="1:62">
      <c r="A169" s="971">
        <v>6</v>
      </c>
      <c r="B169" s="971" t="s">
        <v>721</v>
      </c>
      <c r="C169" s="13" t="s">
        <v>737</v>
      </c>
      <c r="D169" s="13" t="s">
        <v>738</v>
      </c>
      <c r="E169" s="971">
        <v>40</v>
      </c>
      <c r="F169" s="33" t="s">
        <v>739</v>
      </c>
      <c r="G169" s="13">
        <v>6946868881</v>
      </c>
      <c r="H169" s="1105" t="b">
        <v>1</v>
      </c>
    </row>
    <row r="170" spans="1:62" s="979" customFormat="1">
      <c r="A170" s="971">
        <v>7</v>
      </c>
      <c r="B170" s="971" t="s">
        <v>721</v>
      </c>
      <c r="C170" s="13" t="s">
        <v>740</v>
      </c>
      <c r="D170" s="13" t="s">
        <v>741</v>
      </c>
      <c r="E170" s="971">
        <v>43</v>
      </c>
      <c r="F170" s="33" t="s">
        <v>742</v>
      </c>
      <c r="G170" s="13">
        <v>6944098848</v>
      </c>
      <c r="H170" s="1105" t="b">
        <v>0</v>
      </c>
      <c r="J170" s="598"/>
      <c r="K170" s="598"/>
      <c r="L170" s="598"/>
      <c r="M170" s="598"/>
      <c r="N170" s="598"/>
      <c r="O170" s="598"/>
      <c r="P170" s="598"/>
      <c r="Q170" s="598"/>
      <c r="R170" s="598"/>
      <c r="S170" s="433"/>
      <c r="T170" s="598"/>
      <c r="U170" s="598"/>
      <c r="V170" s="598"/>
      <c r="W170" s="598"/>
      <c r="X170" s="978"/>
      <c r="Y170" s="978"/>
      <c r="Z170" s="598"/>
      <c r="AA170" s="978"/>
      <c r="AI170"/>
      <c r="AJ170"/>
      <c r="AK170"/>
      <c r="AL170"/>
      <c r="AM170"/>
      <c r="AN170"/>
      <c r="AO170" s="81"/>
      <c r="AP170"/>
      <c r="AQ170"/>
      <c r="AR170"/>
      <c r="AS170"/>
      <c r="AT170"/>
      <c r="AU170"/>
      <c r="AV170"/>
      <c r="AW170" s="81"/>
      <c r="AX170" s="81"/>
      <c r="AY170" s="81"/>
      <c r="AZ170" s="81"/>
      <c r="BA170" s="81"/>
      <c r="BB170"/>
      <c r="BC170"/>
      <c r="BD170"/>
      <c r="BE170"/>
      <c r="BF170"/>
      <c r="BG170"/>
      <c r="BH170"/>
      <c r="BI170"/>
      <c r="BJ170"/>
    </row>
    <row r="171" spans="1:62" s="979" customFormat="1">
      <c r="A171" s="971">
        <v>8</v>
      </c>
      <c r="B171" s="971" t="s">
        <v>721</v>
      </c>
      <c r="C171" s="13" t="s">
        <v>743</v>
      </c>
      <c r="D171" s="13" t="s">
        <v>744</v>
      </c>
      <c r="E171" s="971">
        <v>44</v>
      </c>
      <c r="F171" s="33" t="s">
        <v>745</v>
      </c>
      <c r="G171" s="13">
        <v>6993928303</v>
      </c>
      <c r="H171" s="1105" t="b">
        <v>1</v>
      </c>
      <c r="J171" s="598"/>
      <c r="K171" s="598"/>
      <c r="L171" s="598"/>
      <c r="M171" s="598"/>
      <c r="N171" s="598"/>
      <c r="O171" s="598"/>
      <c r="P171" s="598"/>
      <c r="Q171" s="598"/>
      <c r="R171" s="598"/>
      <c r="S171" s="433"/>
      <c r="T171" s="598"/>
      <c r="U171" s="598"/>
      <c r="V171" s="598"/>
      <c r="W171" s="598"/>
      <c r="X171" s="598"/>
      <c r="Y171" s="598"/>
      <c r="Z171" s="598"/>
      <c r="AA171" s="978"/>
      <c r="AI171"/>
      <c r="AJ171"/>
      <c r="AK171"/>
      <c r="AL171"/>
      <c r="AM171"/>
      <c r="AN171"/>
      <c r="AO171" s="81"/>
      <c r="AP171"/>
      <c r="AQ171"/>
      <c r="AR171"/>
      <c r="AS171"/>
      <c r="AT171"/>
      <c r="AU171"/>
      <c r="AV171"/>
      <c r="AW171" s="81"/>
      <c r="AX171" s="81"/>
      <c r="AY171" s="81"/>
      <c r="AZ171" s="81"/>
      <c r="BA171" s="81"/>
      <c r="BB171"/>
      <c r="BC171"/>
      <c r="BD171"/>
      <c r="BE171"/>
      <c r="BF171"/>
      <c r="BG171"/>
      <c r="BH171"/>
      <c r="BI171"/>
      <c r="BJ171"/>
    </row>
    <row r="172" spans="1:62">
      <c r="A172" s="1075">
        <v>9</v>
      </c>
      <c r="B172" s="1075" t="s">
        <v>721</v>
      </c>
      <c r="C172" s="1075" t="s">
        <v>746</v>
      </c>
      <c r="D172" s="1075" t="s">
        <v>747</v>
      </c>
      <c r="E172" s="1073">
        <v>76</v>
      </c>
      <c r="F172" s="1074" t="s">
        <v>748</v>
      </c>
      <c r="G172" s="1075">
        <v>6949917351</v>
      </c>
      <c r="H172" s="1105" t="b">
        <v>0</v>
      </c>
      <c r="Z172" s="978"/>
    </row>
    <row r="173" spans="1:62">
      <c r="A173" s="971">
        <v>10</v>
      </c>
      <c r="B173" s="971" t="s">
        <v>721</v>
      </c>
      <c r="C173" s="13" t="s">
        <v>696</v>
      </c>
      <c r="D173" s="13" t="s">
        <v>749</v>
      </c>
      <c r="E173" s="971">
        <v>80</v>
      </c>
      <c r="F173" s="33" t="s">
        <v>750</v>
      </c>
      <c r="G173" s="13">
        <v>6943445469</v>
      </c>
      <c r="H173" s="1105" t="b">
        <v>0</v>
      </c>
    </row>
    <row r="174" spans="1:62">
      <c r="C174" s="951"/>
      <c r="D174" s="952"/>
      <c r="F174" s="953"/>
      <c r="G174" s="952"/>
      <c r="H174" s="598"/>
    </row>
    <row r="175" spans="1:62">
      <c r="A175" s="981" t="s">
        <v>424</v>
      </c>
      <c r="B175" s="981" t="s">
        <v>425</v>
      </c>
      <c r="C175" s="982" t="s">
        <v>426</v>
      </c>
      <c r="D175" s="982" t="s">
        <v>427</v>
      </c>
      <c r="E175" s="981" t="s">
        <v>3337</v>
      </c>
      <c r="F175" s="987" t="s">
        <v>428</v>
      </c>
      <c r="G175" s="982" t="s">
        <v>429</v>
      </c>
      <c r="H175" s="598"/>
    </row>
    <row r="176" spans="1:62">
      <c r="A176" s="496">
        <v>1</v>
      </c>
      <c r="B176" s="496" t="s">
        <v>3557</v>
      </c>
      <c r="C176" s="17" t="s">
        <v>2450</v>
      </c>
      <c r="D176" s="17" t="s">
        <v>2403</v>
      </c>
      <c r="E176" s="496">
        <v>11</v>
      </c>
      <c r="F176" s="36" t="s">
        <v>2984</v>
      </c>
      <c r="G176" s="17">
        <v>6906851518</v>
      </c>
      <c r="H176" s="1105" t="b">
        <v>1</v>
      </c>
    </row>
    <row r="177" spans="1:8">
      <c r="A177" s="496">
        <v>2</v>
      </c>
      <c r="B177" s="496" t="s">
        <v>3557</v>
      </c>
      <c r="C177" s="17" t="s">
        <v>773</v>
      </c>
      <c r="D177" s="17" t="s">
        <v>2404</v>
      </c>
      <c r="E177" s="496">
        <v>12</v>
      </c>
      <c r="F177" s="36" t="s">
        <v>2994</v>
      </c>
      <c r="G177" s="17">
        <v>6940332546</v>
      </c>
      <c r="H177" s="1105" t="b">
        <v>0</v>
      </c>
    </row>
    <row r="178" spans="1:8">
      <c r="A178" s="496">
        <v>3</v>
      </c>
      <c r="B178" s="496" t="s">
        <v>3557</v>
      </c>
      <c r="C178" s="17" t="s">
        <v>600</v>
      </c>
      <c r="D178" s="17" t="s">
        <v>2405</v>
      </c>
      <c r="E178" s="496">
        <v>13</v>
      </c>
      <c r="F178" s="36" t="s">
        <v>1977</v>
      </c>
      <c r="G178" s="17">
        <v>6976616585</v>
      </c>
      <c r="H178" s="1105" t="b">
        <v>1</v>
      </c>
    </row>
    <row r="179" spans="1:8">
      <c r="A179" s="496">
        <v>4</v>
      </c>
      <c r="B179" s="496" t="s">
        <v>3557</v>
      </c>
      <c r="C179" s="17" t="s">
        <v>809</v>
      </c>
      <c r="D179" s="17" t="s">
        <v>2406</v>
      </c>
      <c r="E179" s="496">
        <v>14</v>
      </c>
      <c r="F179" s="36" t="s">
        <v>1980</v>
      </c>
      <c r="G179" s="17">
        <v>6970651783</v>
      </c>
      <c r="H179" s="1105" t="b">
        <v>1</v>
      </c>
    </row>
    <row r="180" spans="1:8">
      <c r="A180" s="496">
        <v>5</v>
      </c>
      <c r="B180" s="496" t="s">
        <v>3557</v>
      </c>
      <c r="C180" s="17" t="s">
        <v>809</v>
      </c>
      <c r="D180" s="17" t="s">
        <v>2407</v>
      </c>
      <c r="E180" s="496">
        <v>15</v>
      </c>
      <c r="F180" s="36" t="s">
        <v>3010</v>
      </c>
      <c r="G180" s="17">
        <v>6934025019</v>
      </c>
      <c r="H180" s="1105" t="b">
        <v>1</v>
      </c>
    </row>
    <row r="181" spans="1:8">
      <c r="A181" s="496">
        <v>6</v>
      </c>
      <c r="B181" s="496" t="s">
        <v>3557</v>
      </c>
      <c r="C181" s="17" t="s">
        <v>3016</v>
      </c>
      <c r="D181" s="17" t="s">
        <v>3015</v>
      </c>
      <c r="E181" s="496" t="s">
        <v>771</v>
      </c>
      <c r="F181" s="36" t="s">
        <v>3017</v>
      </c>
      <c r="G181" s="17">
        <v>6973549071</v>
      </c>
      <c r="H181" s="1105" t="b">
        <v>0</v>
      </c>
    </row>
    <row r="182" spans="1:8">
      <c r="A182" s="496">
        <v>7</v>
      </c>
      <c r="B182" s="496" t="s">
        <v>3557</v>
      </c>
      <c r="C182" s="17" t="s">
        <v>773</v>
      </c>
      <c r="D182" s="17" t="s">
        <v>3022</v>
      </c>
      <c r="E182" s="496" t="s">
        <v>771</v>
      </c>
      <c r="F182" s="36" t="s">
        <v>3023</v>
      </c>
      <c r="G182" s="17">
        <v>6932736849</v>
      </c>
      <c r="H182" s="1105" t="b">
        <v>0</v>
      </c>
    </row>
    <row r="183" spans="1:8">
      <c r="A183" s="496">
        <v>8</v>
      </c>
      <c r="B183" s="496" t="s">
        <v>3557</v>
      </c>
      <c r="C183" s="17" t="s">
        <v>540</v>
      </c>
      <c r="D183" s="17" t="s">
        <v>2408</v>
      </c>
      <c r="E183" s="496">
        <v>16</v>
      </c>
      <c r="F183" s="36" t="s">
        <v>2666</v>
      </c>
      <c r="G183" s="17">
        <v>6975793246</v>
      </c>
      <c r="H183" s="1105" t="b">
        <v>1</v>
      </c>
    </row>
    <row r="184" spans="1:8">
      <c r="H184" s="598"/>
    </row>
    <row r="185" spans="1:8">
      <c r="A185" s="181" t="s">
        <v>424</v>
      </c>
      <c r="B185" s="181" t="s">
        <v>425</v>
      </c>
      <c r="C185" s="181" t="s">
        <v>426</v>
      </c>
      <c r="D185" s="181" t="s">
        <v>427</v>
      </c>
      <c r="E185" s="181" t="s">
        <v>3337</v>
      </c>
      <c r="F185" s="181" t="s">
        <v>428</v>
      </c>
      <c r="G185" s="181" t="s">
        <v>429</v>
      </c>
      <c r="H185" s="598"/>
    </row>
    <row r="186" spans="1:8">
      <c r="A186" s="1110">
        <v>1</v>
      </c>
      <c r="B186" s="1110" t="s">
        <v>671</v>
      </c>
      <c r="C186" s="1110" t="s">
        <v>544</v>
      </c>
      <c r="D186" s="1110" t="s">
        <v>672</v>
      </c>
      <c r="E186" s="1110">
        <v>46</v>
      </c>
      <c r="F186" s="1111" t="s">
        <v>673</v>
      </c>
      <c r="G186" s="1110">
        <v>6947841222</v>
      </c>
      <c r="H186" s="1105" t="b">
        <v>0</v>
      </c>
    </row>
    <row r="187" spans="1:8">
      <c r="A187" s="1110">
        <v>2</v>
      </c>
      <c r="B187" s="1110" t="s">
        <v>671</v>
      </c>
      <c r="C187" s="1110" t="s">
        <v>544</v>
      </c>
      <c r="D187" s="1110" t="s">
        <v>674</v>
      </c>
      <c r="E187" s="1110">
        <v>47</v>
      </c>
      <c r="F187" s="1111" t="s">
        <v>675</v>
      </c>
      <c r="G187" s="1110">
        <v>6937357077</v>
      </c>
      <c r="H187" s="1105" t="b">
        <v>0</v>
      </c>
    </row>
    <row r="188" spans="1:8">
      <c r="A188" s="1110">
        <v>3</v>
      </c>
      <c r="B188" s="1110" t="s">
        <v>671</v>
      </c>
      <c r="C188" s="1110" t="s">
        <v>676</v>
      </c>
      <c r="D188" s="1110" t="s">
        <v>677</v>
      </c>
      <c r="E188" s="1110">
        <v>48</v>
      </c>
      <c r="F188" s="1111" t="s">
        <v>678</v>
      </c>
      <c r="G188" s="1110">
        <v>6978163340</v>
      </c>
      <c r="H188" s="1105" t="b">
        <v>0</v>
      </c>
    </row>
    <row r="189" spans="1:8">
      <c r="A189" s="1110">
        <v>4</v>
      </c>
      <c r="B189" s="1110" t="s">
        <v>671</v>
      </c>
      <c r="C189" s="1110" t="s">
        <v>680</v>
      </c>
      <c r="D189" s="1110" t="s">
        <v>681</v>
      </c>
      <c r="E189" s="1110">
        <v>49</v>
      </c>
      <c r="F189" s="1111" t="s">
        <v>682</v>
      </c>
      <c r="G189" s="1110">
        <v>6986184307</v>
      </c>
      <c r="H189" s="1105" t="b">
        <v>0</v>
      </c>
    </row>
    <row r="190" spans="1:8">
      <c r="A190" s="1110">
        <v>5</v>
      </c>
      <c r="B190" s="1110" t="s">
        <v>671</v>
      </c>
      <c r="C190" s="1110" t="s">
        <v>683</v>
      </c>
      <c r="D190" s="1110" t="s">
        <v>684</v>
      </c>
      <c r="E190" s="1110">
        <v>50</v>
      </c>
      <c r="F190" s="1111" t="s">
        <v>685</v>
      </c>
      <c r="G190" s="1110">
        <v>6943696191</v>
      </c>
      <c r="H190" s="1105" t="b">
        <v>0</v>
      </c>
    </row>
  </sheetData>
  <mergeCells count="9">
    <mergeCell ref="AI1:AV1"/>
    <mergeCell ref="A1:G1"/>
    <mergeCell ref="A132:G132"/>
    <mergeCell ref="S1:AB1"/>
    <mergeCell ref="H1:Q1"/>
    <mergeCell ref="I131:J131"/>
    <mergeCell ref="I132:J132"/>
    <mergeCell ref="K131:L131"/>
    <mergeCell ref="K132:L132"/>
  </mergeCells>
  <phoneticPr fontId="8" type="noConversion"/>
  <hyperlinks>
    <hyperlink ref="AM29" r:id="rId1" display="repdebbie@gmail.com" xr:uid="{E20B3B00-8233-4E31-A1DD-E3CCF74A837E}"/>
    <hyperlink ref="AM28" r:id="rId2" xr:uid="{15886428-1B47-47FD-A1B2-E690348CBD69}"/>
    <hyperlink ref="AM26" r:id="rId3" xr:uid="{DA567A21-E258-4C7F-8673-B27748BA4279}"/>
    <hyperlink ref="AM24" r:id="rId4" display="ni.anagnostaki@gmail.com" xr:uid="{785B04E6-3654-4FE7-B9B2-DA6A1EA2CB15}"/>
    <hyperlink ref="AM13" r:id="rId5" display="koundouraki@katartisi.gr" xr:uid="{F1DAB50C-F8CC-49EC-93C9-8EADA008E9FE}"/>
    <hyperlink ref="AM33" r:id="rId6" xr:uid="{5F9E6E71-A895-4595-AC23-E38F4E8EA1A3}"/>
    <hyperlink ref="AM23" r:id="rId7" display="mikasava96@gmail.com" xr:uid="{F663ED26-B473-4F1F-9F29-4B87CF61B0B6}"/>
    <hyperlink ref="AM15" r:id="rId8" xr:uid="{B97AB6EA-47AD-464F-9CCA-3D4115EEE339}"/>
    <hyperlink ref="AM14" r:id="rId9" xr:uid="{7572BE2D-7BDF-471D-A3A0-8E045ED50BD1}"/>
    <hyperlink ref="AM10" r:id="rId10" xr:uid="{3075F14E-13ED-40D7-A5E2-F94097E3EC60}"/>
    <hyperlink ref="AM7" r:id="rId11" xr:uid="{32D333D7-DBA4-4BE3-85F1-23ADDCBC31C1}"/>
    <hyperlink ref="AM12" r:id="rId12" xr:uid="{BABEBB50-D5E7-4838-BC14-C9FD52D66EA2}"/>
    <hyperlink ref="AM4" r:id="rId13" xr:uid="{E55B802B-71EB-4B14-A069-67EC8C661FE4}"/>
    <hyperlink ref="AM9" r:id="rId14" xr:uid="{99699F95-E6DA-4E73-87A4-3F8DE1DDF503}"/>
    <hyperlink ref="AM8" r:id="rId15" xr:uid="{AC8FF3F0-058A-4A6C-82CB-1A60C51FF5FD}"/>
    <hyperlink ref="AM6" r:id="rId16" xr:uid="{933AE962-0C2C-49AC-8F5A-4087A5CF2CD3}"/>
    <hyperlink ref="AM5" r:id="rId17" xr:uid="{19DB297D-6C0E-495F-BF5E-9A1E6343791B}"/>
    <hyperlink ref="AM3" r:id="rId18" xr:uid="{81E20D1E-30DB-4EC5-BB3A-9599EF70DDF5}"/>
    <hyperlink ref="AM27" r:id="rId19" display="alyratzakis@gmail.com" xr:uid="{8612649A-856A-4475-A705-C75FF4B04DED}"/>
    <hyperlink ref="AM32" r:id="rId20" xr:uid="{07172F3A-AD26-419C-85EB-8EE8AF4A1898}"/>
    <hyperlink ref="F157" r:id="rId21" xr:uid="{232956D2-26E5-4E77-8EC1-B9DA9C796445}"/>
    <hyperlink ref="F183" r:id="rId22" xr:uid="{BF844032-5CC1-495A-BEB5-68E872E0E4F5}"/>
    <hyperlink ref="F182" r:id="rId23" xr:uid="{4A034F41-E1FF-44A8-8555-BF3375301070}"/>
    <hyperlink ref="F181" r:id="rId24" xr:uid="{5632D6C5-402C-42A5-88D6-B775A3259B62}"/>
    <hyperlink ref="F180" r:id="rId25" xr:uid="{CD0DAF2F-B0DA-4940-8B85-B9C216339565}"/>
    <hyperlink ref="F179" r:id="rId26" xr:uid="{9F2C9730-B256-47A4-908F-86AD30A6E94B}"/>
    <hyperlink ref="F178" r:id="rId27" xr:uid="{0A3C257D-D894-46AA-AD93-FF1FA0C425C6}"/>
    <hyperlink ref="F177" r:id="rId28" xr:uid="{1B46208E-ED30-47AF-A823-BDDFE6433339}"/>
    <hyperlink ref="F176" r:id="rId29" xr:uid="{B9EC30C4-5923-4EBD-967A-31A17769AF4E}"/>
    <hyperlink ref="F161" r:id="rId30" xr:uid="{7583670F-53D1-4EF0-A36D-6510A383EE30}"/>
    <hyperlink ref="F160" r:id="rId31" xr:uid="{A7B8E21F-0C9E-4D92-BFB7-18CF4CC74641}"/>
    <hyperlink ref="F159" r:id="rId32" xr:uid="{7BD2020B-575F-47C9-8D6C-FEE36F78D5A4}"/>
    <hyperlink ref="F158" r:id="rId33" xr:uid="{4556D171-1369-400E-9489-C34EE411D057}"/>
    <hyperlink ref="F156" r:id="rId34" xr:uid="{B6C16D72-7B89-43D1-9669-BC963ABBD82C}"/>
    <hyperlink ref="F155" r:id="rId35" xr:uid="{E54B652E-D051-4998-ADAC-8ECBDBDDF4BF}"/>
    <hyperlink ref="F154" r:id="rId36" xr:uid="{15682817-0361-4F1F-A505-66FB86236166}"/>
    <hyperlink ref="F141" r:id="rId37" xr:uid="{4BAEEDEC-0D94-4B9E-9726-4BD228EFD4C2}"/>
    <hyperlink ref="F140" r:id="rId38" xr:uid="{FD3F2817-0054-4ABC-A616-F48F66CD2F36}"/>
    <hyperlink ref="F139" r:id="rId39" xr:uid="{44DB0E1D-2E2B-4122-AA1C-F8B4908FA91C}"/>
    <hyperlink ref="F138" r:id="rId40" xr:uid="{F27C9007-46FB-49B2-B245-11AA1A9D4C6F}"/>
    <hyperlink ref="F137" r:id="rId41" xr:uid="{50F77FD8-7B41-480D-89D4-6839D61F03C7}"/>
    <hyperlink ref="F136" r:id="rId42" xr:uid="{FA145D0B-571B-47F7-8BB8-0EB103EF6119}"/>
    <hyperlink ref="F135" r:id="rId43" xr:uid="{CF6E62CA-5051-4FA4-A1AF-A825E12CD359}"/>
    <hyperlink ref="F134" r:id="rId44" xr:uid="{B1BCED73-D99E-4A1A-BD0D-04D861AF3E05}"/>
    <hyperlink ref="F110" r:id="rId45" xr:uid="{DECE038B-AD7E-4BF9-B758-41C98DB6E3D3}"/>
    <hyperlink ref="F38" r:id="rId46" display="emmanuellarizou28@yahoo.com" xr:uid="{103CB227-5472-43E4-BA8C-597AC11D566A}"/>
    <hyperlink ref="F108" r:id="rId47" xr:uid="{06DDA870-DBA2-4C37-AD35-91C7163662CF}"/>
    <hyperlink ref="F107" r:id="rId48" xr:uid="{0BEC735D-12B6-4155-B963-17A4E731449E}"/>
    <hyperlink ref="F106" r:id="rId49" xr:uid="{2282D25B-DA0F-4C27-9BCC-6DB39D266D96}"/>
    <hyperlink ref="F105" r:id="rId50" xr:uid="{1E58ACE2-3F29-46AE-B63B-75A446B19AC9}"/>
    <hyperlink ref="F104" r:id="rId51" xr:uid="{7245709C-58F4-48ED-9D28-8F461A2F036B}"/>
    <hyperlink ref="F41" r:id="rId52" xr:uid="{54F5E582-6D5E-472D-921B-BF916221B7BB}"/>
    <hyperlink ref="F40" r:id="rId53" xr:uid="{CF87ED26-F888-41B8-8F0D-5EE5DD4FECA7}"/>
    <hyperlink ref="F39" r:id="rId54" xr:uid="{A714996E-899F-4870-8853-64302B5BD6DB}"/>
    <hyperlink ref="F37" r:id="rId55" xr:uid="{E56C913C-7772-4931-A1F8-5A957B145F72}"/>
    <hyperlink ref="F36" r:id="rId56" xr:uid="{6DF84623-FA4F-4AE5-A672-56F6B7853858}"/>
    <hyperlink ref="F35" r:id="rId57" xr:uid="{ED485428-B2CF-46C8-96E4-C4D59D70F506}"/>
    <hyperlink ref="F17" r:id="rId58" xr:uid="{3B9BC990-D3CF-4275-9AC2-A992D088BAE5}"/>
    <hyperlink ref="F15" r:id="rId59" display="iwona55@windowslive.com" xr:uid="{AC5D6311-1B4D-4E30-85AD-AC2568BC4BD2}"/>
    <hyperlink ref="F16" r:id="rId60" xr:uid="{69E496CA-93A2-42F1-9AFD-248397B03206}"/>
    <hyperlink ref="F18" r:id="rId61" xr:uid="{F78E45EF-7E41-43E8-BF19-DD71D422B143}"/>
    <hyperlink ref="F19" r:id="rId62" xr:uid="{2DF06DB1-9534-4AA5-A627-E6E760BFADC4}"/>
    <hyperlink ref="F34" r:id="rId63" xr:uid="{5BEAAF90-ABF2-4F01-9D01-73199E0B0069}"/>
    <hyperlink ref="AM22" r:id="rId64" display="repdebbie@gmail.com" xr:uid="{E575E5D8-2F22-4B2D-9F4A-CA4620D9D774}"/>
    <hyperlink ref="AM21" r:id="rId65" xr:uid="{13D8D2A8-D319-4B6C-887E-95ECB121B58C}"/>
    <hyperlink ref="AM19" r:id="rId66" xr:uid="{B91332B8-ADF9-4A5D-A914-C704CB881627}"/>
    <hyperlink ref="AM17" r:id="rId67" display="ni.anagnostaki@gmail.com" xr:uid="{D24F8E32-5151-4360-9AFF-1BF1046CF6D2}"/>
    <hyperlink ref="AM16" r:id="rId68" display="mikasava96@gmail.com" xr:uid="{945EB71E-EE77-442E-ACE3-1E92A0685B0E}"/>
    <hyperlink ref="AM20" r:id="rId69" display="alyratzakis@gmail.com" xr:uid="{D17E3EEC-A792-4CF2-836D-2D11B2E23099}"/>
    <hyperlink ref="AM44" r:id="rId70" xr:uid="{0383972F-47A7-406F-A08D-B50D2F7B6DCC}"/>
    <hyperlink ref="AM43" r:id="rId71" xr:uid="{BA080952-D75E-44C5-AD70-31461DB4FACC}"/>
    <hyperlink ref="F88" r:id="rId72" display="giwrgosskordulhs@gmail.com" xr:uid="{AC068AAA-077A-43EC-B7F2-86C1785E200E}"/>
    <hyperlink ref="F81" r:id="rId73" display="sgeorgantonaki@gmail.com" xr:uid="{7C7C842E-733E-4EFE-81F5-823CC43FCBFC}"/>
    <hyperlink ref="F87" r:id="rId74" display="malliotxenia@gmail.com" xr:uid="{D37BB935-809B-44A2-B14D-4E024FA012BC}"/>
    <hyperlink ref="F86" r:id="rId75" display="michaleskypraios492@gmail.com" xr:uid="{821DAC28-2F6F-4161-961E-55DA82DE38E4}"/>
    <hyperlink ref="F85" r:id="rId76" display="stauroskoun@hotmail.com" xr:uid="{88EE458B-77A5-4F20-88E9-EDFDDB77AA0A}"/>
    <hyperlink ref="F84" r:id="rId77" display="makoumaki@gmail.com" xr:uid="{78947D0C-345C-4745-8967-15FE5A78731B}"/>
    <hyperlink ref="F82" r:id="rId78" display="giannisellinikakis511@gmail.com" xr:uid="{B819910C-FB66-4345-ABC5-0D64A41E6B88}"/>
    <hyperlink ref="F151" r:id="rId79" xr:uid="{705DAAD2-DCB0-485A-8598-D0AC38E9CE0E}"/>
    <hyperlink ref="F148" r:id="rId80" xr:uid="{6D19B8EC-BA41-4C76-9084-7EDA5F2E9BDB}"/>
    <hyperlink ref="F144" r:id="rId81" xr:uid="{554A79CC-3712-4223-AB5B-57C9F69D9999}"/>
    <hyperlink ref="F150" r:id="rId82" xr:uid="{6A60C4A2-3D54-4BDC-9A9B-2BB1705764A2}"/>
    <hyperlink ref="F149" r:id="rId83" xr:uid="{1C137955-36E6-419B-B696-E61CF8E297DD}"/>
    <hyperlink ref="F147" r:id="rId84" xr:uid="{42F1B87B-6972-419C-B6F9-02343B88E517}"/>
    <hyperlink ref="F146" r:id="rId85" xr:uid="{2A17BAFA-7DC8-4747-B0B6-94F26CD2C399}"/>
    <hyperlink ref="F145" r:id="rId86" xr:uid="{954DB9B2-2C02-49A4-9387-8F757E11115B}"/>
    <hyperlink ref="F173" r:id="rId87" xr:uid="{7BAADC01-B8CA-40ED-87EC-0CAAA88254B0}"/>
    <hyperlink ref="F172" r:id="rId88" xr:uid="{D7AF53A9-C704-4BB2-9AEE-424848AA3A07}"/>
    <hyperlink ref="F165" r:id="rId89" xr:uid="{783856DA-F698-4178-AB2F-F852350217E2}"/>
    <hyperlink ref="F171" r:id="rId90" xr:uid="{ECEC475E-CE4C-41D9-9ABA-133806EA2E95}"/>
    <hyperlink ref="F170" r:id="rId91" xr:uid="{9EEE5B1C-BC19-453E-8251-9655C6053648}"/>
    <hyperlink ref="F169" r:id="rId92" xr:uid="{45EDC676-6AD9-4007-87C8-9A580A13C1E5}"/>
    <hyperlink ref="F168" r:id="rId93" xr:uid="{DDD5968C-3797-4838-BF94-B33AFEAFC1F2}"/>
    <hyperlink ref="F166" r:id="rId94" xr:uid="{CA5E2FC7-E934-4E3E-BB5E-65E4AEE636AE}"/>
    <hyperlink ref="F186" r:id="rId95" xr:uid="{7A7A7500-B9E9-45F6-B8A6-07BFC7F3FC14}"/>
    <hyperlink ref="F190" r:id="rId96" xr:uid="{D40CDDF6-EA1C-406C-A245-8A7943D00BFD}"/>
    <hyperlink ref="F189" r:id="rId97" xr:uid="{CC1E02A6-4D14-4C55-840D-C0CA2A33D27A}"/>
    <hyperlink ref="F188" r:id="rId98" xr:uid="{2251938E-A5FC-4710-8C17-2037948A515A}"/>
    <hyperlink ref="F187" r:id="rId99" xr:uid="{480BE828-54A0-4A80-BC05-5B4972796501}"/>
    <hyperlink ref="F44" r:id="rId100" xr:uid="{2FB8DB3F-5382-49C1-942A-EEB5F82917AA}"/>
    <hyperlink ref="F91" r:id="rId101" xr:uid="{C82BA640-8692-4866-85A7-33E62D52D68D}"/>
    <hyperlink ref="F92" r:id="rId102" xr:uid="{BA19DE9B-E2FE-4B7F-9D06-3000CF97F7A1}"/>
  </hyperlinks>
  <pageMargins left="0.7" right="0.7" top="0.75" bottom="0.75" header="0.3" footer="0.3"/>
  <pageSetup paperSize="9" orientation="landscape" r:id="rId103"/>
  <rowBreaks count="1" manualBreakCount="1">
    <brk id="72" max="16383" man="1"/>
  </rowBreaks>
  <colBreaks count="1" manualBreakCount="1">
    <brk id="7" max="1048575" man="1"/>
  </colBreaks>
  <legacyDrawing r:id="rId10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C53D4-8E4E-4721-A6A7-D4CC773A5A2E}">
  <sheetPr>
    <tabColor rgb="FFCCECFF"/>
  </sheetPr>
  <dimension ref="A1:BL72"/>
  <sheetViews>
    <sheetView topLeftCell="N21" zoomScale="75" zoomScaleNormal="75" workbookViewId="0">
      <selection activeCell="N61" sqref="N61"/>
    </sheetView>
  </sheetViews>
  <sheetFormatPr defaultRowHeight="15"/>
  <cols>
    <col min="1" max="1" width="9.5703125" bestFit="1" customWidth="1"/>
    <col min="2" max="2" width="15.7109375" bestFit="1" customWidth="1"/>
    <col min="3" max="3" width="24.5703125" bestFit="1" customWidth="1"/>
    <col min="4" max="4" width="12.85546875" bestFit="1" customWidth="1"/>
    <col min="10" max="10" width="23" style="3" bestFit="1" customWidth="1"/>
    <col min="11" max="11" width="25.85546875" style="3" bestFit="1" customWidth="1"/>
    <col min="12" max="12" width="34.28515625" style="3" bestFit="1" customWidth="1"/>
    <col min="13" max="13" width="8.42578125" customWidth="1"/>
    <col min="14" max="14" width="16.140625" style="3" customWidth="1"/>
    <col min="15" max="15" width="23.140625" customWidth="1"/>
    <col min="16" max="16" width="12.5703125" style="3" customWidth="1"/>
    <col min="18" max="18" width="15.140625" bestFit="1" customWidth="1"/>
    <col min="19" max="19" width="20.28515625" bestFit="1" customWidth="1"/>
    <col min="20" max="20" width="30.85546875" bestFit="1" customWidth="1"/>
    <col min="22" max="22" width="12" bestFit="1" customWidth="1"/>
    <col min="23" max="23" width="17.5703125" bestFit="1" customWidth="1"/>
    <col min="24" max="24" width="9.5703125" bestFit="1" customWidth="1"/>
    <col min="25" max="26" width="9.5703125" customWidth="1"/>
    <col min="27" max="27" width="15.85546875" bestFit="1" customWidth="1"/>
    <col min="28" max="28" width="24.5703125" bestFit="1" customWidth="1"/>
    <col min="29" max="29" width="12.85546875" bestFit="1" customWidth="1"/>
    <col min="31" max="31" width="47.28515625" customWidth="1"/>
    <col min="32" max="32" width="35.42578125" bestFit="1" customWidth="1"/>
    <col min="33" max="33" width="75.85546875" bestFit="1" customWidth="1"/>
    <col min="34" max="34" width="35.42578125" bestFit="1" customWidth="1"/>
    <col min="35" max="35" width="5.42578125" customWidth="1"/>
    <col min="36" max="36" width="71.42578125" bestFit="1" customWidth="1"/>
    <col min="37" max="37" width="35.42578125" bestFit="1" customWidth="1"/>
    <col min="38" max="38" width="75.85546875" bestFit="1" customWidth="1"/>
    <col min="39" max="39" width="35.42578125" bestFit="1" customWidth="1"/>
    <col min="40" max="40" width="33.5703125" bestFit="1" customWidth="1"/>
    <col min="46" max="46" width="10" bestFit="1" customWidth="1"/>
    <col min="47" max="47" width="9.5703125" bestFit="1" customWidth="1"/>
    <col min="49" max="49" width="16.42578125" bestFit="1" customWidth="1"/>
    <col min="58" max="58" width="16.42578125" bestFit="1" customWidth="1"/>
  </cols>
  <sheetData>
    <row r="1" spans="1:64" ht="15.75" thickBot="1">
      <c r="A1" s="1182" t="s">
        <v>1257</v>
      </c>
      <c r="B1" s="1183"/>
      <c r="C1" s="1183"/>
      <c r="D1" s="1183"/>
      <c r="E1" s="1183"/>
      <c r="F1" s="1183"/>
      <c r="G1" s="1183"/>
      <c r="H1" s="1184"/>
      <c r="J1" s="1178" t="s">
        <v>58</v>
      </c>
      <c r="K1" s="1178"/>
      <c r="L1" s="1178"/>
      <c r="M1" s="1178"/>
      <c r="N1" s="1178"/>
      <c r="O1" s="1178"/>
      <c r="P1" s="1178"/>
      <c r="R1" s="1207" t="s">
        <v>48</v>
      </c>
      <c r="S1" s="1207"/>
      <c r="T1" s="1207"/>
      <c r="U1" s="1207"/>
      <c r="V1" s="1207"/>
      <c r="W1" s="1207"/>
      <c r="X1" s="1207"/>
      <c r="Y1" s="1"/>
      <c r="Z1" s="1208" t="s">
        <v>3767</v>
      </c>
      <c r="AA1" s="1208"/>
      <c r="AB1" s="1208"/>
      <c r="AC1" s="1208"/>
      <c r="AE1" s="1175" t="s">
        <v>1119</v>
      </c>
      <c r="AF1" s="1175"/>
      <c r="AG1" s="1175"/>
      <c r="AH1" s="1175"/>
      <c r="AJ1" s="1175" t="s">
        <v>1120</v>
      </c>
      <c r="AK1" s="1175"/>
      <c r="AL1" s="1175"/>
      <c r="AM1" s="1175"/>
      <c r="AO1" s="1175" t="s">
        <v>1121</v>
      </c>
      <c r="AP1" s="1175"/>
      <c r="AQ1" s="1175"/>
      <c r="AR1" s="1175"/>
      <c r="AS1" s="1175"/>
      <c r="AT1" s="1175"/>
      <c r="AU1" s="1175"/>
      <c r="AW1" s="1175" t="s">
        <v>1122</v>
      </c>
      <c r="AX1" s="1175"/>
      <c r="AY1" s="1175"/>
      <c r="AZ1" s="1175"/>
      <c r="BA1" s="1175"/>
      <c r="BB1" s="1175"/>
      <c r="BC1" s="1175"/>
      <c r="BD1" s="1175"/>
      <c r="BE1" s="1175"/>
      <c r="BF1" s="1175"/>
      <c r="BG1" s="1175"/>
      <c r="BH1" s="1175"/>
      <c r="BI1" s="1175"/>
      <c r="BJ1" s="1175"/>
      <c r="BK1" s="1175"/>
      <c r="BL1" s="1175"/>
    </row>
    <row r="2" spans="1:64" ht="16.5" customHeight="1" thickTop="1" thickBot="1">
      <c r="A2" s="1185" t="s">
        <v>1261</v>
      </c>
      <c r="B2" s="1145"/>
      <c r="C2" s="1145"/>
      <c r="D2" s="1145"/>
      <c r="E2" s="1145"/>
      <c r="F2" s="1145"/>
      <c r="G2" s="1145"/>
      <c r="H2" s="1186"/>
      <c r="J2" s="1179" t="s">
        <v>447</v>
      </c>
      <c r="K2" s="1180"/>
      <c r="L2" s="1180"/>
      <c r="M2" s="1180"/>
      <c r="N2" s="1180"/>
      <c r="O2" s="1180"/>
      <c r="P2" s="1181"/>
      <c r="R2" s="1210" t="s">
        <v>1124</v>
      </c>
      <c r="S2" s="1211"/>
      <c r="T2" s="1211"/>
      <c r="U2" s="1211"/>
      <c r="V2" s="1211"/>
      <c r="W2" s="1211"/>
      <c r="X2" s="1212"/>
      <c r="Y2" s="1"/>
      <c r="Z2" s="1100" t="s">
        <v>1126</v>
      </c>
      <c r="AA2" s="1101" t="s">
        <v>1127</v>
      </c>
      <c r="AB2" s="1101" t="s">
        <v>1128</v>
      </c>
      <c r="AC2" s="1102" t="s">
        <v>1131</v>
      </c>
      <c r="AE2" s="1159" t="s">
        <v>1125</v>
      </c>
      <c r="AF2" s="1159"/>
      <c r="AG2" s="1159"/>
      <c r="AH2" s="1159"/>
      <c r="AI2" s="3"/>
      <c r="AJ2" s="1159" t="s">
        <v>1125</v>
      </c>
      <c r="AK2" s="1159"/>
      <c r="AL2" s="1159"/>
      <c r="AM2" s="1159"/>
      <c r="AN2" s="3"/>
      <c r="AO2" s="186" t="s">
        <v>1126</v>
      </c>
      <c r="AP2" s="186" t="s">
        <v>1127</v>
      </c>
      <c r="AQ2" s="186" t="s">
        <v>1128</v>
      </c>
      <c r="AR2" s="1" t="s">
        <v>1129</v>
      </c>
      <c r="AS2" s="186" t="s">
        <v>1130</v>
      </c>
      <c r="AT2" s="1" t="s">
        <v>1131</v>
      </c>
      <c r="AU2" s="186" t="s">
        <v>1132</v>
      </c>
      <c r="AW2" s="1177" t="s">
        <v>1133</v>
      </c>
      <c r="AX2" s="1177"/>
      <c r="AY2" s="1177"/>
      <c r="AZ2" s="1177"/>
      <c r="BA2" s="1177"/>
      <c r="BB2" s="1177"/>
      <c r="BC2" s="1177"/>
      <c r="BF2" s="1177" t="s">
        <v>48</v>
      </c>
      <c r="BG2" s="1177"/>
      <c r="BH2" s="1177"/>
      <c r="BI2" s="1177"/>
      <c r="BJ2" s="1177"/>
      <c r="BK2" s="1177"/>
      <c r="BL2" s="1177"/>
    </row>
    <row r="3" spans="1:64" ht="15" customHeight="1">
      <c r="A3" s="1187"/>
      <c r="B3" s="1145"/>
      <c r="C3" s="1145"/>
      <c r="D3" s="1145"/>
      <c r="E3" s="1145"/>
      <c r="F3" s="1145"/>
      <c r="G3" s="1145"/>
      <c r="H3" s="1186"/>
      <c r="J3" s="604" t="s">
        <v>1126</v>
      </c>
      <c r="K3" s="186" t="s">
        <v>1127</v>
      </c>
      <c r="L3" s="186" t="s">
        <v>1128</v>
      </c>
      <c r="M3" s="1" t="s">
        <v>1129</v>
      </c>
      <c r="N3" s="186" t="s">
        <v>1130</v>
      </c>
      <c r="O3" s="1" t="s">
        <v>1131</v>
      </c>
      <c r="P3" s="605" t="s">
        <v>1132</v>
      </c>
      <c r="R3" s="630" t="s">
        <v>1126</v>
      </c>
      <c r="S3" s="186" t="s">
        <v>1127</v>
      </c>
      <c r="T3" s="186" t="s">
        <v>1128</v>
      </c>
      <c r="U3" s="186" t="s">
        <v>1129</v>
      </c>
      <c r="V3" s="186" t="s">
        <v>1130</v>
      </c>
      <c r="W3" s="186" t="s">
        <v>1131</v>
      </c>
      <c r="X3" s="631" t="s">
        <v>1132</v>
      </c>
      <c r="Y3" s="186"/>
      <c r="Z3" s="632" t="s">
        <v>740</v>
      </c>
      <c r="AA3" s="3" t="s">
        <v>3772</v>
      </c>
      <c r="AB3" s="526" t="s">
        <v>3775</v>
      </c>
      <c r="AC3" s="633" t="s">
        <v>3768</v>
      </c>
      <c r="AE3" s="636" t="s">
        <v>1134</v>
      </c>
      <c r="AF3" s="321" t="s">
        <v>1135</v>
      </c>
      <c r="AG3" s="636" t="s">
        <v>1136</v>
      </c>
      <c r="AH3" s="321" t="s">
        <v>1137</v>
      </c>
      <c r="AJ3" s="636" t="s">
        <v>1134</v>
      </c>
      <c r="AK3" s="321" t="s">
        <v>1135</v>
      </c>
      <c r="AL3" s="636" t="s">
        <v>1136</v>
      </c>
      <c r="AM3" s="321" t="s">
        <v>1137</v>
      </c>
      <c r="AW3" s="80" t="s">
        <v>1138</v>
      </c>
      <c r="AX3" s="1161" t="s">
        <v>1139</v>
      </c>
      <c r="AY3" s="1161"/>
      <c r="AZ3" s="1161"/>
      <c r="BA3" s="1161"/>
      <c r="BB3" s="1161"/>
      <c r="BC3" s="1161"/>
      <c r="BF3" s="80" t="s">
        <v>1138</v>
      </c>
      <c r="BG3" s="1161" t="s">
        <v>1139</v>
      </c>
      <c r="BH3" s="1161"/>
      <c r="BI3" s="1161"/>
      <c r="BJ3" s="1161"/>
      <c r="BK3" s="1161"/>
      <c r="BL3" s="1161"/>
    </row>
    <row r="4" spans="1:64" ht="15" customHeight="1">
      <c r="A4" s="1187"/>
      <c r="B4" s="1145"/>
      <c r="C4" s="1145"/>
      <c r="D4" s="1145"/>
      <c r="E4" s="1145"/>
      <c r="F4" s="1145"/>
      <c r="G4" s="1145"/>
      <c r="H4" s="1186"/>
      <c r="J4" s="543" t="s">
        <v>448</v>
      </c>
      <c r="K4" s="3" t="s">
        <v>449</v>
      </c>
      <c r="L4" s="526" t="s">
        <v>450</v>
      </c>
      <c r="M4" s="136">
        <v>59</v>
      </c>
      <c r="N4" s="3">
        <v>6951957501</v>
      </c>
      <c r="O4" s="136" t="s">
        <v>1140</v>
      </c>
      <c r="P4" s="544">
        <v>1234</v>
      </c>
      <c r="R4" s="632" t="s">
        <v>453</v>
      </c>
      <c r="S4" s="3" t="s">
        <v>452</v>
      </c>
      <c r="T4" s="523" t="s">
        <v>455</v>
      </c>
      <c r="U4" s="3">
        <v>1</v>
      </c>
      <c r="V4" s="2">
        <v>6944632864</v>
      </c>
      <c r="W4" s="3" t="s">
        <v>1141</v>
      </c>
      <c r="X4" s="633">
        <v>1234</v>
      </c>
      <c r="Y4" s="3"/>
      <c r="Z4" s="632" t="s">
        <v>3771</v>
      </c>
      <c r="AA4" s="3" t="s">
        <v>3773</v>
      </c>
      <c r="AB4" s="526" t="s">
        <v>3776</v>
      </c>
      <c r="AC4" s="633" t="s">
        <v>3769</v>
      </c>
      <c r="AE4" s="637" t="s">
        <v>430</v>
      </c>
      <c r="AF4" s="26" t="s">
        <v>1142</v>
      </c>
      <c r="AG4" s="637" t="s">
        <v>503</v>
      </c>
      <c r="AH4" s="26" t="s">
        <v>1143</v>
      </c>
      <c r="AJ4" s="637" t="s">
        <v>1144</v>
      </c>
      <c r="AK4" s="26" t="s">
        <v>1145</v>
      </c>
      <c r="AL4" s="637" t="s">
        <v>1146</v>
      </c>
      <c r="AM4" s="26" t="s">
        <v>1147</v>
      </c>
      <c r="AW4" s="1165" t="s">
        <v>1148</v>
      </c>
      <c r="AX4" s="1145" t="s">
        <v>3802</v>
      </c>
      <c r="AY4" s="1145"/>
      <c r="AZ4" s="1145"/>
      <c r="BA4" s="1145"/>
      <c r="BB4" s="1145"/>
      <c r="BC4" s="1145"/>
      <c r="BF4" s="1165" t="s">
        <v>1148</v>
      </c>
      <c r="BG4" s="1145" t="s">
        <v>3801</v>
      </c>
      <c r="BH4" s="1145"/>
      <c r="BI4" s="1145"/>
      <c r="BJ4" s="1145"/>
      <c r="BK4" s="1145"/>
      <c r="BL4" s="1145"/>
    </row>
    <row r="5" spans="1:64">
      <c r="A5" s="1187"/>
      <c r="B5" s="1145"/>
      <c r="C5" s="1145"/>
      <c r="D5" s="1145"/>
      <c r="E5" s="1145"/>
      <c r="F5" s="1145"/>
      <c r="G5" s="1145"/>
      <c r="H5" s="1186"/>
      <c r="J5" s="543" t="s">
        <v>1149</v>
      </c>
      <c r="K5" s="3" t="s">
        <v>460</v>
      </c>
      <c r="L5" s="526" t="s">
        <v>461</v>
      </c>
      <c r="M5" s="136">
        <v>60</v>
      </c>
      <c r="N5" s="3">
        <v>6993230075</v>
      </c>
      <c r="O5" s="136" t="s">
        <v>1150</v>
      </c>
      <c r="P5" s="544">
        <v>1234</v>
      </c>
      <c r="R5" s="632" t="s">
        <v>467</v>
      </c>
      <c r="S5" s="3" t="s">
        <v>466</v>
      </c>
      <c r="T5" s="523" t="s">
        <v>468</v>
      </c>
      <c r="U5" s="3">
        <v>2</v>
      </c>
      <c r="V5" s="3">
        <v>6940828922</v>
      </c>
      <c r="W5" s="3" t="s">
        <v>1151</v>
      </c>
      <c r="X5" s="633">
        <v>1234</v>
      </c>
      <c r="Y5" s="3"/>
      <c r="Z5" s="632" t="s">
        <v>544</v>
      </c>
      <c r="AA5" s="3" t="s">
        <v>3774</v>
      </c>
      <c r="AB5" s="526" t="s">
        <v>3777</v>
      </c>
      <c r="AC5" s="633" t="s">
        <v>3770</v>
      </c>
      <c r="AE5" s="637" t="s">
        <v>431</v>
      </c>
      <c r="AF5" s="26" t="s">
        <v>1152</v>
      </c>
      <c r="AG5" s="637" t="s">
        <v>504</v>
      </c>
      <c r="AH5" s="26" t="s">
        <v>1153</v>
      </c>
      <c r="AJ5" s="637" t="s">
        <v>1154</v>
      </c>
      <c r="AK5" s="26" t="s">
        <v>1155</v>
      </c>
      <c r="AL5" s="637" t="s">
        <v>1156</v>
      </c>
      <c r="AM5" s="26" t="s">
        <v>1157</v>
      </c>
      <c r="AW5" s="1165"/>
      <c r="AX5" s="1145"/>
      <c r="AY5" s="1145"/>
      <c r="AZ5" s="1145"/>
      <c r="BA5" s="1145"/>
      <c r="BB5" s="1145"/>
      <c r="BC5" s="1145"/>
      <c r="BF5" s="1165"/>
      <c r="BG5" s="1145"/>
      <c r="BH5" s="1145"/>
      <c r="BI5" s="1145"/>
      <c r="BJ5" s="1145"/>
      <c r="BK5" s="1145"/>
      <c r="BL5" s="1145"/>
    </row>
    <row r="6" spans="1:64">
      <c r="A6" s="1187"/>
      <c r="B6" s="1145"/>
      <c r="C6" s="1145"/>
      <c r="D6" s="1145"/>
      <c r="E6" s="1145"/>
      <c r="F6" s="1145"/>
      <c r="G6" s="1145"/>
      <c r="H6" s="1186"/>
      <c r="J6" s="543" t="s">
        <v>470</v>
      </c>
      <c r="K6" s="3" t="s">
        <v>471</v>
      </c>
      <c r="L6" s="526" t="s">
        <v>472</v>
      </c>
      <c r="M6" s="136">
        <v>58</v>
      </c>
      <c r="N6" s="3">
        <v>6988403440</v>
      </c>
      <c r="O6" s="136" t="s">
        <v>3592</v>
      </c>
      <c r="P6" s="544">
        <v>1234</v>
      </c>
      <c r="R6" s="632" t="s">
        <v>475</v>
      </c>
      <c r="S6" s="3" t="s">
        <v>474</v>
      </c>
      <c r="T6" s="523" t="s">
        <v>476</v>
      </c>
      <c r="U6" s="3">
        <v>3</v>
      </c>
      <c r="V6" s="3">
        <v>6973739823</v>
      </c>
      <c r="W6" s="3" t="s">
        <v>1158</v>
      </c>
      <c r="X6" s="633">
        <v>1234</v>
      </c>
      <c r="Y6" s="3"/>
      <c r="Z6" s="632" t="s">
        <v>3778</v>
      </c>
      <c r="AA6" s="3" t="s">
        <v>3779</v>
      </c>
      <c r="AB6" s="526" t="s">
        <v>3781</v>
      </c>
      <c r="AC6" s="633" t="s">
        <v>3780</v>
      </c>
      <c r="AE6" s="637" t="s">
        <v>432</v>
      </c>
      <c r="AF6" s="26" t="s">
        <v>1159</v>
      </c>
      <c r="AG6" s="637" t="s">
        <v>505</v>
      </c>
      <c r="AH6" s="26" t="s">
        <v>1160</v>
      </c>
      <c r="AJ6" s="637" t="s">
        <v>1161</v>
      </c>
      <c r="AK6" s="26" t="s">
        <v>1162</v>
      </c>
      <c r="AL6" s="637" t="s">
        <v>1163</v>
      </c>
      <c r="AM6" s="26" t="s">
        <v>1164</v>
      </c>
      <c r="AW6" s="1165"/>
      <c r="AX6" s="1145"/>
      <c r="AY6" s="1145"/>
      <c r="AZ6" s="1145"/>
      <c r="BA6" s="1145"/>
      <c r="BB6" s="1145"/>
      <c r="BC6" s="1145"/>
      <c r="BF6" s="1165"/>
      <c r="BG6" s="1145"/>
      <c r="BH6" s="1145"/>
      <c r="BI6" s="1145"/>
      <c r="BJ6" s="1145"/>
      <c r="BK6" s="1145"/>
      <c r="BL6" s="1145"/>
    </row>
    <row r="7" spans="1:64" ht="15.75" thickBot="1">
      <c r="A7" s="1187"/>
      <c r="B7" s="1145"/>
      <c r="C7" s="1145"/>
      <c r="D7" s="1145"/>
      <c r="E7" s="1145"/>
      <c r="F7" s="1145"/>
      <c r="G7" s="1145"/>
      <c r="H7" s="1186"/>
      <c r="J7" s="543" t="s">
        <v>479</v>
      </c>
      <c r="K7" s="3" t="s">
        <v>480</v>
      </c>
      <c r="L7" s="526" t="s">
        <v>481</v>
      </c>
      <c r="M7" s="136">
        <v>73</v>
      </c>
      <c r="N7" s="3">
        <v>6984495182</v>
      </c>
      <c r="O7" s="136" t="s">
        <v>1165</v>
      </c>
      <c r="P7" s="544">
        <v>1234</v>
      </c>
      <c r="R7" s="632" t="s">
        <v>475</v>
      </c>
      <c r="S7" s="3" t="s">
        <v>486</v>
      </c>
      <c r="T7" s="523" t="s">
        <v>487</v>
      </c>
      <c r="U7" s="3">
        <v>4</v>
      </c>
      <c r="V7" s="3">
        <v>6955951660</v>
      </c>
      <c r="W7" s="3" t="s">
        <v>1166</v>
      </c>
      <c r="X7" s="633">
        <v>1234</v>
      </c>
      <c r="Y7" s="3"/>
      <c r="Z7" s="1103" t="s">
        <v>3685</v>
      </c>
      <c r="AA7" s="831" t="s">
        <v>3686</v>
      </c>
      <c r="AB7" s="1104" t="s">
        <v>3687</v>
      </c>
      <c r="AC7" s="832" t="s">
        <v>3688</v>
      </c>
      <c r="AE7" s="637" t="s">
        <v>433</v>
      </c>
      <c r="AF7" s="26" t="s">
        <v>1167</v>
      </c>
      <c r="AG7" s="637" t="s">
        <v>506</v>
      </c>
      <c r="AH7" s="26" t="s">
        <v>1168</v>
      </c>
      <c r="AJ7" s="637" t="s">
        <v>1169</v>
      </c>
      <c r="AK7" s="26" t="s">
        <v>1170</v>
      </c>
      <c r="AL7" s="637" t="s">
        <v>1171</v>
      </c>
      <c r="AM7" s="26" t="s">
        <v>1172</v>
      </c>
      <c r="AW7" s="1165"/>
      <c r="AX7" s="1145"/>
      <c r="AY7" s="1145"/>
      <c r="AZ7" s="1145"/>
      <c r="BA7" s="1145"/>
      <c r="BB7" s="1145"/>
      <c r="BC7" s="1145"/>
      <c r="BF7" s="1165"/>
      <c r="BG7" s="1145"/>
      <c r="BH7" s="1145"/>
      <c r="BI7" s="1145"/>
      <c r="BJ7" s="1145"/>
      <c r="BK7" s="1145"/>
      <c r="BL7" s="1145"/>
    </row>
    <row r="8" spans="1:64" ht="16.5" thickTop="1" thickBot="1">
      <c r="A8" s="1188"/>
      <c r="B8" s="1189"/>
      <c r="C8" s="1189"/>
      <c r="D8" s="1189"/>
      <c r="E8" s="1189"/>
      <c r="F8" s="1189"/>
      <c r="G8" s="1189"/>
      <c r="H8" s="1190"/>
      <c r="J8" s="561" t="s">
        <v>1173</v>
      </c>
      <c r="K8" s="562" t="s">
        <v>1174</v>
      </c>
      <c r="L8" s="606" t="s">
        <v>491</v>
      </c>
      <c r="M8" s="607">
        <v>75</v>
      </c>
      <c r="N8" s="562">
        <v>6983006334</v>
      </c>
      <c r="O8" s="607" t="s">
        <v>1175</v>
      </c>
      <c r="P8" s="563">
        <v>1234</v>
      </c>
      <c r="R8" s="632" t="s">
        <v>493</v>
      </c>
      <c r="S8" s="3" t="s">
        <v>492</v>
      </c>
      <c r="T8" s="523" t="s">
        <v>494</v>
      </c>
      <c r="U8" s="3">
        <v>5</v>
      </c>
      <c r="V8" s="3">
        <v>6973825235</v>
      </c>
      <c r="W8" s="3" t="s">
        <v>1176</v>
      </c>
      <c r="X8" s="633">
        <v>1234</v>
      </c>
      <c r="Y8" s="3"/>
      <c r="Z8" s="3"/>
      <c r="AA8" s="3"/>
      <c r="AB8" s="3"/>
      <c r="AC8" s="3"/>
      <c r="AE8" s="637" t="s">
        <v>434</v>
      </c>
      <c r="AF8" s="26" t="s">
        <v>1177</v>
      </c>
      <c r="AG8" s="637" t="s">
        <v>507</v>
      </c>
      <c r="AH8" s="26" t="s">
        <v>1178</v>
      </c>
      <c r="AJ8" s="637" t="s">
        <v>1179</v>
      </c>
      <c r="AK8" s="26" t="s">
        <v>1180</v>
      </c>
      <c r="AL8" s="637" t="s">
        <v>1181</v>
      </c>
      <c r="AM8" s="26" t="s">
        <v>1182</v>
      </c>
      <c r="AW8" s="1165"/>
      <c r="AX8" s="1145"/>
      <c r="AY8" s="1145"/>
      <c r="AZ8" s="1145"/>
      <c r="BA8" s="1145"/>
      <c r="BB8" s="1145"/>
      <c r="BC8" s="1145"/>
      <c r="BF8" s="1165"/>
      <c r="BG8" s="1145"/>
      <c r="BH8" s="1145"/>
      <c r="BI8" s="1145"/>
      <c r="BJ8" s="1145"/>
      <c r="BK8" s="1145"/>
      <c r="BL8" s="1145"/>
    </row>
    <row r="9" spans="1:64" ht="16.5" thickTop="1" thickBot="1">
      <c r="A9" s="1176" t="s">
        <v>3799</v>
      </c>
      <c r="B9" s="1176"/>
      <c r="C9" s="1176"/>
      <c r="D9" s="1176"/>
      <c r="E9" s="1176"/>
      <c r="F9" s="1176"/>
      <c r="G9" s="1176"/>
      <c r="H9" s="1176"/>
      <c r="J9" s="1179" t="s">
        <v>516</v>
      </c>
      <c r="K9" s="1180"/>
      <c r="L9" s="1180"/>
      <c r="M9" s="1180"/>
      <c r="N9" s="1180"/>
      <c r="O9" s="1180"/>
      <c r="P9" s="1181"/>
      <c r="R9" s="632" t="s">
        <v>558</v>
      </c>
      <c r="S9" s="3" t="s">
        <v>557</v>
      </c>
      <c r="T9" s="523" t="s">
        <v>559</v>
      </c>
      <c r="U9" s="3">
        <v>6</v>
      </c>
      <c r="V9" s="3">
        <v>6945452188</v>
      </c>
      <c r="W9" s="3" t="s">
        <v>1183</v>
      </c>
      <c r="X9" s="633">
        <v>1234</v>
      </c>
      <c r="Y9" s="3"/>
      <c r="Z9" s="3"/>
      <c r="AA9" s="3"/>
      <c r="AB9" s="3"/>
      <c r="AC9" s="3"/>
      <c r="AE9" s="637" t="s">
        <v>435</v>
      </c>
      <c r="AF9" s="26" t="s">
        <v>1184</v>
      </c>
      <c r="AG9" s="637" t="s">
        <v>1185</v>
      </c>
      <c r="AH9" s="26" t="s">
        <v>1186</v>
      </c>
      <c r="AJ9" s="637" t="s">
        <v>1187</v>
      </c>
      <c r="AK9" s="26" t="s">
        <v>1188</v>
      </c>
      <c r="AL9" s="638" t="s">
        <v>1189</v>
      </c>
      <c r="AM9" s="639" t="s">
        <v>1190</v>
      </c>
      <c r="AW9" s="1165"/>
      <c r="AX9" s="1145"/>
      <c r="AY9" s="1145"/>
      <c r="AZ9" s="1145"/>
      <c r="BA9" s="1145"/>
      <c r="BB9" s="1145"/>
      <c r="BC9" s="1145"/>
      <c r="BF9" s="1165"/>
      <c r="BG9" s="1145"/>
      <c r="BH9" s="1145"/>
      <c r="BI9" s="1145"/>
      <c r="BJ9" s="1145"/>
      <c r="BK9" s="1145"/>
      <c r="BL9" s="1145"/>
    </row>
    <row r="10" spans="1:64" ht="15.75" thickBot="1">
      <c r="A10" s="1177" t="s">
        <v>1123</v>
      </c>
      <c r="B10" s="1177"/>
      <c r="C10" s="1177"/>
      <c r="D10" s="1177"/>
      <c r="E10" s="1177"/>
      <c r="F10" s="1177"/>
      <c r="G10" s="1177"/>
      <c r="H10" s="1177"/>
      <c r="J10" s="604" t="s">
        <v>1126</v>
      </c>
      <c r="K10" s="186" t="s">
        <v>1127</v>
      </c>
      <c r="L10" s="186" t="s">
        <v>1128</v>
      </c>
      <c r="M10" s="1" t="s">
        <v>1129</v>
      </c>
      <c r="N10" s="186" t="s">
        <v>1130</v>
      </c>
      <c r="O10" s="1" t="s">
        <v>1131</v>
      </c>
      <c r="P10" s="605" t="s">
        <v>1132</v>
      </c>
      <c r="R10" s="632" t="s">
        <v>569</v>
      </c>
      <c r="S10" s="3" t="s">
        <v>568</v>
      </c>
      <c r="T10" s="523" t="s">
        <v>570</v>
      </c>
      <c r="U10" s="3">
        <v>7</v>
      </c>
      <c r="V10" s="3">
        <v>6984501017</v>
      </c>
      <c r="W10" s="3" t="s">
        <v>1191</v>
      </c>
      <c r="X10" s="633">
        <v>1234</v>
      </c>
      <c r="Y10" s="3"/>
      <c r="Z10" s="3"/>
      <c r="AA10" s="3"/>
      <c r="AB10" s="3"/>
      <c r="AC10" s="3"/>
      <c r="AE10" s="638" t="s">
        <v>1189</v>
      </c>
      <c r="AF10" s="639" t="s">
        <v>1190</v>
      </c>
      <c r="AG10" s="638" t="s">
        <v>1189</v>
      </c>
      <c r="AH10" s="639" t="s">
        <v>1190</v>
      </c>
      <c r="AJ10" s="637" t="s">
        <v>1192</v>
      </c>
      <c r="AK10" s="26" t="s">
        <v>1193</v>
      </c>
      <c r="AW10" s="1165"/>
      <c r="AX10" s="1145"/>
      <c r="AY10" s="1145"/>
      <c r="AZ10" s="1145"/>
      <c r="BA10" s="1145"/>
      <c r="BB10" s="1145"/>
      <c r="BC10" s="1145"/>
      <c r="BF10" s="1165"/>
      <c r="BG10" s="1145"/>
      <c r="BH10" s="1145"/>
      <c r="BI10" s="1145"/>
      <c r="BJ10" s="1145"/>
      <c r="BK10" s="1145"/>
      <c r="BL10" s="1145"/>
    </row>
    <row r="11" spans="1:64" ht="15.75" thickBot="1">
      <c r="A11" s="1145" t="s">
        <v>3690</v>
      </c>
      <c r="B11" s="1145"/>
      <c r="C11" s="1145"/>
      <c r="D11" s="1145"/>
      <c r="E11" s="1145"/>
      <c r="F11" s="1145"/>
      <c r="G11" s="1145"/>
      <c r="H11" s="1145"/>
      <c r="J11" s="543" t="s">
        <v>475</v>
      </c>
      <c r="K11" s="3" t="s">
        <v>527</v>
      </c>
      <c r="L11" s="526" t="s">
        <v>528</v>
      </c>
      <c r="M11" s="136">
        <v>25</v>
      </c>
      <c r="N11" s="3">
        <v>6976606306</v>
      </c>
      <c r="O11" s="136" t="s">
        <v>1195</v>
      </c>
      <c r="P11" s="544">
        <v>1234</v>
      </c>
      <c r="R11" s="632" t="s">
        <v>593</v>
      </c>
      <c r="S11" s="3" t="s">
        <v>592</v>
      </c>
      <c r="T11" s="523" t="s">
        <v>594</v>
      </c>
      <c r="U11" s="3">
        <v>8</v>
      </c>
      <c r="V11" s="3">
        <v>6948486899</v>
      </c>
      <c r="W11" s="3" t="s">
        <v>1194</v>
      </c>
      <c r="X11" s="633">
        <v>1234</v>
      </c>
      <c r="Y11" s="3"/>
      <c r="Z11" s="3"/>
      <c r="AA11" s="3"/>
      <c r="AB11" s="3"/>
      <c r="AC11" s="3"/>
      <c r="AJ11" s="638" t="s">
        <v>1189</v>
      </c>
      <c r="AK11" s="639" t="s">
        <v>1190</v>
      </c>
      <c r="AW11" s="1165"/>
      <c r="AX11" s="1145"/>
      <c r="AY11" s="1145"/>
      <c r="AZ11" s="1145"/>
      <c r="BA11" s="1145"/>
      <c r="BB11" s="1145"/>
      <c r="BC11" s="1145"/>
      <c r="BF11" s="1165"/>
      <c r="BG11" s="1145"/>
      <c r="BH11" s="1145"/>
      <c r="BI11" s="1145"/>
      <c r="BJ11" s="1145"/>
      <c r="BK11" s="1145"/>
      <c r="BL11" s="1145"/>
    </row>
    <row r="12" spans="1:64" ht="15.75" thickBot="1">
      <c r="A12" s="1145"/>
      <c r="B12" s="1145"/>
      <c r="C12" s="1145"/>
      <c r="D12" s="1145"/>
      <c r="E12" s="1145"/>
      <c r="F12" s="1145"/>
      <c r="G12" s="1145"/>
      <c r="H12" s="1145"/>
      <c r="J12" s="543" t="s">
        <v>533</v>
      </c>
      <c r="K12" s="3" t="s">
        <v>534</v>
      </c>
      <c r="L12" s="526" t="s">
        <v>535</v>
      </c>
      <c r="M12" s="136">
        <v>26</v>
      </c>
      <c r="N12" s="3">
        <v>6980272629</v>
      </c>
      <c r="O12" s="136" t="s">
        <v>1198</v>
      </c>
      <c r="P12" s="544">
        <v>1234</v>
      </c>
      <c r="R12" s="632" t="s">
        <v>620</v>
      </c>
      <c r="S12" s="3" t="s">
        <v>619</v>
      </c>
      <c r="T12" s="523" t="s">
        <v>621</v>
      </c>
      <c r="U12" s="3">
        <v>9</v>
      </c>
      <c r="V12" s="3">
        <v>6983756076</v>
      </c>
      <c r="W12" s="3" t="s">
        <v>1196</v>
      </c>
      <c r="X12" s="633">
        <v>1234</v>
      </c>
      <c r="Y12" s="3"/>
      <c r="Z12" s="3"/>
      <c r="AA12" s="3"/>
      <c r="AB12" s="3"/>
      <c r="AC12" s="3"/>
      <c r="AE12" s="1213" t="s">
        <v>1197</v>
      </c>
      <c r="AF12" s="1213"/>
      <c r="AG12" s="1213"/>
      <c r="AH12" s="1213"/>
      <c r="AW12" s="1165"/>
      <c r="AX12" s="1145"/>
      <c r="AY12" s="1145"/>
      <c r="AZ12" s="1145"/>
      <c r="BA12" s="1145"/>
      <c r="BB12" s="1145"/>
      <c r="BC12" s="1145"/>
      <c r="BF12" s="1165"/>
      <c r="BG12" s="1145"/>
      <c r="BH12" s="1145"/>
      <c r="BI12" s="1145"/>
      <c r="BJ12" s="1145"/>
      <c r="BK12" s="1145"/>
      <c r="BL12" s="1145"/>
    </row>
    <row r="13" spans="1:64" ht="15.75" thickBot="1">
      <c r="A13" s="1145"/>
      <c r="B13" s="1145"/>
      <c r="C13" s="1145"/>
      <c r="D13" s="1145"/>
      <c r="E13" s="1145"/>
      <c r="F13" s="1145"/>
      <c r="G13" s="1145"/>
      <c r="H13" s="1145"/>
      <c r="J13" s="543" t="s">
        <v>544</v>
      </c>
      <c r="K13" s="3" t="s">
        <v>545</v>
      </c>
      <c r="L13" s="526" t="s">
        <v>546</v>
      </c>
      <c r="M13" s="136">
        <v>27</v>
      </c>
      <c r="N13" s="3">
        <v>6943744160</v>
      </c>
      <c r="O13" s="136" t="s">
        <v>1200</v>
      </c>
      <c r="P13" s="544">
        <v>1234</v>
      </c>
      <c r="R13" s="632" t="s">
        <v>604</v>
      </c>
      <c r="S13" s="3" t="s">
        <v>603</v>
      </c>
      <c r="T13" s="523" t="s">
        <v>605</v>
      </c>
      <c r="U13" s="3">
        <v>11</v>
      </c>
      <c r="V13" s="3">
        <v>6998108632</v>
      </c>
      <c r="W13" s="3" t="s">
        <v>1199</v>
      </c>
      <c r="X13" s="633">
        <v>1234</v>
      </c>
      <c r="Y13" s="3"/>
      <c r="Z13" s="3"/>
      <c r="AA13" s="3"/>
      <c r="AB13" s="3"/>
      <c r="AC13" s="3"/>
      <c r="AE13" s="636" t="s">
        <v>1134</v>
      </c>
      <c r="AF13" s="321" t="s">
        <v>1135</v>
      </c>
      <c r="AG13" s="636" t="s">
        <v>1136</v>
      </c>
      <c r="AH13" s="321" t="s">
        <v>1137</v>
      </c>
      <c r="AJ13" s="1209" t="s">
        <v>1197</v>
      </c>
      <c r="AK13" s="1209"/>
      <c r="AL13" s="1209"/>
      <c r="AM13" s="1209"/>
      <c r="AW13" s="1165"/>
      <c r="AX13" s="1145"/>
      <c r="AY13" s="1145"/>
      <c r="AZ13" s="1145"/>
      <c r="BA13" s="1145"/>
      <c r="BB13" s="1145"/>
      <c r="BC13" s="1145"/>
      <c r="BF13" s="1165"/>
      <c r="BG13" s="1145"/>
      <c r="BH13" s="1145"/>
      <c r="BI13" s="1145"/>
      <c r="BJ13" s="1145"/>
      <c r="BK13" s="1145"/>
      <c r="BL13" s="1145"/>
    </row>
    <row r="14" spans="1:64">
      <c r="A14" s="1145"/>
      <c r="B14" s="1145"/>
      <c r="C14" s="1145"/>
      <c r="D14" s="1145"/>
      <c r="E14" s="1145"/>
      <c r="F14" s="1145"/>
      <c r="G14" s="1145"/>
      <c r="H14" s="1145"/>
      <c r="J14" s="543" t="s">
        <v>553</v>
      </c>
      <c r="K14" s="3" t="s">
        <v>554</v>
      </c>
      <c r="L14" s="526" t="s">
        <v>555</v>
      </c>
      <c r="M14" s="136">
        <v>28</v>
      </c>
      <c r="N14" s="3">
        <v>6931835451</v>
      </c>
      <c r="O14" s="136" t="s">
        <v>1204</v>
      </c>
      <c r="P14" s="544">
        <v>1234</v>
      </c>
      <c r="R14" s="632" t="s">
        <v>612</v>
      </c>
      <c r="S14" s="3" t="s">
        <v>611</v>
      </c>
      <c r="T14" s="523" t="s">
        <v>613</v>
      </c>
      <c r="U14" s="3">
        <v>12</v>
      </c>
      <c r="V14" s="3">
        <v>6946047218</v>
      </c>
      <c r="W14" s="3" t="s">
        <v>1201</v>
      </c>
      <c r="X14" s="633">
        <v>1234</v>
      </c>
      <c r="Y14" s="3"/>
      <c r="Z14" s="3"/>
      <c r="AA14" s="3"/>
      <c r="AB14" s="3"/>
      <c r="AC14" s="3"/>
      <c r="AE14" s="637" t="s">
        <v>686</v>
      </c>
      <c r="AF14" s="26" t="s">
        <v>1202</v>
      </c>
      <c r="AG14" s="637" t="s">
        <v>716</v>
      </c>
      <c r="AH14" s="26" t="s">
        <v>1203</v>
      </c>
      <c r="AJ14" s="636" t="s">
        <v>1134</v>
      </c>
      <c r="AK14" s="321" t="s">
        <v>1135</v>
      </c>
      <c r="AL14" s="636" t="s">
        <v>1136</v>
      </c>
      <c r="AM14" s="321" t="s">
        <v>1137</v>
      </c>
      <c r="AW14" s="1165"/>
      <c r="AX14" s="1145"/>
      <c r="AY14" s="1145"/>
      <c r="AZ14" s="1145"/>
      <c r="BA14" s="1145"/>
      <c r="BB14" s="1145"/>
      <c r="BC14" s="1145"/>
      <c r="BF14" s="1165"/>
      <c r="BG14" s="1145"/>
      <c r="BH14" s="1145"/>
      <c r="BI14" s="1145"/>
      <c r="BJ14" s="1145"/>
      <c r="BK14" s="1145"/>
      <c r="BL14" s="1145"/>
    </row>
    <row r="15" spans="1:64">
      <c r="A15" s="1145"/>
      <c r="B15" s="1145"/>
      <c r="C15" s="1145"/>
      <c r="D15" s="1145"/>
      <c r="E15" s="1145"/>
      <c r="F15" s="1145"/>
      <c r="G15" s="1145"/>
      <c r="H15" s="1145"/>
      <c r="J15" s="543" t="s">
        <v>475</v>
      </c>
      <c r="K15" s="3" t="s">
        <v>565</v>
      </c>
      <c r="L15" s="526" t="s">
        <v>566</v>
      </c>
      <c r="M15" s="136">
        <v>29</v>
      </c>
      <c r="N15" s="3">
        <v>6946443776</v>
      </c>
      <c r="O15" s="136" t="s">
        <v>1213</v>
      </c>
      <c r="P15" s="544">
        <v>1234</v>
      </c>
      <c r="R15" s="632" t="s">
        <v>544</v>
      </c>
      <c r="S15" s="3" t="s">
        <v>584</v>
      </c>
      <c r="T15" s="523" t="s">
        <v>585</v>
      </c>
      <c r="U15" s="3">
        <v>14</v>
      </c>
      <c r="V15" s="3">
        <v>6955641311</v>
      </c>
      <c r="W15" s="3" t="s">
        <v>1205</v>
      </c>
      <c r="X15" s="633">
        <v>1234</v>
      </c>
      <c r="Y15" s="3"/>
      <c r="Z15" s="3"/>
      <c r="AA15" s="3"/>
      <c r="AB15" s="3"/>
      <c r="AC15" s="3"/>
      <c r="AE15" s="637" t="s">
        <v>687</v>
      </c>
      <c r="AF15" s="26" t="s">
        <v>1206</v>
      </c>
      <c r="AG15" s="637" t="s">
        <v>717</v>
      </c>
      <c r="AH15" s="26" t="s">
        <v>1207</v>
      </c>
      <c r="AJ15" s="637" t="s">
        <v>1208</v>
      </c>
      <c r="AK15" s="26" t="s">
        <v>1209</v>
      </c>
      <c r="AL15" s="637" t="s">
        <v>1210</v>
      </c>
      <c r="AM15" s="26" t="s">
        <v>1211</v>
      </c>
      <c r="AW15" s="1165"/>
      <c r="AX15" s="1145"/>
      <c r="AY15" s="1145"/>
      <c r="AZ15" s="1145"/>
      <c r="BA15" s="1145"/>
      <c r="BB15" s="1145"/>
      <c r="BC15" s="1145"/>
      <c r="BF15" s="1165"/>
      <c r="BG15" s="1145"/>
      <c r="BH15" s="1145"/>
      <c r="BI15" s="1145"/>
      <c r="BJ15" s="1145"/>
      <c r="BK15" s="1145"/>
      <c r="BL15" s="1145"/>
    </row>
    <row r="16" spans="1:64">
      <c r="A16" s="1145"/>
      <c r="B16" s="1145"/>
      <c r="C16" s="1145"/>
      <c r="D16" s="1145"/>
      <c r="E16" s="1145"/>
      <c r="F16" s="1145"/>
      <c r="G16" s="1145"/>
      <c r="H16" s="1145"/>
      <c r="J16" s="543" t="s">
        <v>573</v>
      </c>
      <c r="K16" s="3" t="s">
        <v>1224</v>
      </c>
      <c r="L16" s="526" t="s">
        <v>574</v>
      </c>
      <c r="M16" s="136">
        <v>83</v>
      </c>
      <c r="N16" s="459">
        <v>6947489270</v>
      </c>
      <c r="O16" s="136" t="s">
        <v>1225</v>
      </c>
      <c r="P16" s="544">
        <v>1234</v>
      </c>
      <c r="R16" s="632" t="s">
        <v>530</v>
      </c>
      <c r="S16" s="3" t="s">
        <v>529</v>
      </c>
      <c r="T16" s="523" t="s">
        <v>531</v>
      </c>
      <c r="U16" s="3">
        <v>15</v>
      </c>
      <c r="V16" s="3">
        <v>6976147069</v>
      </c>
      <c r="W16" s="3" t="s">
        <v>1214</v>
      </c>
      <c r="X16" s="633">
        <v>1234</v>
      </c>
      <c r="Y16" s="3"/>
      <c r="Z16" s="3"/>
      <c r="AA16" s="3"/>
      <c r="AB16" s="3"/>
      <c r="AC16" s="3"/>
      <c r="AE16" s="637" t="s">
        <v>1215</v>
      </c>
      <c r="AF16" s="26" t="s">
        <v>1216</v>
      </c>
      <c r="AG16" s="637" t="s">
        <v>1217</v>
      </c>
      <c r="AH16" s="26" t="s">
        <v>1218</v>
      </c>
      <c r="AJ16" s="637" t="s">
        <v>1219</v>
      </c>
      <c r="AK16" s="26" t="s">
        <v>1220</v>
      </c>
      <c r="AL16" s="637" t="s">
        <v>1221</v>
      </c>
      <c r="AM16" s="26" t="s">
        <v>1222</v>
      </c>
      <c r="AW16" s="1165"/>
      <c r="AX16" s="1145"/>
      <c r="AY16" s="1145"/>
      <c r="AZ16" s="1145"/>
      <c r="BA16" s="1145"/>
      <c r="BB16" s="1145"/>
      <c r="BC16" s="1145"/>
      <c r="BF16" s="1165"/>
      <c r="BG16" s="1145"/>
      <c r="BH16" s="1145"/>
      <c r="BI16" s="1145"/>
      <c r="BJ16" s="1145"/>
      <c r="BK16" s="1145"/>
      <c r="BL16" s="1145"/>
    </row>
    <row r="17" spans="1:64" ht="15" customHeight="1">
      <c r="A17" s="1145"/>
      <c r="B17" s="1145"/>
      <c r="C17" s="1145"/>
      <c r="D17" s="1145"/>
      <c r="E17" s="1145"/>
      <c r="F17" s="1145"/>
      <c r="G17" s="1145"/>
      <c r="H17" s="1145"/>
      <c r="J17" s="543" t="s">
        <v>581</v>
      </c>
      <c r="K17" s="3" t="s">
        <v>582</v>
      </c>
      <c r="L17" s="526" t="s">
        <v>583</v>
      </c>
      <c r="M17" s="136">
        <v>30</v>
      </c>
      <c r="N17" s="3">
        <v>6951734324</v>
      </c>
      <c r="O17" s="136" t="s">
        <v>1234</v>
      </c>
      <c r="P17" s="544">
        <v>1234</v>
      </c>
      <c r="R17" s="632" t="s">
        <v>576</v>
      </c>
      <c r="S17" s="3" t="s">
        <v>575</v>
      </c>
      <c r="T17" s="523" t="s">
        <v>577</v>
      </c>
      <c r="U17" s="3">
        <v>16</v>
      </c>
      <c r="V17" s="3">
        <v>6955515575</v>
      </c>
      <c r="W17" s="3" t="s">
        <v>1226</v>
      </c>
      <c r="X17" s="633">
        <v>1234</v>
      </c>
      <c r="Y17" s="3"/>
      <c r="Z17" s="3"/>
      <c r="AA17" s="3"/>
      <c r="AB17" s="3"/>
      <c r="AC17" s="3"/>
      <c r="AE17" s="637" t="s">
        <v>754</v>
      </c>
      <c r="AF17" s="26" t="s">
        <v>1227</v>
      </c>
      <c r="AG17" s="637" t="s">
        <v>1228</v>
      </c>
      <c r="AH17" s="26" t="s">
        <v>1229</v>
      </c>
      <c r="AJ17" s="637" t="s">
        <v>1230</v>
      </c>
      <c r="AK17" s="26" t="s">
        <v>1231</v>
      </c>
      <c r="AL17" s="637" t="s">
        <v>1232</v>
      </c>
      <c r="AM17" s="26" t="s">
        <v>1233</v>
      </c>
      <c r="AW17" s="1165"/>
      <c r="AX17" s="1145"/>
      <c r="AY17" s="1145"/>
      <c r="AZ17" s="1145"/>
      <c r="BA17" s="1145"/>
      <c r="BB17" s="1145"/>
      <c r="BC17" s="1145"/>
      <c r="BF17" s="1165"/>
      <c r="BG17" s="1145"/>
      <c r="BH17" s="1145"/>
      <c r="BI17" s="1145"/>
      <c r="BJ17" s="1145"/>
      <c r="BK17" s="1145"/>
      <c r="BL17" s="1145"/>
    </row>
    <row r="18" spans="1:64">
      <c r="A18" s="1145"/>
      <c r="B18" s="1145"/>
      <c r="C18" s="1145"/>
      <c r="D18" s="1145"/>
      <c r="E18" s="1145"/>
      <c r="F18" s="1145"/>
      <c r="G18" s="1145"/>
      <c r="H18" s="1145"/>
      <c r="J18" s="543" t="s">
        <v>600</v>
      </c>
      <c r="K18" s="3" t="s">
        <v>1249</v>
      </c>
      <c r="L18" s="526" t="s">
        <v>602</v>
      </c>
      <c r="M18" s="136">
        <v>61</v>
      </c>
      <c r="N18" s="3">
        <v>6986849556</v>
      </c>
      <c r="O18" s="136" t="s">
        <v>1250</v>
      </c>
      <c r="P18" s="544">
        <v>1234</v>
      </c>
      <c r="R18" s="632" t="s">
        <v>523</v>
      </c>
      <c r="S18" s="3" t="s">
        <v>522</v>
      </c>
      <c r="T18" s="523" t="s">
        <v>525</v>
      </c>
      <c r="U18" s="3">
        <v>17</v>
      </c>
      <c r="V18" s="3">
        <v>6974120129</v>
      </c>
      <c r="W18" s="3" t="s">
        <v>1235</v>
      </c>
      <c r="X18" s="633">
        <v>1234</v>
      </c>
      <c r="Y18" s="3"/>
      <c r="Z18" s="3"/>
      <c r="AA18" s="3"/>
      <c r="AB18" s="3"/>
      <c r="AC18" s="3"/>
      <c r="AE18" s="637" t="s">
        <v>690</v>
      </c>
      <c r="AF18" s="26" t="s">
        <v>1236</v>
      </c>
      <c r="AG18" s="637" t="s">
        <v>720</v>
      </c>
      <c r="AH18" s="26" t="s">
        <v>1237</v>
      </c>
      <c r="AJ18" s="637" t="s">
        <v>1238</v>
      </c>
      <c r="AK18" s="26" t="s">
        <v>1239</v>
      </c>
      <c r="AL18" s="637" t="s">
        <v>1240</v>
      </c>
      <c r="AM18" s="26" t="s">
        <v>1241</v>
      </c>
      <c r="AW18" s="1165"/>
      <c r="AX18" s="1145"/>
      <c r="AY18" s="1145"/>
      <c r="AZ18" s="1145"/>
      <c r="BA18" s="1145"/>
      <c r="BB18" s="1145"/>
      <c r="BC18" s="1145"/>
      <c r="BF18" s="1165"/>
      <c r="BG18" s="1145"/>
      <c r="BH18" s="1145"/>
      <c r="BI18" s="1145"/>
      <c r="BJ18" s="1145"/>
      <c r="BK18" s="1145"/>
      <c r="BL18" s="1145"/>
    </row>
    <row r="19" spans="1:64" ht="15.75" thickBot="1">
      <c r="A19" s="1145"/>
      <c r="B19" s="1145"/>
      <c r="C19" s="1145"/>
      <c r="D19" s="1145"/>
      <c r="E19" s="1145"/>
      <c r="F19" s="1145"/>
      <c r="G19" s="1145"/>
      <c r="H19" s="1145"/>
      <c r="J19" s="561" t="s">
        <v>608</v>
      </c>
      <c r="K19" s="562" t="s">
        <v>609</v>
      </c>
      <c r="L19" s="606" t="s">
        <v>610</v>
      </c>
      <c r="M19" s="607">
        <v>35</v>
      </c>
      <c r="N19" s="562">
        <v>6986697472</v>
      </c>
      <c r="O19" s="607" t="s">
        <v>1253</v>
      </c>
      <c r="P19" s="563">
        <v>1234</v>
      </c>
      <c r="R19" s="632" t="s">
        <v>540</v>
      </c>
      <c r="S19" s="3" t="s">
        <v>539</v>
      </c>
      <c r="T19" s="523" t="s">
        <v>541</v>
      </c>
      <c r="U19" s="3">
        <v>19</v>
      </c>
      <c r="V19" s="3">
        <v>6972089035</v>
      </c>
      <c r="W19" s="3" t="s">
        <v>1242</v>
      </c>
      <c r="X19" s="633">
        <v>1234</v>
      </c>
      <c r="Y19" s="3"/>
      <c r="Z19" s="3"/>
      <c r="AA19" s="3"/>
      <c r="AB19" s="3"/>
      <c r="AC19" s="3"/>
      <c r="AE19" s="637" t="s">
        <v>1243</v>
      </c>
      <c r="AF19" s="26" t="s">
        <v>1244</v>
      </c>
      <c r="AG19" s="637" t="s">
        <v>632</v>
      </c>
      <c r="AH19" s="26" t="s">
        <v>1245</v>
      </c>
      <c r="AJ19" s="637" t="s">
        <v>1246</v>
      </c>
      <c r="AK19" s="26" t="s">
        <v>1247</v>
      </c>
      <c r="AL19" s="637" t="s">
        <v>632</v>
      </c>
      <c r="AM19" s="26" t="s">
        <v>1248</v>
      </c>
      <c r="AW19" s="1165"/>
      <c r="AX19" s="1145"/>
      <c r="AY19" s="1145"/>
      <c r="AZ19" s="1145"/>
      <c r="BA19" s="1145"/>
      <c r="BB19" s="1145"/>
      <c r="BC19" s="1145"/>
      <c r="BF19" s="1165"/>
      <c r="BG19" s="1145"/>
      <c r="BH19" s="1145"/>
      <c r="BI19" s="1145"/>
      <c r="BJ19" s="1145"/>
      <c r="BK19" s="1145"/>
      <c r="BL19" s="1145"/>
    </row>
    <row r="20" spans="1:64" ht="16.5" thickTop="1" thickBot="1">
      <c r="A20" s="1145"/>
      <c r="B20" s="1145"/>
      <c r="C20" s="1145"/>
      <c r="D20" s="1145"/>
      <c r="E20" s="1145"/>
      <c r="F20" s="1145"/>
      <c r="G20" s="1145"/>
      <c r="H20" s="1145"/>
      <c r="R20" s="632" t="s">
        <v>510</v>
      </c>
      <c r="S20" s="3" t="s">
        <v>509</v>
      </c>
      <c r="T20" s="523" t="s">
        <v>512</v>
      </c>
      <c r="U20" s="3">
        <v>20</v>
      </c>
      <c r="V20" s="3">
        <v>6946076210</v>
      </c>
      <c r="W20" s="3" t="s">
        <v>1251</v>
      </c>
      <c r="X20" s="633">
        <v>1234</v>
      </c>
      <c r="Y20" s="3"/>
      <c r="Z20" s="3"/>
      <c r="AA20" s="3"/>
      <c r="AB20" s="3"/>
      <c r="AC20" s="3"/>
      <c r="AE20" s="638" t="s">
        <v>1189</v>
      </c>
      <c r="AF20" s="639" t="s">
        <v>1190</v>
      </c>
      <c r="AG20" s="638" t="s">
        <v>1189</v>
      </c>
      <c r="AH20" s="639" t="s">
        <v>1190</v>
      </c>
      <c r="AJ20" s="637" t="s">
        <v>632</v>
      </c>
      <c r="AK20" s="26" t="s">
        <v>1252</v>
      </c>
      <c r="AL20" s="638" t="s">
        <v>1189</v>
      </c>
      <c r="AM20" s="639" t="s">
        <v>1190</v>
      </c>
      <c r="AW20" s="1165"/>
      <c r="AX20" s="1145"/>
      <c r="AY20" s="1145"/>
      <c r="AZ20" s="1145"/>
      <c r="BA20" s="1145"/>
      <c r="BB20" s="1145"/>
      <c r="BC20" s="1145"/>
      <c r="BF20" s="1165"/>
      <c r="BG20" s="1145"/>
      <c r="BH20" s="1145"/>
      <c r="BI20" s="1145"/>
      <c r="BJ20" s="1145"/>
      <c r="BK20" s="1145"/>
      <c r="BL20" s="1145"/>
    </row>
    <row r="21" spans="1:64" ht="16.5" thickTop="1" thickBot="1">
      <c r="A21" s="1145"/>
      <c r="B21" s="1145"/>
      <c r="C21" s="1145"/>
      <c r="D21" s="1145"/>
      <c r="E21" s="1145"/>
      <c r="F21" s="1145"/>
      <c r="G21" s="1145"/>
      <c r="H21" s="1145"/>
      <c r="J21" s="1203" t="s">
        <v>691</v>
      </c>
      <c r="K21" s="1204"/>
      <c r="L21" s="1204"/>
      <c r="M21" s="1204"/>
      <c r="N21" s="1204"/>
      <c r="O21" s="1204"/>
      <c r="P21" s="1205"/>
      <c r="R21" s="632" t="s">
        <v>548</v>
      </c>
      <c r="S21" s="3" t="s">
        <v>547</v>
      </c>
      <c r="T21" s="523" t="s">
        <v>549</v>
      </c>
      <c r="U21" s="3">
        <v>22</v>
      </c>
      <c r="V21" s="3">
        <v>6977586273</v>
      </c>
      <c r="W21" s="3" t="s">
        <v>1254</v>
      </c>
      <c r="X21" s="633">
        <v>1234</v>
      </c>
      <c r="Y21" s="3"/>
      <c r="Z21" s="3"/>
      <c r="AA21" s="3"/>
      <c r="AB21" s="3"/>
      <c r="AC21" s="3"/>
      <c r="AJ21" s="638" t="s">
        <v>1189</v>
      </c>
      <c r="AK21" s="639" t="s">
        <v>1190</v>
      </c>
      <c r="AL21" s="3"/>
      <c r="AM21" s="3"/>
      <c r="AW21" s="1165"/>
      <c r="AX21" s="1145"/>
      <c r="AY21" s="1145"/>
      <c r="AZ21" s="1145"/>
      <c r="BA21" s="1145"/>
      <c r="BB21" s="1145"/>
      <c r="BC21" s="1145"/>
      <c r="BF21" s="1165"/>
      <c r="BG21" s="1145"/>
      <c r="BH21" s="1145"/>
      <c r="BI21" s="1145"/>
      <c r="BJ21" s="1145"/>
      <c r="BK21" s="1145"/>
      <c r="BL21" s="1145"/>
    </row>
    <row r="22" spans="1:64" ht="15.75" customHeight="1" thickBot="1">
      <c r="A22" s="1145"/>
      <c r="B22" s="1145"/>
      <c r="C22" s="1145"/>
      <c r="D22" s="1145"/>
      <c r="E22" s="1145"/>
      <c r="F22" s="1145"/>
      <c r="G22" s="1145"/>
      <c r="H22" s="1145"/>
      <c r="J22" s="608" t="s">
        <v>1126</v>
      </c>
      <c r="K22" s="186" t="s">
        <v>1127</v>
      </c>
      <c r="L22" s="186" t="s">
        <v>1128</v>
      </c>
      <c r="M22" s="1" t="s">
        <v>1129</v>
      </c>
      <c r="N22" s="186" t="s">
        <v>1130</v>
      </c>
      <c r="O22" s="1" t="s">
        <v>1131</v>
      </c>
      <c r="P22" s="609" t="s">
        <v>1132</v>
      </c>
      <c r="R22" s="632" t="s">
        <v>497</v>
      </c>
      <c r="S22" s="3" t="s">
        <v>496</v>
      </c>
      <c r="T22" s="523" t="s">
        <v>498</v>
      </c>
      <c r="U22" s="3">
        <v>25</v>
      </c>
      <c r="V22" s="3">
        <v>6949455771</v>
      </c>
      <c r="W22" s="3" t="s">
        <v>1255</v>
      </c>
      <c r="X22" s="633">
        <v>1234</v>
      </c>
      <c r="Y22" s="3"/>
      <c r="Z22" s="3"/>
      <c r="AA22" s="3"/>
      <c r="AB22" s="3"/>
      <c r="AC22" s="3"/>
      <c r="AE22" s="1214" t="s">
        <v>1256</v>
      </c>
      <c r="AF22" s="1215"/>
      <c r="AG22" s="1215"/>
      <c r="AH22" s="1216"/>
      <c r="AW22" s="1165"/>
      <c r="AX22" s="1145"/>
      <c r="AY22" s="1145"/>
      <c r="AZ22" s="1145"/>
      <c r="BA22" s="1145"/>
      <c r="BB22" s="1145"/>
      <c r="BC22" s="1145"/>
      <c r="BF22" s="1165"/>
      <c r="BG22" s="1145"/>
      <c r="BH22" s="1145"/>
      <c r="BI22" s="1145"/>
      <c r="BJ22" s="1145"/>
      <c r="BK22" s="1145"/>
      <c r="BL22" s="1145"/>
    </row>
    <row r="23" spans="1:64" ht="15.75" thickBot="1">
      <c r="A23" s="1145"/>
      <c r="B23" s="1145"/>
      <c r="C23" s="1145"/>
      <c r="D23" s="1145"/>
      <c r="E23" s="1145"/>
      <c r="F23" s="1145"/>
      <c r="G23" s="1145"/>
      <c r="H23" s="1145"/>
      <c r="J23" s="610" t="s">
        <v>479</v>
      </c>
      <c r="K23" s="3" t="s">
        <v>758</v>
      </c>
      <c r="L23" s="526" t="s">
        <v>694</v>
      </c>
      <c r="M23" s="136">
        <v>83</v>
      </c>
      <c r="N23" s="3">
        <v>6973805890</v>
      </c>
      <c r="O23" s="136" t="s">
        <v>1266</v>
      </c>
      <c r="P23" s="611">
        <v>1234</v>
      </c>
      <c r="R23" s="833" t="s">
        <v>3232</v>
      </c>
      <c r="S23" s="136" t="s">
        <v>3231</v>
      </c>
      <c r="T23" s="830" t="s">
        <v>3230</v>
      </c>
      <c r="U23" s="136">
        <v>26</v>
      </c>
      <c r="V23" s="136">
        <v>6939160280</v>
      </c>
      <c r="W23" s="3" t="s">
        <v>3240</v>
      </c>
      <c r="X23" s="633">
        <v>1234</v>
      </c>
      <c r="Y23" s="3"/>
      <c r="Z23" s="3"/>
      <c r="AA23" s="3"/>
      <c r="AB23" s="3"/>
      <c r="AC23" s="3"/>
      <c r="AE23" s="636" t="s">
        <v>1134</v>
      </c>
      <c r="AF23" s="25" t="s">
        <v>1135</v>
      </c>
      <c r="AG23" s="636" t="s">
        <v>1134</v>
      </c>
      <c r="AH23" s="25" t="s">
        <v>1137</v>
      </c>
      <c r="AJ23" s="1206" t="s">
        <v>1256</v>
      </c>
      <c r="AK23" s="1206"/>
      <c r="AL23" s="1206"/>
      <c r="AM23" s="1206"/>
      <c r="AW23" s="1165"/>
      <c r="AX23" s="1145"/>
      <c r="AY23" s="1145"/>
      <c r="AZ23" s="1145"/>
      <c r="BA23" s="1145"/>
      <c r="BB23" s="1145"/>
      <c r="BC23" s="1145"/>
      <c r="BF23" s="1165"/>
      <c r="BG23" s="1145"/>
      <c r="BH23" s="1145"/>
      <c r="BI23" s="1145"/>
      <c r="BJ23" s="1145"/>
      <c r="BK23" s="1145"/>
      <c r="BL23" s="1145"/>
    </row>
    <row r="24" spans="1:64" ht="15" customHeight="1">
      <c r="A24" s="1177" t="s">
        <v>3800</v>
      </c>
      <c r="B24" s="1177"/>
      <c r="C24" s="1177"/>
      <c r="D24" s="1177"/>
      <c r="E24" s="1177"/>
      <c r="F24" s="1177"/>
      <c r="G24" s="1177"/>
      <c r="H24" s="1177"/>
      <c r="J24" s="610" t="s">
        <v>696</v>
      </c>
      <c r="K24" s="3" t="s">
        <v>697</v>
      </c>
      <c r="L24" s="526" t="s">
        <v>698</v>
      </c>
      <c r="M24" s="136">
        <v>88</v>
      </c>
      <c r="N24" s="3">
        <v>6987666484</v>
      </c>
      <c r="O24" s="136" t="s">
        <v>1271</v>
      </c>
      <c r="P24" s="611">
        <v>1234</v>
      </c>
      <c r="R24" s="833" t="s">
        <v>553</v>
      </c>
      <c r="S24" s="136" t="s">
        <v>3233</v>
      </c>
      <c r="T24" s="830" t="s">
        <v>3234</v>
      </c>
      <c r="U24" s="136">
        <v>27</v>
      </c>
      <c r="V24" s="136">
        <v>6989676442</v>
      </c>
      <c r="W24" s="3" t="s">
        <v>3241</v>
      </c>
      <c r="X24" s="633">
        <v>1234</v>
      </c>
      <c r="Y24" s="3"/>
      <c r="Z24" s="3"/>
      <c r="AA24" s="3"/>
      <c r="AB24" s="3"/>
      <c r="AC24" s="3"/>
      <c r="AE24" s="637" t="s">
        <v>686</v>
      </c>
      <c r="AF24" s="26" t="s">
        <v>1258</v>
      </c>
      <c r="AG24" s="637" t="s">
        <v>716</v>
      </c>
      <c r="AH24" s="26" t="s">
        <v>3755</v>
      </c>
      <c r="AJ24" s="636" t="s">
        <v>1134</v>
      </c>
      <c r="AK24" s="25" t="s">
        <v>1135</v>
      </c>
      <c r="AL24" s="636" t="s">
        <v>1134</v>
      </c>
      <c r="AM24" s="25" t="s">
        <v>1137</v>
      </c>
      <c r="AW24" s="1165"/>
      <c r="AX24" s="1145"/>
      <c r="AY24" s="1145"/>
      <c r="AZ24" s="1145"/>
      <c r="BA24" s="1145"/>
      <c r="BB24" s="1145"/>
      <c r="BC24" s="1145"/>
      <c r="BF24" s="1165"/>
      <c r="BG24" s="1145"/>
      <c r="BH24" s="1145"/>
      <c r="BI24" s="1145"/>
      <c r="BJ24" s="1145"/>
      <c r="BK24" s="1145"/>
      <c r="BL24" s="1145"/>
    </row>
    <row r="25" spans="1:64" ht="15" customHeight="1">
      <c r="A25" s="1145" t="s">
        <v>3691</v>
      </c>
      <c r="B25" s="1145"/>
      <c r="C25" s="1145"/>
      <c r="D25" s="1145"/>
      <c r="E25" s="1145"/>
      <c r="F25" s="1145"/>
      <c r="G25" s="1145"/>
      <c r="H25" s="1145"/>
      <c r="J25" s="610" t="s">
        <v>699</v>
      </c>
      <c r="K25" s="3" t="s">
        <v>700</v>
      </c>
      <c r="L25" s="526" t="s">
        <v>701</v>
      </c>
      <c r="M25" s="136">
        <v>52</v>
      </c>
      <c r="N25" s="3">
        <v>6989801222</v>
      </c>
      <c r="O25" s="136" t="s">
        <v>1276</v>
      </c>
      <c r="P25" s="611">
        <v>1234</v>
      </c>
      <c r="R25" s="833" t="s">
        <v>3236</v>
      </c>
      <c r="S25" s="136" t="s">
        <v>3235</v>
      </c>
      <c r="T25" s="830" t="s">
        <v>3237</v>
      </c>
      <c r="U25" s="136">
        <v>28</v>
      </c>
      <c r="V25" s="136">
        <v>6979641896</v>
      </c>
      <c r="W25" s="3" t="s">
        <v>3242</v>
      </c>
      <c r="X25" s="633">
        <v>1234</v>
      </c>
      <c r="Y25" s="3"/>
      <c r="Z25" s="3"/>
      <c r="AA25" s="3"/>
      <c r="AB25" s="3"/>
      <c r="AC25" s="3"/>
      <c r="AE25" s="637" t="s">
        <v>752</v>
      </c>
      <c r="AF25" s="26" t="s">
        <v>1262</v>
      </c>
      <c r="AG25" s="637" t="s">
        <v>3641</v>
      </c>
      <c r="AH25" s="26" t="s">
        <v>3756</v>
      </c>
      <c r="AJ25" s="637" t="s">
        <v>1691</v>
      </c>
      <c r="AK25" s="26" t="s">
        <v>1693</v>
      </c>
      <c r="AL25" s="637" t="s">
        <v>1210</v>
      </c>
      <c r="AM25" s="26" t="s">
        <v>3763</v>
      </c>
      <c r="AW25" s="1165"/>
      <c r="AX25" s="1145"/>
      <c r="AY25" s="1145"/>
      <c r="AZ25" s="1145"/>
      <c r="BA25" s="1145"/>
      <c r="BB25" s="1145"/>
      <c r="BC25" s="1145"/>
      <c r="BF25" s="1165"/>
      <c r="BG25" s="1145"/>
      <c r="BH25" s="1145"/>
      <c r="BI25" s="1145"/>
      <c r="BJ25" s="1145"/>
      <c r="BK25" s="1145"/>
      <c r="BL25" s="1145"/>
    </row>
    <row r="26" spans="1:64">
      <c r="A26" s="1145"/>
      <c r="B26" s="1145"/>
      <c r="C26" s="1145"/>
      <c r="D26" s="1145"/>
      <c r="E26" s="1145"/>
      <c r="F26" s="1145"/>
      <c r="G26" s="1145"/>
      <c r="H26" s="1145"/>
      <c r="J26" s="610" t="s">
        <v>676</v>
      </c>
      <c r="K26" s="3" t="s">
        <v>702</v>
      </c>
      <c r="L26" s="526" t="s">
        <v>703</v>
      </c>
      <c r="M26" s="136">
        <v>55</v>
      </c>
      <c r="N26" s="3">
        <v>6949909988</v>
      </c>
      <c r="O26" s="136" t="s">
        <v>1281</v>
      </c>
      <c r="P26" s="611">
        <v>1234</v>
      </c>
      <c r="R26" s="833" t="s">
        <v>2448</v>
      </c>
      <c r="S26" s="136" t="s">
        <v>3238</v>
      </c>
      <c r="T26" s="830" t="s">
        <v>3239</v>
      </c>
      <c r="U26" s="136">
        <v>29</v>
      </c>
      <c r="V26" s="136">
        <v>6936771591</v>
      </c>
      <c r="W26" s="3" t="s">
        <v>3243</v>
      </c>
      <c r="X26" s="633">
        <v>1234</v>
      </c>
      <c r="Y26" s="3"/>
      <c r="Z26" s="3"/>
      <c r="AA26" s="3"/>
      <c r="AB26" s="3"/>
      <c r="AC26" s="3"/>
      <c r="AE26" s="637" t="s">
        <v>753</v>
      </c>
      <c r="AF26" s="26" t="s">
        <v>1267</v>
      </c>
      <c r="AG26" s="637" t="s">
        <v>3642</v>
      </c>
      <c r="AH26" s="26" t="s">
        <v>3757</v>
      </c>
      <c r="AJ26" s="637" t="s">
        <v>1695</v>
      </c>
      <c r="AK26" s="26" t="s">
        <v>1697</v>
      </c>
      <c r="AL26" s="637" t="s">
        <v>3647</v>
      </c>
      <c r="AM26" s="26" t="s">
        <v>3764</v>
      </c>
      <c r="AW26" s="1165"/>
      <c r="AX26" s="1145"/>
      <c r="AY26" s="1145"/>
      <c r="AZ26" s="1145"/>
      <c r="BA26" s="1145"/>
      <c r="BB26" s="1145"/>
      <c r="BC26" s="1145"/>
      <c r="BF26" s="1165"/>
      <c r="BG26" s="1145"/>
      <c r="BH26" s="1145"/>
      <c r="BI26" s="1145"/>
      <c r="BJ26" s="1145"/>
      <c r="BK26" s="1145"/>
      <c r="BL26" s="1145"/>
    </row>
    <row r="27" spans="1:64" ht="15.75" thickBot="1">
      <c r="A27" s="1145"/>
      <c r="B27" s="1145"/>
      <c r="C27" s="1145"/>
      <c r="D27" s="1145"/>
      <c r="E27" s="1145"/>
      <c r="F27" s="1145"/>
      <c r="G27" s="1145"/>
      <c r="H27" s="1145"/>
      <c r="J27" s="610" t="s">
        <v>704</v>
      </c>
      <c r="K27" s="3" t="s">
        <v>1286</v>
      </c>
      <c r="L27" s="526" t="s">
        <v>706</v>
      </c>
      <c r="M27" s="136">
        <v>54</v>
      </c>
      <c r="N27" s="3">
        <v>6976024153</v>
      </c>
      <c r="O27" s="136" t="s">
        <v>1287</v>
      </c>
      <c r="P27" s="611">
        <v>1234</v>
      </c>
      <c r="R27" s="834" t="s">
        <v>2763</v>
      </c>
      <c r="S27" s="835" t="s">
        <v>2764</v>
      </c>
      <c r="T27" s="836" t="s">
        <v>2816</v>
      </c>
      <c r="U27" s="835">
        <v>30</v>
      </c>
      <c r="V27" s="835">
        <v>6937037501</v>
      </c>
      <c r="W27" s="831" t="s">
        <v>3252</v>
      </c>
      <c r="X27" s="832">
        <v>1234</v>
      </c>
      <c r="Y27" s="3"/>
      <c r="AE27" s="637" t="s">
        <v>754</v>
      </c>
      <c r="AF27" s="26" t="s">
        <v>1272</v>
      </c>
      <c r="AG27" s="637" t="s">
        <v>3643</v>
      </c>
      <c r="AH27" s="26" t="s">
        <v>3758</v>
      </c>
      <c r="AJ27" s="3" t="s">
        <v>3251</v>
      </c>
      <c r="AK27" s="26" t="s">
        <v>1707</v>
      </c>
      <c r="AL27" s="3" t="s">
        <v>1240</v>
      </c>
      <c r="AM27" s="26" t="s">
        <v>3765</v>
      </c>
      <c r="AW27" s="1165"/>
      <c r="AX27" s="1145"/>
      <c r="AY27" s="1145"/>
      <c r="AZ27" s="1145"/>
      <c r="BA27" s="1145"/>
      <c r="BB27" s="1145"/>
      <c r="BC27" s="1145"/>
      <c r="BF27" s="1165"/>
      <c r="BG27" s="1145"/>
      <c r="BH27" s="1145"/>
      <c r="BI27" s="1145"/>
      <c r="BJ27" s="1145"/>
      <c r="BK27" s="1145"/>
      <c r="BL27" s="1145"/>
    </row>
    <row r="28" spans="1:64" ht="15.75" thickTop="1">
      <c r="A28" s="1145"/>
      <c r="B28" s="1145"/>
      <c r="C28" s="1145"/>
      <c r="D28" s="1145"/>
      <c r="E28" s="1145"/>
      <c r="F28" s="1145"/>
      <c r="G28" s="1145"/>
      <c r="H28" s="1145"/>
      <c r="J28" s="610" t="s">
        <v>692</v>
      </c>
      <c r="K28" s="3" t="s">
        <v>707</v>
      </c>
      <c r="L28" s="526" t="s">
        <v>1291</v>
      </c>
      <c r="M28" s="136">
        <v>53</v>
      </c>
      <c r="N28" s="3">
        <v>6986783854</v>
      </c>
      <c r="O28" s="136" t="s">
        <v>1292</v>
      </c>
      <c r="P28" s="611">
        <v>1234</v>
      </c>
      <c r="AE28" s="637" t="s">
        <v>690</v>
      </c>
      <c r="AF28" s="26" t="s">
        <v>1277</v>
      </c>
      <c r="AG28" s="637" t="s">
        <v>3644</v>
      </c>
      <c r="AH28" s="26" t="s">
        <v>3759</v>
      </c>
      <c r="AJ28" s="637" t="s">
        <v>1238</v>
      </c>
      <c r="AK28" s="26" t="s">
        <v>1701</v>
      </c>
      <c r="AL28" s="637" t="s">
        <v>3762</v>
      </c>
      <c r="AM28" s="26" t="s">
        <v>3766</v>
      </c>
      <c r="AW28" s="1165"/>
      <c r="AX28" s="1145"/>
      <c r="AY28" s="1145"/>
      <c r="AZ28" s="1145"/>
      <c r="BA28" s="1145"/>
      <c r="BB28" s="1145"/>
      <c r="BC28" s="1145"/>
      <c r="BF28" s="1165"/>
      <c r="BG28" s="1145"/>
      <c r="BH28" s="1145"/>
      <c r="BI28" s="1145"/>
      <c r="BJ28" s="1145"/>
      <c r="BK28" s="1145"/>
      <c r="BL28" s="1145"/>
    </row>
    <row r="29" spans="1:64" ht="15.75" customHeight="1" thickBot="1">
      <c r="A29" s="1145"/>
      <c r="B29" s="1145"/>
      <c r="C29" s="1145"/>
      <c r="D29" s="1145"/>
      <c r="E29" s="1145"/>
      <c r="F29" s="1145"/>
      <c r="G29" s="1145"/>
      <c r="H29" s="1145"/>
      <c r="J29" s="610" t="s">
        <v>544</v>
      </c>
      <c r="K29" s="3" t="s">
        <v>711</v>
      </c>
      <c r="L29" s="526" t="s">
        <v>712</v>
      </c>
      <c r="M29" s="3">
        <v>56</v>
      </c>
      <c r="N29" s="3">
        <v>6974068149</v>
      </c>
      <c r="O29" s="3" t="s">
        <v>1296</v>
      </c>
      <c r="P29" s="611">
        <v>1234</v>
      </c>
      <c r="AE29" s="637" t="s">
        <v>755</v>
      </c>
      <c r="AF29" s="26" t="s">
        <v>1282</v>
      </c>
      <c r="AG29" s="637" t="s">
        <v>3645</v>
      </c>
      <c r="AH29" s="26" t="s">
        <v>3760</v>
      </c>
      <c r="AJ29" s="637" t="s">
        <v>1702</v>
      </c>
      <c r="AK29" s="26" t="s">
        <v>1704</v>
      </c>
      <c r="AL29" s="638" t="s">
        <v>1189</v>
      </c>
      <c r="AM29" s="639" t="s">
        <v>1190</v>
      </c>
      <c r="AW29" s="1165"/>
      <c r="AX29" s="1145"/>
      <c r="AY29" s="1145"/>
      <c r="AZ29" s="1145"/>
      <c r="BA29" s="1145"/>
      <c r="BB29" s="1145"/>
      <c r="BC29" s="1145"/>
      <c r="BF29" s="1165"/>
      <c r="BG29" s="1145"/>
      <c r="BH29" s="1145"/>
      <c r="BI29" s="1145"/>
      <c r="BJ29" s="1145"/>
      <c r="BK29" s="1145"/>
      <c r="BL29" s="1145"/>
    </row>
    <row r="30" spans="1:64" ht="15.75" thickBot="1">
      <c r="A30" s="1145"/>
      <c r="B30" s="1145"/>
      <c r="C30" s="1145"/>
      <c r="D30" s="1145"/>
      <c r="E30" s="1145"/>
      <c r="F30" s="1145"/>
      <c r="G30" s="1145"/>
      <c r="H30" s="1145"/>
      <c r="J30" s="610" t="s">
        <v>1297</v>
      </c>
      <c r="K30" s="3" t="s">
        <v>1298</v>
      </c>
      <c r="L30" s="526" t="s">
        <v>715</v>
      </c>
      <c r="M30" s="136">
        <v>51</v>
      </c>
      <c r="N30" s="3">
        <v>6945766487</v>
      </c>
      <c r="O30" s="136" t="s">
        <v>1299</v>
      </c>
      <c r="P30" s="611">
        <v>1234</v>
      </c>
      <c r="AE30" s="638" t="s">
        <v>1189</v>
      </c>
      <c r="AF30" s="639" t="s">
        <v>1190</v>
      </c>
      <c r="AG30" s="136" t="s">
        <v>3745</v>
      </c>
      <c r="AH30" s="26" t="s">
        <v>3761</v>
      </c>
      <c r="AJ30" s="637" t="s">
        <v>1208</v>
      </c>
      <c r="AK30" s="26" t="s">
        <v>1690</v>
      </c>
      <c r="AW30" s="1165"/>
      <c r="AX30" s="1145"/>
      <c r="AY30" s="1145"/>
      <c r="AZ30" s="1145"/>
      <c r="BA30" s="1145"/>
      <c r="BB30" s="1145"/>
      <c r="BC30" s="1145"/>
      <c r="BF30" s="1165"/>
      <c r="BG30" s="1145"/>
      <c r="BH30" s="1145"/>
      <c r="BI30" s="1145"/>
      <c r="BJ30" s="1145"/>
      <c r="BK30" s="1145"/>
      <c r="BL30" s="1145"/>
    </row>
    <row r="31" spans="1:64" ht="15.75" thickBot="1">
      <c r="A31" s="1145"/>
      <c r="B31" s="1145"/>
      <c r="C31" s="1145"/>
      <c r="D31" s="1145"/>
      <c r="E31" s="1145"/>
      <c r="F31" s="1145"/>
      <c r="G31" s="1145"/>
      <c r="H31" s="1145"/>
      <c r="J31" s="612" t="s">
        <v>3317</v>
      </c>
      <c r="K31" s="613" t="s">
        <v>3316</v>
      </c>
      <c r="L31" s="614" t="s">
        <v>3318</v>
      </c>
      <c r="M31" s="615"/>
      <c r="N31" s="613">
        <v>6940584115</v>
      </c>
      <c r="O31" s="615" t="s">
        <v>3319</v>
      </c>
      <c r="P31" s="616">
        <v>1234</v>
      </c>
      <c r="AG31" s="638" t="s">
        <v>1189</v>
      </c>
      <c r="AH31" s="639" t="s">
        <v>1190</v>
      </c>
      <c r="AJ31" s="638" t="s">
        <v>1189</v>
      </c>
      <c r="AK31" s="639" t="s">
        <v>1190</v>
      </c>
      <c r="AM31" s="3"/>
      <c r="AW31" s="1165"/>
      <c r="AX31" s="1145"/>
      <c r="AY31" s="1145"/>
      <c r="AZ31" s="1145"/>
      <c r="BA31" s="1145"/>
      <c r="BB31" s="1145"/>
      <c r="BC31" s="1145"/>
      <c r="BF31" s="1165"/>
      <c r="BG31" s="1145"/>
      <c r="BH31" s="1145"/>
      <c r="BI31" s="1145"/>
      <c r="BJ31" s="1145"/>
      <c r="BK31" s="1145"/>
      <c r="BL31" s="1145"/>
    </row>
    <row r="32" spans="1:64" ht="15.75" thickTop="1">
      <c r="A32" s="1145"/>
      <c r="B32" s="1145"/>
      <c r="C32" s="1145"/>
      <c r="D32" s="1145"/>
      <c r="E32" s="1145"/>
      <c r="F32" s="1145"/>
      <c r="G32" s="1145"/>
      <c r="H32" s="1145"/>
      <c r="J32" s="1203" t="s">
        <v>721</v>
      </c>
      <c r="K32" s="1204"/>
      <c r="L32" s="1204"/>
      <c r="M32" s="1204"/>
      <c r="N32" s="1204"/>
      <c r="O32" s="1204"/>
      <c r="P32" s="1205"/>
      <c r="AG32" s="3"/>
      <c r="AH32" s="3"/>
      <c r="AW32" s="1165"/>
      <c r="AX32" s="1145"/>
      <c r="AY32" s="1145"/>
      <c r="AZ32" s="1145"/>
      <c r="BA32" s="1145"/>
      <c r="BB32" s="1145"/>
      <c r="BC32" s="1145"/>
      <c r="BF32" s="1165"/>
      <c r="BG32" s="1145"/>
      <c r="BH32" s="1145"/>
      <c r="BI32" s="1145"/>
      <c r="BJ32" s="1145"/>
      <c r="BK32" s="1145"/>
      <c r="BL32" s="1145"/>
    </row>
    <row r="33" spans="1:64">
      <c r="A33" s="1145"/>
      <c r="B33" s="1145"/>
      <c r="C33" s="1145"/>
      <c r="D33" s="1145"/>
      <c r="E33" s="1145"/>
      <c r="F33" s="1145"/>
      <c r="G33" s="1145"/>
      <c r="H33" s="1145"/>
      <c r="J33" s="608" t="s">
        <v>1126</v>
      </c>
      <c r="K33" s="186" t="s">
        <v>1127</v>
      </c>
      <c r="L33" s="186" t="s">
        <v>1128</v>
      </c>
      <c r="M33" s="1" t="s">
        <v>1129</v>
      </c>
      <c r="N33" s="186" t="s">
        <v>1130</v>
      </c>
      <c r="O33" s="1" t="s">
        <v>1131</v>
      </c>
      <c r="P33" s="609" t="s">
        <v>1132</v>
      </c>
      <c r="AG33" s="3"/>
      <c r="AH33" s="3"/>
      <c r="AW33" s="1165"/>
      <c r="AX33" s="1145"/>
      <c r="AY33" s="1145"/>
      <c r="AZ33" s="1145"/>
      <c r="BA33" s="1145"/>
      <c r="BB33" s="1145"/>
      <c r="BC33" s="1145"/>
      <c r="BF33" s="1165"/>
      <c r="BG33" s="1145"/>
      <c r="BH33" s="1145"/>
      <c r="BI33" s="1145"/>
      <c r="BJ33" s="1145"/>
      <c r="BK33" s="1145"/>
      <c r="BL33" s="1145"/>
    </row>
    <row r="34" spans="1:64" ht="15.75" thickBot="1">
      <c r="A34" s="1145"/>
      <c r="B34" s="1145"/>
      <c r="C34" s="1145"/>
      <c r="D34" s="1145"/>
      <c r="E34" s="1145"/>
      <c r="F34" s="1145"/>
      <c r="G34" s="1145"/>
      <c r="H34" s="1145"/>
      <c r="J34" s="610" t="s">
        <v>722</v>
      </c>
      <c r="K34" s="3" t="s">
        <v>723</v>
      </c>
      <c r="L34" s="526" t="s">
        <v>724</v>
      </c>
      <c r="M34" s="136">
        <v>77</v>
      </c>
      <c r="N34" s="3">
        <v>6974170536</v>
      </c>
      <c r="O34" s="136" t="s">
        <v>1301</v>
      </c>
      <c r="P34" s="611">
        <v>1234</v>
      </c>
      <c r="AE34" s="1193" t="s">
        <v>1300</v>
      </c>
      <c r="AF34" s="1193"/>
      <c r="AG34" s="1193"/>
      <c r="AH34" s="1193"/>
      <c r="AJ34" s="1193" t="s">
        <v>1300</v>
      </c>
      <c r="AK34" s="1193"/>
      <c r="AL34" s="1193"/>
      <c r="AM34" s="1193"/>
    </row>
    <row r="35" spans="1:64">
      <c r="A35" s="1145"/>
      <c r="B35" s="1145"/>
      <c r="C35" s="1145"/>
      <c r="D35" s="1145"/>
      <c r="E35" s="1145"/>
      <c r="F35" s="1145"/>
      <c r="G35" s="1145"/>
      <c r="H35" s="1145"/>
      <c r="J35" s="610" t="s">
        <v>725</v>
      </c>
      <c r="K35" s="3" t="s">
        <v>726</v>
      </c>
      <c r="L35" s="526" t="s">
        <v>727</v>
      </c>
      <c r="M35" s="136">
        <v>79</v>
      </c>
      <c r="N35" s="3">
        <v>6978474740</v>
      </c>
      <c r="O35" s="136" t="s">
        <v>1303</v>
      </c>
      <c r="P35" s="611">
        <v>1234</v>
      </c>
      <c r="AE35" s="636" t="s">
        <v>1134</v>
      </c>
      <c r="AF35" s="25" t="s">
        <v>1135</v>
      </c>
      <c r="AG35" s="636" t="s">
        <v>1134</v>
      </c>
      <c r="AH35" s="25" t="s">
        <v>1137</v>
      </c>
      <c r="AJ35" s="636" t="s">
        <v>1134</v>
      </c>
      <c r="AK35" s="25" t="s">
        <v>1135</v>
      </c>
      <c r="AL35" s="636" t="s">
        <v>1134</v>
      </c>
      <c r="AM35" s="25" t="s">
        <v>1137</v>
      </c>
    </row>
    <row r="36" spans="1:64">
      <c r="A36" s="1145"/>
      <c r="B36" s="1145"/>
      <c r="C36" s="1145"/>
      <c r="D36" s="1145"/>
      <c r="E36" s="1145"/>
      <c r="F36" s="1145"/>
      <c r="G36" s="1145"/>
      <c r="H36" s="1145"/>
      <c r="J36" s="610" t="s">
        <v>470</v>
      </c>
      <c r="K36" s="3" t="s">
        <v>729</v>
      </c>
      <c r="L36" s="526" t="s">
        <v>730</v>
      </c>
      <c r="M36" s="136">
        <v>39</v>
      </c>
      <c r="N36" s="3">
        <v>6986405541</v>
      </c>
      <c r="O36" s="136" t="s">
        <v>1305</v>
      </c>
      <c r="P36" s="611">
        <v>1234</v>
      </c>
      <c r="AE36" s="322" t="s">
        <v>2511</v>
      </c>
      <c r="AF36" s="26" t="s">
        <v>1608</v>
      </c>
      <c r="AG36" s="322" t="s">
        <v>663</v>
      </c>
      <c r="AH36" s="26" t="s">
        <v>1302</v>
      </c>
      <c r="AJ36" s="322" t="s">
        <v>2511</v>
      </c>
      <c r="AK36" s="26" t="s">
        <v>1608</v>
      </c>
      <c r="AL36" s="322" t="s">
        <v>1307</v>
      </c>
      <c r="AM36" s="26" t="s">
        <v>1308</v>
      </c>
    </row>
    <row r="37" spans="1:64">
      <c r="A37" s="1177" t="s">
        <v>1212</v>
      </c>
      <c r="B37" s="1177"/>
      <c r="C37" s="1177"/>
      <c r="D37" s="1177"/>
      <c r="E37" s="1177"/>
      <c r="F37" s="1177"/>
      <c r="G37" s="1177"/>
      <c r="H37" s="1177"/>
      <c r="J37" s="610" t="s">
        <v>731</v>
      </c>
      <c r="K37" s="3" t="s">
        <v>732</v>
      </c>
      <c r="L37" s="526" t="s">
        <v>733</v>
      </c>
      <c r="M37" s="136">
        <v>78</v>
      </c>
      <c r="N37" s="3">
        <v>6978161053</v>
      </c>
      <c r="O37" s="136" t="s">
        <v>1309</v>
      </c>
      <c r="P37" s="611">
        <v>1234</v>
      </c>
      <c r="AE37" s="322" t="s">
        <v>614</v>
      </c>
      <c r="AF37" s="26" t="s">
        <v>1613</v>
      </c>
      <c r="AG37" s="322" t="s">
        <v>664</v>
      </c>
      <c r="AH37" s="26" t="s">
        <v>1304</v>
      </c>
      <c r="AJ37" s="322" t="s">
        <v>614</v>
      </c>
      <c r="AK37" s="26" t="s">
        <v>1613</v>
      </c>
      <c r="AL37" s="322" t="s">
        <v>1311</v>
      </c>
      <c r="AM37" s="26" t="s">
        <v>1312</v>
      </c>
    </row>
    <row r="38" spans="1:64" ht="30">
      <c r="A38" s="1145" t="s">
        <v>1223</v>
      </c>
      <c r="B38" s="1145"/>
      <c r="C38" s="1145"/>
      <c r="D38" s="1145"/>
      <c r="E38" s="1145"/>
      <c r="F38" s="1145"/>
      <c r="G38" s="1145"/>
      <c r="H38" s="1145"/>
      <c r="J38" s="610" t="s">
        <v>544</v>
      </c>
      <c r="K38" s="3" t="s">
        <v>735</v>
      </c>
      <c r="L38" s="526" t="s">
        <v>736</v>
      </c>
      <c r="M38" s="136">
        <v>41</v>
      </c>
      <c r="N38" s="3">
        <v>6985725551</v>
      </c>
      <c r="O38" s="136" t="s">
        <v>1313</v>
      </c>
      <c r="P38" s="611">
        <v>1234</v>
      </c>
      <c r="AE38" s="322" t="s">
        <v>3637</v>
      </c>
      <c r="AF38" s="26" t="s">
        <v>1617</v>
      </c>
      <c r="AG38" s="322" t="s">
        <v>665</v>
      </c>
      <c r="AH38" s="26" t="s">
        <v>1306</v>
      </c>
      <c r="AJ38" s="322" t="s">
        <v>3637</v>
      </c>
      <c r="AK38" s="26" t="s">
        <v>1617</v>
      </c>
      <c r="AL38" s="322" t="s">
        <v>1315</v>
      </c>
      <c r="AM38" s="26" t="s">
        <v>1316</v>
      </c>
    </row>
    <row r="39" spans="1:64" ht="30">
      <c r="A39" s="1145"/>
      <c r="B39" s="1145"/>
      <c r="C39" s="1145"/>
      <c r="D39" s="1145"/>
      <c r="E39" s="1145"/>
      <c r="F39" s="1145"/>
      <c r="G39" s="1145"/>
      <c r="H39" s="1145"/>
      <c r="J39" s="610" t="s">
        <v>737</v>
      </c>
      <c r="K39" s="3" t="s">
        <v>738</v>
      </c>
      <c r="L39" s="526" t="s">
        <v>739</v>
      </c>
      <c r="M39" s="136">
        <v>40</v>
      </c>
      <c r="N39" s="3">
        <v>6946868881</v>
      </c>
      <c r="O39" s="136" t="s">
        <v>1317</v>
      </c>
      <c r="P39" s="611">
        <v>1234</v>
      </c>
      <c r="AE39" s="322" t="s">
        <v>3638</v>
      </c>
      <c r="AF39" s="26" t="s">
        <v>1621</v>
      </c>
      <c r="AG39" s="322" t="s">
        <v>666</v>
      </c>
      <c r="AH39" s="26" t="s">
        <v>1310</v>
      </c>
      <c r="AJ39" s="322" t="s">
        <v>3638</v>
      </c>
      <c r="AK39" s="26" t="s">
        <v>1621</v>
      </c>
      <c r="AL39" s="322" t="s">
        <v>1319</v>
      </c>
      <c r="AM39" s="26" t="s">
        <v>3089</v>
      </c>
    </row>
    <row r="40" spans="1:64" ht="30" customHeight="1">
      <c r="A40" s="1145"/>
      <c r="B40" s="1145"/>
      <c r="C40" s="1145"/>
      <c r="D40" s="1145"/>
      <c r="E40" s="1145"/>
      <c r="F40" s="1145"/>
      <c r="G40" s="1145"/>
      <c r="H40" s="1145"/>
      <c r="J40" s="610" t="s">
        <v>740</v>
      </c>
      <c r="K40" s="3" t="s">
        <v>741</v>
      </c>
      <c r="L40" s="526" t="s">
        <v>742</v>
      </c>
      <c r="M40" s="136">
        <v>43</v>
      </c>
      <c r="N40" s="3">
        <v>6944098848</v>
      </c>
      <c r="O40" s="136" t="s">
        <v>1320</v>
      </c>
      <c r="P40" s="611">
        <v>1234</v>
      </c>
      <c r="AE40" s="322" t="s">
        <v>2582</v>
      </c>
      <c r="AF40" s="26" t="s">
        <v>1625</v>
      </c>
      <c r="AG40" s="322" t="s">
        <v>667</v>
      </c>
      <c r="AH40" s="26" t="s">
        <v>1314</v>
      </c>
      <c r="AJ40" s="322" t="s">
        <v>2582</v>
      </c>
      <c r="AK40" s="26" t="s">
        <v>1625</v>
      </c>
      <c r="AL40" s="322" t="s">
        <v>1322</v>
      </c>
      <c r="AM40" s="26" t="s">
        <v>1323</v>
      </c>
    </row>
    <row r="41" spans="1:64" ht="30">
      <c r="A41" s="1145"/>
      <c r="B41" s="1145"/>
      <c r="C41" s="1145"/>
      <c r="D41" s="1145"/>
      <c r="E41" s="1145"/>
      <c r="F41" s="1145"/>
      <c r="G41" s="1145"/>
      <c r="H41" s="1145"/>
      <c r="J41" s="610" t="s">
        <v>743</v>
      </c>
      <c r="K41" s="3" t="s">
        <v>744</v>
      </c>
      <c r="L41" s="526" t="s">
        <v>745</v>
      </c>
      <c r="M41" s="136">
        <v>44</v>
      </c>
      <c r="N41" s="3">
        <v>6993928303</v>
      </c>
      <c r="O41" s="136" t="s">
        <v>1324</v>
      </c>
      <c r="P41" s="611">
        <v>1234</v>
      </c>
      <c r="AE41" s="322" t="s">
        <v>2542</v>
      </c>
      <c r="AF41" s="26" t="s">
        <v>1629</v>
      </c>
      <c r="AG41" s="322" t="s">
        <v>668</v>
      </c>
      <c r="AH41" s="26" t="s">
        <v>1318</v>
      </c>
      <c r="AJ41" s="322" t="s">
        <v>2542</v>
      </c>
      <c r="AK41" s="26" t="s">
        <v>1629</v>
      </c>
      <c r="AL41" s="322" t="s">
        <v>1326</v>
      </c>
      <c r="AM41" s="26" t="s">
        <v>1327</v>
      </c>
    </row>
    <row r="42" spans="1:64" ht="27.75" customHeight="1">
      <c r="A42" s="1145"/>
      <c r="B42" s="1145"/>
      <c r="C42" s="1145"/>
      <c r="D42" s="1145"/>
      <c r="E42" s="1145"/>
      <c r="F42" s="1145"/>
      <c r="G42" s="1145"/>
      <c r="H42" s="1145"/>
      <c r="J42" s="610" t="s">
        <v>746</v>
      </c>
      <c r="K42" s="3" t="s">
        <v>747</v>
      </c>
      <c r="L42" s="526" t="s">
        <v>748</v>
      </c>
      <c r="M42" s="136">
        <v>76</v>
      </c>
      <c r="N42" s="3">
        <v>6949917351</v>
      </c>
      <c r="O42" s="136" t="s">
        <v>1328</v>
      </c>
      <c r="P42" s="611">
        <v>1234</v>
      </c>
      <c r="AE42" s="322" t="s">
        <v>3639</v>
      </c>
      <c r="AF42" s="26" t="s">
        <v>1634</v>
      </c>
      <c r="AG42" s="322" t="s">
        <v>669</v>
      </c>
      <c r="AH42" s="26" t="s">
        <v>1321</v>
      </c>
      <c r="AJ42" s="322" t="s">
        <v>3639</v>
      </c>
      <c r="AK42" s="26" t="s">
        <v>1634</v>
      </c>
      <c r="AL42" s="322" t="s">
        <v>1330</v>
      </c>
      <c r="AM42" s="26" t="s">
        <v>1331</v>
      </c>
    </row>
    <row r="43" spans="1:64" ht="30.75" thickBot="1">
      <c r="A43" s="1145"/>
      <c r="B43" s="1145"/>
      <c r="C43" s="1145"/>
      <c r="D43" s="1145"/>
      <c r="E43" s="1145"/>
      <c r="F43" s="1145"/>
      <c r="G43" s="1145"/>
      <c r="H43" s="1145"/>
      <c r="J43" s="612" t="s">
        <v>696</v>
      </c>
      <c r="K43" s="613" t="s">
        <v>749</v>
      </c>
      <c r="L43" s="614" t="s">
        <v>750</v>
      </c>
      <c r="M43" s="615">
        <v>80</v>
      </c>
      <c r="N43" s="613">
        <v>6943445469</v>
      </c>
      <c r="O43" s="615" t="s">
        <v>1332</v>
      </c>
      <c r="P43" s="616">
        <v>1234</v>
      </c>
      <c r="AE43" s="322" t="s">
        <v>3640</v>
      </c>
      <c r="AF43" s="26" t="s">
        <v>1638</v>
      </c>
      <c r="AG43" s="322" t="s">
        <v>670</v>
      </c>
      <c r="AH43" s="26" t="s">
        <v>1325</v>
      </c>
      <c r="AJ43" s="322" t="s">
        <v>3640</v>
      </c>
      <c r="AK43" s="26" t="s">
        <v>1638</v>
      </c>
      <c r="AL43" s="322" t="s">
        <v>1333</v>
      </c>
      <c r="AM43" s="26" t="s">
        <v>1334</v>
      </c>
    </row>
    <row r="44" spans="1:64" ht="16.5" thickTop="1" thickBot="1">
      <c r="AE44" s="322" t="s">
        <v>2697</v>
      </c>
      <c r="AF44" s="26" t="s">
        <v>1642</v>
      </c>
      <c r="AG44" s="322" t="s">
        <v>632</v>
      </c>
      <c r="AH44" s="26" t="s">
        <v>1329</v>
      </c>
      <c r="AJ44" s="322" t="s">
        <v>2697</v>
      </c>
      <c r="AK44" s="26" t="s">
        <v>1642</v>
      </c>
      <c r="AL44" s="322" t="s">
        <v>632</v>
      </c>
      <c r="AM44" s="26" t="s">
        <v>1335</v>
      </c>
    </row>
    <row r="45" spans="1:64" ht="31.5" thickTop="1" thickBot="1">
      <c r="J45" s="1197" t="s">
        <v>1336</v>
      </c>
      <c r="K45" s="1198"/>
      <c r="L45" s="1198"/>
      <c r="M45" s="1198"/>
      <c r="N45" s="1198"/>
      <c r="O45" s="1198"/>
      <c r="P45" s="1199"/>
      <c r="AE45" s="322" t="s">
        <v>3792</v>
      </c>
      <c r="AF45" s="26" t="s">
        <v>1329</v>
      </c>
      <c r="AG45" s="603" t="s">
        <v>1189</v>
      </c>
      <c r="AH45" s="639" t="s">
        <v>1190</v>
      </c>
      <c r="AJ45" s="322" t="s">
        <v>3792</v>
      </c>
      <c r="AK45" s="26" t="s">
        <v>1329</v>
      </c>
      <c r="AL45" s="603" t="s">
        <v>1189</v>
      </c>
      <c r="AM45" s="639" t="s">
        <v>1190</v>
      </c>
    </row>
    <row r="46" spans="1:64" ht="15.75" thickBot="1">
      <c r="J46" s="617" t="s">
        <v>1126</v>
      </c>
      <c r="K46" s="186" t="s">
        <v>1127</v>
      </c>
      <c r="L46" s="186" t="s">
        <v>1128</v>
      </c>
      <c r="M46" s="1" t="s">
        <v>1129</v>
      </c>
      <c r="N46" s="186" t="s">
        <v>1130</v>
      </c>
      <c r="O46" s="1" t="s">
        <v>1131</v>
      </c>
      <c r="P46" s="618" t="s">
        <v>1132</v>
      </c>
      <c r="AE46" s="603" t="s">
        <v>1189</v>
      </c>
      <c r="AF46" s="639" t="s">
        <v>1190</v>
      </c>
      <c r="AG46" s="136"/>
      <c r="AH46" s="3"/>
      <c r="AJ46" s="603" t="s">
        <v>1189</v>
      </c>
      <c r="AK46" s="639" t="s">
        <v>1190</v>
      </c>
    </row>
    <row r="47" spans="1:64">
      <c r="J47" s="546" t="s">
        <v>467</v>
      </c>
      <c r="K47" s="3" t="s">
        <v>693</v>
      </c>
      <c r="L47" s="526" t="s">
        <v>813</v>
      </c>
      <c r="M47" s="3">
        <v>64</v>
      </c>
      <c r="N47" s="3">
        <v>6940054319</v>
      </c>
      <c r="O47" s="136" t="s">
        <v>1337</v>
      </c>
      <c r="P47" s="547">
        <v>1234</v>
      </c>
      <c r="AE47" s="136"/>
      <c r="AF47" s="3"/>
    </row>
    <row r="48" spans="1:64" ht="15.75" thickBot="1">
      <c r="J48" s="546" t="s">
        <v>523</v>
      </c>
      <c r="K48" s="3" t="s">
        <v>760</v>
      </c>
      <c r="L48" s="526" t="s">
        <v>761</v>
      </c>
      <c r="M48" s="3">
        <v>65</v>
      </c>
      <c r="N48" s="3">
        <v>6975768226</v>
      </c>
      <c r="O48" s="136" t="s">
        <v>1338</v>
      </c>
      <c r="P48" s="547">
        <v>1234</v>
      </c>
      <c r="Z48" s="3"/>
      <c r="AA48" s="3"/>
      <c r="AB48" s="3"/>
      <c r="AC48" s="3"/>
      <c r="AI48" s="552"/>
      <c r="AJ48" s="1191" t="s">
        <v>786</v>
      </c>
      <c r="AK48" s="1192"/>
      <c r="AL48" s="1192"/>
      <c r="AM48" s="1192"/>
    </row>
    <row r="49" spans="10:39" ht="15.75" thickBot="1">
      <c r="J49" s="546" t="s">
        <v>762</v>
      </c>
      <c r="K49" s="3" t="s">
        <v>763</v>
      </c>
      <c r="L49" s="526" t="s">
        <v>764</v>
      </c>
      <c r="M49" s="3">
        <v>62</v>
      </c>
      <c r="N49" s="3">
        <v>6947244770</v>
      </c>
      <c r="O49" s="136" t="s">
        <v>1339</v>
      </c>
      <c r="P49" s="547">
        <v>1234</v>
      </c>
      <c r="R49" s="3"/>
      <c r="S49" s="3"/>
      <c r="T49" s="526"/>
      <c r="U49" s="136"/>
      <c r="V49" s="3"/>
      <c r="W49" s="136"/>
      <c r="X49" s="3"/>
      <c r="Y49" s="3"/>
      <c r="AE49" s="1192" t="s">
        <v>786</v>
      </c>
      <c r="AF49" s="1192"/>
      <c r="AG49" s="1192"/>
      <c r="AH49" s="1192"/>
      <c r="AJ49" s="636" t="s">
        <v>1134</v>
      </c>
      <c r="AK49" s="25" t="s">
        <v>1135</v>
      </c>
      <c r="AL49" s="636" t="s">
        <v>1134</v>
      </c>
      <c r="AM49" s="25" t="s">
        <v>1137</v>
      </c>
    </row>
    <row r="50" spans="10:39">
      <c r="J50" s="546" t="s">
        <v>1340</v>
      </c>
      <c r="K50" s="3" t="s">
        <v>1341</v>
      </c>
      <c r="L50" s="526" t="s">
        <v>767</v>
      </c>
      <c r="M50" s="3">
        <v>86</v>
      </c>
      <c r="N50" s="3">
        <v>6995394678</v>
      </c>
      <c r="O50" s="136" t="s">
        <v>1342</v>
      </c>
      <c r="P50" s="547">
        <v>1234</v>
      </c>
      <c r="AE50" s="636" t="s">
        <v>1134</v>
      </c>
      <c r="AF50" s="25" t="s">
        <v>1135</v>
      </c>
      <c r="AG50" s="636" t="s">
        <v>1134</v>
      </c>
      <c r="AH50" s="25" t="s">
        <v>1137</v>
      </c>
      <c r="AJ50" s="637" t="s">
        <v>1264</v>
      </c>
      <c r="AK50" s="26" t="s">
        <v>1265</v>
      </c>
      <c r="AL50" s="637" t="s">
        <v>3630</v>
      </c>
      <c r="AM50" s="26" t="s">
        <v>3747</v>
      </c>
    </row>
    <row r="51" spans="10:39">
      <c r="J51" s="546" t="s">
        <v>768</v>
      </c>
      <c r="K51" s="3" t="s">
        <v>769</v>
      </c>
      <c r="L51" s="526" t="s">
        <v>770</v>
      </c>
      <c r="M51" s="3">
        <v>90</v>
      </c>
      <c r="N51" s="3">
        <v>6949115068</v>
      </c>
      <c r="O51" s="136" t="s">
        <v>1343</v>
      </c>
      <c r="P51" s="547">
        <v>1234</v>
      </c>
      <c r="AE51" s="637" t="s">
        <v>1259</v>
      </c>
      <c r="AF51" s="26" t="s">
        <v>1260</v>
      </c>
      <c r="AG51" s="637" t="s">
        <v>3624</v>
      </c>
      <c r="AH51" s="26" t="s">
        <v>3739</v>
      </c>
      <c r="AJ51" s="637" t="s">
        <v>1269</v>
      </c>
      <c r="AK51" s="26" t="s">
        <v>1270</v>
      </c>
      <c r="AL51" s="637" t="s">
        <v>3631</v>
      </c>
      <c r="AM51" s="26" t="s">
        <v>3748</v>
      </c>
    </row>
    <row r="52" spans="10:39">
      <c r="J52" s="546" t="s">
        <v>773</v>
      </c>
      <c r="K52" s="3" t="s">
        <v>1344</v>
      </c>
      <c r="L52" s="526" t="s">
        <v>775</v>
      </c>
      <c r="M52" s="3">
        <v>63</v>
      </c>
      <c r="N52" s="3">
        <v>6947290911</v>
      </c>
      <c r="O52" s="136" t="s">
        <v>1345</v>
      </c>
      <c r="P52" s="547">
        <v>1234</v>
      </c>
      <c r="AE52" s="637" t="s">
        <v>627</v>
      </c>
      <c r="AF52" s="26" t="s">
        <v>1263</v>
      </c>
      <c r="AG52" s="637" t="s">
        <v>3625</v>
      </c>
      <c r="AH52" s="26" t="s">
        <v>3740</v>
      </c>
      <c r="AJ52" s="637" t="s">
        <v>1274</v>
      </c>
      <c r="AK52" s="26" t="s">
        <v>1275</v>
      </c>
      <c r="AL52" s="637" t="s">
        <v>3632</v>
      </c>
      <c r="AM52" s="26" t="s">
        <v>3749</v>
      </c>
    </row>
    <row r="53" spans="10:39" ht="15.75" thickBot="1">
      <c r="J53" s="553" t="s">
        <v>493</v>
      </c>
      <c r="K53" s="554" t="s">
        <v>3298</v>
      </c>
      <c r="L53" s="555" t="s">
        <v>1109</v>
      </c>
      <c r="M53" s="554"/>
      <c r="N53" s="554">
        <v>6909081473</v>
      </c>
      <c r="O53" s="619" t="s">
        <v>3299</v>
      </c>
      <c r="P53" s="556">
        <v>1234</v>
      </c>
      <c r="AE53" s="637" t="s">
        <v>628</v>
      </c>
      <c r="AF53" s="26" t="s">
        <v>1268</v>
      </c>
      <c r="AG53" s="637" t="s">
        <v>3626</v>
      </c>
      <c r="AH53" s="26" t="s">
        <v>3741</v>
      </c>
      <c r="AJ53" s="637" t="s">
        <v>1279</v>
      </c>
      <c r="AK53" s="26" t="s">
        <v>1280</v>
      </c>
      <c r="AL53" s="637" t="s">
        <v>3633</v>
      </c>
      <c r="AM53" s="26" t="s">
        <v>3750</v>
      </c>
    </row>
    <row r="54" spans="10:39" ht="16.5" thickTop="1" thickBot="1">
      <c r="AE54" s="637" t="s">
        <v>629</v>
      </c>
      <c r="AF54" s="26" t="s">
        <v>1273</v>
      </c>
      <c r="AG54" s="637" t="s">
        <v>3627</v>
      </c>
      <c r="AH54" s="26" t="s">
        <v>3742</v>
      </c>
      <c r="AJ54" s="637" t="s">
        <v>1284</v>
      </c>
      <c r="AK54" s="26" t="s">
        <v>1285</v>
      </c>
      <c r="AL54" s="637" t="s">
        <v>3634</v>
      </c>
      <c r="AM54" s="26" t="s">
        <v>3751</v>
      </c>
    </row>
    <row r="55" spans="10:39" ht="15.75" thickTop="1">
      <c r="J55" s="1200" t="s">
        <v>634</v>
      </c>
      <c r="K55" s="1201"/>
      <c r="L55" s="1201"/>
      <c r="M55" s="1201"/>
      <c r="N55" s="1201"/>
      <c r="O55" s="1201"/>
      <c r="P55" s="1202"/>
      <c r="AE55" s="637" t="s">
        <v>630</v>
      </c>
      <c r="AF55" s="26" t="s">
        <v>1278</v>
      </c>
      <c r="AG55" s="637" t="s">
        <v>3628</v>
      </c>
      <c r="AH55" s="26" t="s">
        <v>3743</v>
      </c>
      <c r="AJ55" s="637" t="s">
        <v>1289</v>
      </c>
      <c r="AK55" s="26" t="s">
        <v>1290</v>
      </c>
      <c r="AL55" s="637" t="s">
        <v>3635</v>
      </c>
      <c r="AM55" s="26" t="s">
        <v>3752</v>
      </c>
    </row>
    <row r="56" spans="10:39">
      <c r="J56" s="620" t="s">
        <v>1126</v>
      </c>
      <c r="K56" s="3" t="s">
        <v>1127</v>
      </c>
      <c r="L56" s="3" t="s">
        <v>1128</v>
      </c>
      <c r="M56" s="136" t="s">
        <v>1129</v>
      </c>
      <c r="N56" s="3" t="s">
        <v>1130</v>
      </c>
      <c r="O56" s="136" t="s">
        <v>1131</v>
      </c>
      <c r="P56" s="621" t="s">
        <v>1132</v>
      </c>
      <c r="AE56" s="637" t="s">
        <v>631</v>
      </c>
      <c r="AF56" s="26" t="s">
        <v>1283</v>
      </c>
      <c r="AG56" s="637" t="s">
        <v>3629</v>
      </c>
      <c r="AH56" s="26" t="s">
        <v>3744</v>
      </c>
      <c r="AI56" s="3"/>
      <c r="AJ56" s="637" t="s">
        <v>1294</v>
      </c>
      <c r="AK56" s="26" t="s">
        <v>1295</v>
      </c>
      <c r="AL56" s="637" t="s">
        <v>3753</v>
      </c>
      <c r="AM56" s="26" t="s">
        <v>3754</v>
      </c>
    </row>
    <row r="57" spans="10:39" ht="15.75" thickBot="1">
      <c r="J57" s="620" t="s">
        <v>635</v>
      </c>
      <c r="K57" s="843" t="s">
        <v>1346</v>
      </c>
      <c r="L57" s="523" t="s">
        <v>637</v>
      </c>
      <c r="M57" s="136">
        <v>81</v>
      </c>
      <c r="N57" s="459">
        <v>6973585676</v>
      </c>
      <c r="O57" s="136" t="s">
        <v>1347</v>
      </c>
      <c r="P57" s="621">
        <v>1234</v>
      </c>
      <c r="AE57" s="637" t="s">
        <v>632</v>
      </c>
      <c r="AF57" s="26" t="s">
        <v>1288</v>
      </c>
      <c r="AG57" s="637" t="s">
        <v>3745</v>
      </c>
      <c r="AH57" s="26" t="s">
        <v>3746</v>
      </c>
      <c r="AI57" s="3"/>
      <c r="AJ57" s="638" t="s">
        <v>1189</v>
      </c>
      <c r="AK57" s="639" t="s">
        <v>1190</v>
      </c>
      <c r="AL57" s="638" t="s">
        <v>1189</v>
      </c>
      <c r="AM57" s="639" t="s">
        <v>1190</v>
      </c>
    </row>
    <row r="58" spans="10:39" ht="15.75" thickBot="1">
      <c r="J58" s="620" t="s">
        <v>638</v>
      </c>
      <c r="K58" s="3" t="s">
        <v>1348</v>
      </c>
      <c r="L58" s="526" t="s">
        <v>640</v>
      </c>
      <c r="M58" s="136">
        <v>82</v>
      </c>
      <c r="N58" s="459">
        <v>6975993662</v>
      </c>
      <c r="O58" s="136" t="s">
        <v>1349</v>
      </c>
      <c r="P58" s="621">
        <v>1234</v>
      </c>
      <c r="AE58" s="637" t="s">
        <v>633</v>
      </c>
      <c r="AF58" s="26" t="s">
        <v>1293</v>
      </c>
      <c r="AG58" s="638" t="s">
        <v>1189</v>
      </c>
      <c r="AH58" s="639" t="s">
        <v>1190</v>
      </c>
    </row>
    <row r="59" spans="10:39" ht="15.75" thickBot="1">
      <c r="J59" s="620" t="s">
        <v>641</v>
      </c>
      <c r="K59" s="3" t="s">
        <v>642</v>
      </c>
      <c r="L59" s="526" t="s">
        <v>643</v>
      </c>
      <c r="M59" s="136">
        <v>74</v>
      </c>
      <c r="N59" s="459">
        <v>6985837967</v>
      </c>
      <c r="O59" s="136" t="s">
        <v>1350</v>
      </c>
      <c r="P59" s="621">
        <v>1234</v>
      </c>
      <c r="AE59" s="638" t="s">
        <v>1189</v>
      </c>
      <c r="AF59" s="639" t="s">
        <v>1190</v>
      </c>
    </row>
    <row r="60" spans="10:39">
      <c r="J60" s="620" t="s">
        <v>544</v>
      </c>
      <c r="K60" s="3" t="s">
        <v>645</v>
      </c>
      <c r="L60" s="526" t="s">
        <v>646</v>
      </c>
      <c r="M60" s="136">
        <v>72</v>
      </c>
      <c r="N60" s="3">
        <v>6944918511</v>
      </c>
      <c r="O60" s="136" t="s">
        <v>1351</v>
      </c>
      <c r="P60" s="621">
        <v>1234</v>
      </c>
    </row>
    <row r="61" spans="10:39">
      <c r="J61" s="620" t="s">
        <v>1352</v>
      </c>
      <c r="K61" s="3" t="s">
        <v>647</v>
      </c>
      <c r="L61" s="526" t="s">
        <v>1073</v>
      </c>
      <c r="M61" s="136">
        <v>89</v>
      </c>
      <c r="N61" s="3">
        <v>6981865680</v>
      </c>
      <c r="O61" s="136" t="s">
        <v>1353</v>
      </c>
      <c r="P61" s="621">
        <v>1234</v>
      </c>
      <c r="AL61" s="3"/>
    </row>
    <row r="62" spans="10:39">
      <c r="J62" s="620" t="s">
        <v>467</v>
      </c>
      <c r="K62" s="3" t="s">
        <v>652</v>
      </c>
      <c r="L62" s="526" t="s">
        <v>653</v>
      </c>
      <c r="M62" s="136">
        <v>66</v>
      </c>
      <c r="N62" s="3">
        <v>6955298183</v>
      </c>
      <c r="O62" s="136" t="s">
        <v>1354</v>
      </c>
      <c r="P62" s="621">
        <v>1234</v>
      </c>
    </row>
    <row r="63" spans="10:39">
      <c r="J63" s="620" t="s">
        <v>654</v>
      </c>
      <c r="K63" s="3" t="s">
        <v>655</v>
      </c>
      <c r="L63" s="622" t="s">
        <v>656</v>
      </c>
      <c r="M63" s="136">
        <v>67</v>
      </c>
      <c r="N63" s="527">
        <v>6987401697</v>
      </c>
      <c r="O63" s="136" t="s">
        <v>1355</v>
      </c>
      <c r="P63" s="621">
        <v>1234</v>
      </c>
    </row>
    <row r="64" spans="10:39" ht="15.75" thickBot="1">
      <c r="J64" s="1094" t="s">
        <v>604</v>
      </c>
      <c r="K64" s="1095" t="s">
        <v>657</v>
      </c>
      <c r="L64" s="1096" t="s">
        <v>658</v>
      </c>
      <c r="M64" s="1097">
        <v>69</v>
      </c>
      <c r="N64" s="1095">
        <v>6979541207</v>
      </c>
      <c r="O64" s="1097" t="s">
        <v>1356</v>
      </c>
      <c r="P64" s="1098">
        <v>1234</v>
      </c>
    </row>
    <row r="65" spans="10:37" ht="16.5" thickTop="1" thickBot="1"/>
    <row r="66" spans="10:37" ht="15.75" thickTop="1">
      <c r="J66" s="1194" t="s">
        <v>1357</v>
      </c>
      <c r="K66" s="1195"/>
      <c r="L66" s="1195"/>
      <c r="M66" s="1195"/>
      <c r="N66" s="1195"/>
      <c r="O66" s="1195"/>
      <c r="P66" s="1196"/>
      <c r="AG66" s="3"/>
    </row>
    <row r="67" spans="10:37">
      <c r="J67" s="623" t="s">
        <v>544</v>
      </c>
      <c r="K67" s="3" t="s">
        <v>672</v>
      </c>
      <c r="L67" s="526" t="s">
        <v>673</v>
      </c>
      <c r="M67" s="136">
        <v>46</v>
      </c>
      <c r="N67" s="3">
        <v>6947841222</v>
      </c>
      <c r="O67" s="136" t="s">
        <v>1358</v>
      </c>
      <c r="P67" s="624">
        <v>1234</v>
      </c>
      <c r="AF67" s="3"/>
      <c r="AK67" s="3"/>
    </row>
    <row r="68" spans="10:37">
      <c r="J68" s="623" t="s">
        <v>544</v>
      </c>
      <c r="K68" s="3" t="s">
        <v>674</v>
      </c>
      <c r="L68" s="526" t="s">
        <v>675</v>
      </c>
      <c r="M68" s="136">
        <v>47</v>
      </c>
      <c r="N68" s="3">
        <v>6937357077</v>
      </c>
      <c r="O68" s="136" t="s">
        <v>1359</v>
      </c>
      <c r="P68" s="624">
        <v>1234</v>
      </c>
    </row>
    <row r="69" spans="10:37">
      <c r="J69" s="623" t="s">
        <v>676</v>
      </c>
      <c r="K69" s="3" t="s">
        <v>677</v>
      </c>
      <c r="L69" s="526" t="s">
        <v>678</v>
      </c>
      <c r="M69" s="136">
        <v>48</v>
      </c>
      <c r="N69" s="3">
        <v>6978163340</v>
      </c>
      <c r="O69" s="136" t="s">
        <v>1360</v>
      </c>
      <c r="P69" s="624">
        <v>1234</v>
      </c>
    </row>
    <row r="70" spans="10:37">
      <c r="J70" s="623" t="s">
        <v>680</v>
      </c>
      <c r="K70" s="3" t="s">
        <v>681</v>
      </c>
      <c r="L70" s="526" t="s">
        <v>682</v>
      </c>
      <c r="M70" s="136">
        <v>49</v>
      </c>
      <c r="N70" s="3">
        <v>6986184307</v>
      </c>
      <c r="O70" s="136" t="s">
        <v>1361</v>
      </c>
      <c r="P70" s="624">
        <v>1234</v>
      </c>
    </row>
    <row r="71" spans="10:37" ht="15.75" thickBot="1">
      <c r="J71" s="625" t="s">
        <v>683</v>
      </c>
      <c r="K71" s="626" t="s">
        <v>684</v>
      </c>
      <c r="L71" s="627" t="s">
        <v>685</v>
      </c>
      <c r="M71" s="628">
        <v>50</v>
      </c>
      <c r="N71" s="626">
        <v>6943696191</v>
      </c>
      <c r="O71" s="628" t="s">
        <v>1362</v>
      </c>
      <c r="P71" s="629">
        <v>1234</v>
      </c>
    </row>
    <row r="72" spans="10:37" ht="15.75" thickTop="1"/>
  </sheetData>
  <mergeCells count="42">
    <mergeCell ref="R1:X1"/>
    <mergeCell ref="AE1:AH1"/>
    <mergeCell ref="AO1:AU1"/>
    <mergeCell ref="A25:H36"/>
    <mergeCell ref="Z1:AC1"/>
    <mergeCell ref="AJ2:AM2"/>
    <mergeCell ref="AJ13:AM13"/>
    <mergeCell ref="R2:X2"/>
    <mergeCell ref="AE2:AH2"/>
    <mergeCell ref="AE12:AH12"/>
    <mergeCell ref="AE22:AH22"/>
    <mergeCell ref="AW4:AW33"/>
    <mergeCell ref="BF4:BF33"/>
    <mergeCell ref="AX4:BC33"/>
    <mergeCell ref="J21:P21"/>
    <mergeCell ref="J32:P32"/>
    <mergeCell ref="AJ23:AM23"/>
    <mergeCell ref="A37:H37"/>
    <mergeCell ref="A38:H43"/>
    <mergeCell ref="AJ48:AM48"/>
    <mergeCell ref="AJ34:AM34"/>
    <mergeCell ref="J66:P66"/>
    <mergeCell ref="AE34:AH34"/>
    <mergeCell ref="AE49:AH49"/>
    <mergeCell ref="J45:P45"/>
    <mergeCell ref="J55:P55"/>
    <mergeCell ref="AW1:BL1"/>
    <mergeCell ref="A9:H9"/>
    <mergeCell ref="AJ1:AM1"/>
    <mergeCell ref="A10:H10"/>
    <mergeCell ref="A11:H23"/>
    <mergeCell ref="J1:P1"/>
    <mergeCell ref="J9:P9"/>
    <mergeCell ref="J2:P2"/>
    <mergeCell ref="AW2:BC2"/>
    <mergeCell ref="BF2:BL2"/>
    <mergeCell ref="AX3:BC3"/>
    <mergeCell ref="BG3:BL3"/>
    <mergeCell ref="BG4:BL33"/>
    <mergeCell ref="A1:H1"/>
    <mergeCell ref="A2:H8"/>
    <mergeCell ref="A24:H24"/>
  </mergeCells>
  <phoneticPr fontId="8" type="noConversion"/>
  <hyperlinks>
    <hyperlink ref="L24" r:id="rId1" xr:uid="{495C734B-62F0-4EBC-A2D3-4A4B9C703BF6}"/>
    <hyperlink ref="L42" r:id="rId2" xr:uid="{38B3249C-4AC2-42DD-B42D-0A6E57A06FE9}"/>
    <hyperlink ref="L63" r:id="rId3" xr:uid="{D8925B0E-0B16-46B3-8E09-4D42419D8982}"/>
    <hyperlink ref="L16" r:id="rId4" xr:uid="{39768C6B-D9A7-4763-95D4-AA679DBCE5A2}"/>
    <hyperlink ref="L57" r:id="rId5" xr:uid="{D9BF7050-A1F9-43B0-A8FD-3EB8E00F75D0}"/>
    <hyperlink ref="L25" r:id="rId6" xr:uid="{CD5CB17A-650B-41EA-907B-8B6A7A3E191C}"/>
    <hyperlink ref="L36" r:id="rId7" xr:uid="{8BCE97DF-719F-4C22-BFE9-569ABE593C4C}"/>
    <hyperlink ref="L38" r:id="rId8" xr:uid="{DA7B8CDC-BB08-4095-A519-ABDA8BE5B9ED}"/>
    <hyperlink ref="L39" r:id="rId9" xr:uid="{8D244A11-C574-4650-B975-68BBC44834E7}"/>
    <hyperlink ref="L40" r:id="rId10" xr:uid="{D0C9939D-38E0-45F9-A00C-68B88624B30E}"/>
    <hyperlink ref="L41" r:id="rId11" xr:uid="{C950FC5B-F2F2-470B-8C09-0E0A9C80D447}"/>
    <hyperlink ref="L8" r:id="rId12" xr:uid="{8417B0B6-1BFD-4FB9-BA29-F2F46934FC32}"/>
    <hyperlink ref="L7" r:id="rId13" xr:uid="{EDA31F2E-E861-480B-B110-370180987103}"/>
    <hyperlink ref="L37" r:id="rId14" xr:uid="{FF945960-CEEE-40B3-BDEA-7F4786C59931}"/>
    <hyperlink ref="L60" r:id="rId15" xr:uid="{E4039B70-A639-4676-BAA5-57DDAF9A4B2D}"/>
    <hyperlink ref="L51" r:id="rId16" xr:uid="{DAC43626-2A18-434D-ADF1-35457A06A2A8}"/>
    <hyperlink ref="L35" r:id="rId17" xr:uid="{9FBB3551-A1C0-40F9-984F-9747356394DD}"/>
    <hyperlink ref="L64" r:id="rId18" xr:uid="{41323149-CEC5-4A37-BE57-ACE39EA104E2}"/>
    <hyperlink ref="L47" r:id="rId19" xr:uid="{28647EBD-7D1F-4796-9DDC-00450A21FA49}"/>
    <hyperlink ref="L18" r:id="rId20" xr:uid="{08A2D558-ABEB-4C78-A996-50E03B2E8D0F}"/>
    <hyperlink ref="L43" r:id="rId21" xr:uid="{20C39B31-D671-4B3F-BB1D-115EB983B765}"/>
    <hyperlink ref="L49" r:id="rId22" xr:uid="{28F2C37D-5D2A-4609-BD0D-39C4A78C2501}"/>
    <hyperlink ref="L26" r:id="rId23" xr:uid="{65990F27-080D-419C-9F61-F3D75E3157FF}"/>
    <hyperlink ref="L5" r:id="rId24" xr:uid="{07308262-06B7-4A0D-8524-9AC4F7CF8448}"/>
    <hyperlink ref="L4" r:id="rId25" xr:uid="{236EC7EB-85B4-4B23-B625-1F28920AB475}"/>
    <hyperlink ref="L6" r:id="rId26" xr:uid="{F6773775-8C02-4B51-8A11-31F8B9562462}"/>
    <hyperlink ref="L27" r:id="rId27" xr:uid="{79E52E23-0FE4-432E-95F3-BD0771572E40}"/>
    <hyperlink ref="L28" r:id="rId28" xr:uid="{74898C79-0366-4D1A-A820-69BD831F5221}"/>
    <hyperlink ref="L59" r:id="rId29" xr:uid="{CD31616F-B275-48BD-9227-97514B300BC5}"/>
    <hyperlink ref="L62" r:id="rId30" xr:uid="{D86FB820-C8A5-4FC0-A4B4-3055D05A0558}"/>
    <hyperlink ref="L71" r:id="rId31" xr:uid="{AC38CDC7-F9CB-4C77-BA58-3F51F63743E8}"/>
    <hyperlink ref="L70" r:id="rId32" xr:uid="{CE90F3BA-D5DA-4C2D-B1CE-974C7C5D6C1A}"/>
    <hyperlink ref="L69" r:id="rId33" xr:uid="{B44E5329-6010-412E-B08B-F9186F83BDEB}"/>
    <hyperlink ref="L68" r:id="rId34" xr:uid="{0283BDC9-5EDE-42D5-8EF5-29DA014D579C}"/>
    <hyperlink ref="L67" r:id="rId35" xr:uid="{62CBCC0E-5C3E-4512-9BC3-754BB3DD7A2E}"/>
    <hyperlink ref="L19" r:id="rId36" xr:uid="{4AD657AE-7FA0-426C-B83D-633BBF34A20C}"/>
    <hyperlink ref="L17" r:id="rId37" xr:uid="{3A5EDC47-BF8D-4411-8CC0-2507654885C3}"/>
    <hyperlink ref="L15" r:id="rId38" xr:uid="{D4427F6B-32F3-4414-B69D-3A35FE3915E4}"/>
    <hyperlink ref="L14" r:id="rId39" xr:uid="{A94A55E2-502E-4B91-B11F-AB358F328E15}"/>
    <hyperlink ref="L13" r:id="rId40" xr:uid="{236B72CF-05EA-4DD4-9C16-D120EBE3B3DB}"/>
    <hyperlink ref="L12" r:id="rId41" xr:uid="{017FBADA-3348-4A20-8655-9E451434E28E}"/>
    <hyperlink ref="L11" r:id="rId42" xr:uid="{E6F55582-513E-4DA0-9EA9-0E4910E84C3E}"/>
    <hyperlink ref="L29" r:id="rId43" xr:uid="{9176AF38-448C-49D0-8B7E-0EF52E232853}"/>
    <hyperlink ref="L48" r:id="rId44" xr:uid="{2EDFBD2C-18B6-4EBC-AAD7-6CE07A314A0F}"/>
    <hyperlink ref="L50" r:id="rId45" xr:uid="{C7E91971-68E2-44E3-BB19-9E7267913985}"/>
    <hyperlink ref="L61" r:id="rId46" xr:uid="{F9911D12-5B23-4809-B06D-D3A6FD988241}"/>
    <hyperlink ref="T4" r:id="rId47" xr:uid="{55ABCA38-1840-4A50-A851-FA0972022963}"/>
    <hyperlink ref="T13" r:id="rId48" xr:uid="{BA249FE1-BE05-49CF-8E93-25CC4E6A66F0}"/>
    <hyperlink ref="T14" r:id="rId49" xr:uid="{C76E06C0-DE94-4152-8691-356D7FC87BD8}"/>
    <hyperlink ref="T6" r:id="rId50" xr:uid="{812C8583-A95F-4377-B80F-AAC15FBD1C36}"/>
    <hyperlink ref="T5" r:id="rId51" xr:uid="{A4A2D186-FE05-4512-98D5-4708BD2B7890}"/>
    <hyperlink ref="T7" r:id="rId52" xr:uid="{7EAE6D07-80FC-442A-875D-C03AA5400154}"/>
    <hyperlink ref="T9" r:id="rId53" xr:uid="{26031D55-0439-4B75-A215-70D5789B5F87}"/>
    <hyperlink ref="T10" r:id="rId54" xr:uid="{FAEBFB2B-C726-4454-AAF7-C27368F76C76}"/>
    <hyperlink ref="T12" r:id="rId55" xr:uid="{B5BB356B-9A36-4D92-9FEE-736DABB54C72}"/>
    <hyperlink ref="T22" r:id="rId56" xr:uid="{017404F7-8862-4792-B3C6-9C5EBC48FC67}"/>
    <hyperlink ref="T20" r:id="rId57" xr:uid="{AB4906D2-C8F7-48DD-8F99-C7982749C566}"/>
    <hyperlink ref="T18" r:id="rId58" xr:uid="{AC9A1515-8C5D-45B1-B9D4-4537F0A999FE}"/>
    <hyperlink ref="T21" r:id="rId59" xr:uid="{60CC3394-0520-4B05-955F-380C8641F1D4}"/>
    <hyperlink ref="T11" r:id="rId60" xr:uid="{DBFC9B59-96C1-4432-932C-73A13E96B5FD}"/>
    <hyperlink ref="T15" r:id="rId61" xr:uid="{309A76F1-24E2-4826-A80E-D9089B3E5466}"/>
    <hyperlink ref="T16" r:id="rId62" xr:uid="{4AAF3EFA-8F74-46D9-B4A5-5F3CB5264841}"/>
    <hyperlink ref="T17" r:id="rId63" xr:uid="{8DC814FC-DC23-498D-967D-3F733B6E631E}"/>
    <hyperlink ref="T19" r:id="rId64" xr:uid="{3D97EB1F-7C20-4EBE-AEF0-140BF02971D0}"/>
    <hyperlink ref="T23" r:id="rId65" xr:uid="{C502C5A7-90FD-4FD0-9CE8-2A4C2B2D74E2}"/>
    <hyperlink ref="T24" r:id="rId66" xr:uid="{08D90AAF-088B-42A8-BC75-C00C0EB6350A}"/>
    <hyperlink ref="T25" r:id="rId67" xr:uid="{BB8AF7C2-2BB3-4C1D-8F09-2816021613F4}"/>
    <hyperlink ref="T26" r:id="rId68" xr:uid="{ED73672A-6CE5-46B3-884D-91785BF82BB6}"/>
    <hyperlink ref="T27" r:id="rId69" xr:uid="{54E71952-DF50-4080-A8C4-CC8D01CE0C90}"/>
    <hyperlink ref="L52" r:id="rId70" xr:uid="{7D6EA745-796B-4DAC-82EE-4E729397492C}"/>
    <hyperlink ref="L30" r:id="rId71" xr:uid="{E5C108AD-A069-4709-806F-1B7F06CDE6D7}"/>
    <hyperlink ref="L31" r:id="rId72" xr:uid="{78114B8C-5AD3-4106-BF53-E5336DF93CEB}"/>
    <hyperlink ref="A2" r:id="rId73" xr:uid="{16DAAE13-1AA9-46D3-A305-616602CA08C3}"/>
    <hyperlink ref="AB3" r:id="rId74" xr:uid="{E71D4EEB-025A-400B-B055-D7931254BA9C}"/>
    <hyperlink ref="AB4" r:id="rId75" xr:uid="{AFD68230-DB6B-4DD0-B56D-2ADEDF85A60B}"/>
    <hyperlink ref="AB5" r:id="rId76" xr:uid="{38CBD482-6F39-4067-8415-4E38137DBFAD}"/>
    <hyperlink ref="AB7" r:id="rId77" xr:uid="{DD92E094-B51D-4185-B305-FFF1022E545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4580-181E-4326-8A0A-48BCBB3C6D34}">
  <sheetPr>
    <tabColor rgb="FFCCECFF"/>
  </sheetPr>
  <dimension ref="A1:Q2"/>
  <sheetViews>
    <sheetView workbookViewId="0">
      <selection activeCell="F2" sqref="F2"/>
    </sheetView>
  </sheetViews>
  <sheetFormatPr defaultRowHeight="15"/>
  <cols>
    <col min="1" max="1" width="9.7109375" customWidth="1"/>
    <col min="2" max="2" width="14.5703125" bestFit="1" customWidth="1"/>
    <col min="3" max="3" width="23.5703125" bestFit="1" customWidth="1"/>
    <col min="5" max="5" width="11" bestFit="1" customWidth="1"/>
    <col min="6" max="6" width="11.85546875" bestFit="1" customWidth="1"/>
  </cols>
  <sheetData>
    <row r="1" spans="1:17">
      <c r="A1" s="186" t="s">
        <v>1126</v>
      </c>
      <c r="B1" s="186" t="s">
        <v>1127</v>
      </c>
      <c r="C1" s="186" t="s">
        <v>1128</v>
      </c>
      <c r="D1" s="1" t="s">
        <v>1129</v>
      </c>
      <c r="E1" s="186" t="s">
        <v>1130</v>
      </c>
      <c r="F1" s="1" t="s">
        <v>1131</v>
      </c>
      <c r="G1" s="186" t="s">
        <v>1132</v>
      </c>
    </row>
    <row r="2" spans="1:17">
      <c r="A2" t="s">
        <v>3685</v>
      </c>
      <c r="B2" t="s">
        <v>3686</v>
      </c>
      <c r="C2" s="125" t="s">
        <v>3687</v>
      </c>
      <c r="E2">
        <v>6948372337</v>
      </c>
      <c r="F2" t="s">
        <v>3688</v>
      </c>
      <c r="G2">
        <v>1234</v>
      </c>
      <c r="H2" s="1217" t="s">
        <v>3689</v>
      </c>
      <c r="I2" s="1217"/>
      <c r="J2" s="1217"/>
      <c r="K2" s="1217"/>
      <c r="L2" s="1217"/>
      <c r="M2" s="1217"/>
      <c r="N2" s="1217"/>
      <c r="O2" s="1217"/>
      <c r="P2" s="1217"/>
      <c r="Q2" s="1217"/>
    </row>
  </sheetData>
  <mergeCells count="1">
    <mergeCell ref="H2:Q2"/>
  </mergeCells>
  <hyperlinks>
    <hyperlink ref="C2" r:id="rId1" xr:uid="{85A17FEE-1564-4B95-95D4-0AF88AF7D95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5073-0EA8-49B6-9732-9DFAE06F04D1}">
  <sheetPr>
    <tabColor rgb="FFFFCCFF"/>
  </sheetPr>
  <dimension ref="A1:J22"/>
  <sheetViews>
    <sheetView workbookViewId="0">
      <selection activeCell="G30" sqref="G30"/>
    </sheetView>
  </sheetViews>
  <sheetFormatPr defaultRowHeight="15"/>
  <cols>
    <col min="1" max="1" width="15.7109375" customWidth="1"/>
    <col min="2" max="2" width="13.85546875" bestFit="1" customWidth="1"/>
    <col min="3" max="3" width="13.7109375" bestFit="1" customWidth="1"/>
    <col min="4" max="4" width="31.42578125" bestFit="1" customWidth="1"/>
    <col min="5" max="5" width="18.85546875" customWidth="1"/>
    <col min="6" max="6" width="34.5703125" customWidth="1"/>
    <col min="7" max="7" width="21.42578125" customWidth="1"/>
    <col min="8" max="8" width="22.5703125" customWidth="1"/>
    <col min="9" max="9" width="44.5703125" customWidth="1"/>
    <col min="10" max="10" width="31.7109375" customWidth="1"/>
  </cols>
  <sheetData>
    <row r="1" spans="1:10">
      <c r="A1" s="643" t="s">
        <v>424</v>
      </c>
      <c r="B1" s="643" t="s">
        <v>426</v>
      </c>
      <c r="C1" s="643" t="s">
        <v>427</v>
      </c>
      <c r="D1" s="643" t="s">
        <v>428</v>
      </c>
      <c r="E1" s="643" t="s">
        <v>429</v>
      </c>
      <c r="F1" s="643" t="s">
        <v>1363</v>
      </c>
      <c r="G1" s="643" t="s">
        <v>1364</v>
      </c>
      <c r="H1" s="643" t="s">
        <v>1132</v>
      </c>
      <c r="I1" s="643" t="s">
        <v>1365</v>
      </c>
      <c r="J1" s="644"/>
    </row>
    <row r="2" spans="1:10" ht="15.75">
      <c r="A2" s="48">
        <v>1</v>
      </c>
      <c r="B2" s="48" t="s">
        <v>544</v>
      </c>
      <c r="C2" s="48" t="s">
        <v>672</v>
      </c>
      <c r="D2" s="504" t="s">
        <v>673</v>
      </c>
      <c r="E2" s="48">
        <v>6947841222</v>
      </c>
      <c r="F2" s="645" t="s">
        <v>1366</v>
      </c>
      <c r="G2" s="647" t="s">
        <v>1367</v>
      </c>
      <c r="H2" s="48" t="s">
        <v>1368</v>
      </c>
      <c r="I2" s="648" t="s">
        <v>1369</v>
      </c>
      <c r="J2" s="644"/>
    </row>
    <row r="3" spans="1:10" ht="15.75">
      <c r="A3" s="48">
        <v>2</v>
      </c>
      <c r="B3" s="48" t="s">
        <v>544</v>
      </c>
      <c r="C3" s="48" t="s">
        <v>674</v>
      </c>
      <c r="D3" s="504" t="s">
        <v>675</v>
      </c>
      <c r="E3" s="48">
        <v>6937357077</v>
      </c>
      <c r="F3" s="645" t="s">
        <v>1370</v>
      </c>
      <c r="G3" s="647" t="s">
        <v>1367</v>
      </c>
      <c r="H3" s="41" t="s">
        <v>1368</v>
      </c>
      <c r="I3" s="648" t="s">
        <v>1369</v>
      </c>
      <c r="J3" s="644"/>
    </row>
    <row r="4" spans="1:10" ht="15.75">
      <c r="A4" s="48">
        <v>3</v>
      </c>
      <c r="B4" s="48" t="s">
        <v>676</v>
      </c>
      <c r="C4" s="48" t="s">
        <v>677</v>
      </c>
      <c r="D4" s="504" t="s">
        <v>678</v>
      </c>
      <c r="E4" s="48">
        <v>6978163340</v>
      </c>
      <c r="F4" s="645" t="s">
        <v>1371</v>
      </c>
      <c r="G4" s="647" t="s">
        <v>1367</v>
      </c>
      <c r="H4" s="41" t="s">
        <v>1368</v>
      </c>
      <c r="I4" s="648" t="s">
        <v>1369</v>
      </c>
      <c r="J4" s="644" t="s">
        <v>1372</v>
      </c>
    </row>
    <row r="5" spans="1:10" ht="15.75">
      <c r="A5" s="48">
        <v>4</v>
      </c>
      <c r="B5" s="48" t="s">
        <v>680</v>
      </c>
      <c r="C5" s="48" t="s">
        <v>681</v>
      </c>
      <c r="D5" s="504" t="s">
        <v>682</v>
      </c>
      <c r="E5" s="48">
        <v>6986184307</v>
      </c>
      <c r="F5" s="645" t="s">
        <v>1373</v>
      </c>
      <c r="G5" s="647" t="s">
        <v>1367</v>
      </c>
      <c r="H5" s="41" t="s">
        <v>1368</v>
      </c>
      <c r="I5" s="648" t="s">
        <v>1369</v>
      </c>
      <c r="J5" s="644"/>
    </row>
    <row r="6" spans="1:10" ht="15.75">
      <c r="A6" s="48">
        <v>5</v>
      </c>
      <c r="B6" s="48" t="s">
        <v>683</v>
      </c>
      <c r="C6" s="48" t="s">
        <v>684</v>
      </c>
      <c r="D6" s="504" t="s">
        <v>685</v>
      </c>
      <c r="E6" s="48">
        <v>6943696191</v>
      </c>
      <c r="F6" s="645" t="s">
        <v>1374</v>
      </c>
      <c r="G6" s="647" t="s">
        <v>1367</v>
      </c>
      <c r="H6" s="41" t="s">
        <v>1368</v>
      </c>
      <c r="I6" s="648" t="s">
        <v>1369</v>
      </c>
      <c r="J6" s="644"/>
    </row>
    <row r="7" spans="1:10" ht="15.75">
      <c r="A7" s="48">
        <v>6</v>
      </c>
      <c r="B7" s="48" t="s">
        <v>635</v>
      </c>
      <c r="C7" s="48" t="s">
        <v>636</v>
      </c>
      <c r="D7" s="504" t="s">
        <v>637</v>
      </c>
      <c r="E7" s="48">
        <v>6973585676</v>
      </c>
      <c r="F7" s="645" t="s">
        <v>1375</v>
      </c>
      <c r="G7" s="647" t="s">
        <v>1367</v>
      </c>
      <c r="H7" s="41" t="s">
        <v>1368</v>
      </c>
      <c r="I7" s="648" t="s">
        <v>1369</v>
      </c>
      <c r="J7" s="644"/>
    </row>
    <row r="8" spans="1:10" ht="15.75">
      <c r="A8" s="48">
        <v>7</v>
      </c>
      <c r="B8" s="48" t="s">
        <v>544</v>
      </c>
      <c r="C8" s="48" t="s">
        <v>584</v>
      </c>
      <c r="D8" s="460" t="s">
        <v>585</v>
      </c>
      <c r="E8" s="48">
        <v>6955641311</v>
      </c>
      <c r="F8" s="645" t="s">
        <v>1376</v>
      </c>
      <c r="G8" s="647" t="s">
        <v>1367</v>
      </c>
      <c r="H8" s="48" t="s">
        <v>1368</v>
      </c>
      <c r="I8" s="649" t="s">
        <v>1369</v>
      </c>
      <c r="J8" s="646"/>
    </row>
    <row r="11" spans="1:10">
      <c r="B11" t="s">
        <v>1377</v>
      </c>
      <c r="E11" s="1219" t="s">
        <v>1381</v>
      </c>
      <c r="F11" s="1219"/>
      <c r="G11" s="1219"/>
    </row>
    <row r="12" spans="1:10">
      <c r="C12" t="s">
        <v>1375</v>
      </c>
      <c r="D12" t="s">
        <v>1378</v>
      </c>
      <c r="E12" s="1219"/>
      <c r="F12" s="1219"/>
      <c r="G12" s="1219"/>
    </row>
    <row r="13" spans="1:10">
      <c r="C13" t="s">
        <v>1379</v>
      </c>
      <c r="D13" t="s">
        <v>1378</v>
      </c>
      <c r="E13" s="1219"/>
      <c r="F13" s="1219"/>
      <c r="G13" s="1219"/>
    </row>
    <row r="14" spans="1:10">
      <c r="C14" t="s">
        <v>1380</v>
      </c>
      <c r="D14" t="s">
        <v>1378</v>
      </c>
      <c r="E14" s="1219"/>
      <c r="F14" s="1219"/>
      <c r="G14" s="1219"/>
    </row>
    <row r="15" spans="1:10" ht="15" customHeight="1">
      <c r="E15" s="1218" t="s">
        <v>3580</v>
      </c>
      <c r="F15" s="1218"/>
      <c r="G15" s="1218"/>
    </row>
    <row r="16" spans="1:10">
      <c r="E16" s="1218"/>
      <c r="F16" s="1218"/>
      <c r="G16" s="1218"/>
    </row>
    <row r="17" spans="1:7">
      <c r="E17" s="1218"/>
      <c r="F17" s="1218"/>
      <c r="G17" s="1218"/>
    </row>
    <row r="18" spans="1:7">
      <c r="E18" s="1218"/>
      <c r="F18" s="1218"/>
      <c r="G18" s="1218"/>
    </row>
    <row r="19" spans="1:7">
      <c r="E19" s="1218"/>
      <c r="F19" s="1218"/>
      <c r="G19" s="1218"/>
    </row>
    <row r="20" spans="1:7" ht="30">
      <c r="A20" s="334" t="s">
        <v>1382</v>
      </c>
      <c r="B20" s="186">
        <v>9621822</v>
      </c>
      <c r="C20" s="81"/>
      <c r="E20" s="1218"/>
      <c r="F20" s="1218"/>
      <c r="G20" s="1218"/>
    </row>
    <row r="21" spans="1:7" ht="34.5" customHeight="1">
      <c r="A21" s="334" t="s">
        <v>1383</v>
      </c>
      <c r="B21" s="186">
        <v>8508508011</v>
      </c>
    </row>
    <row r="22" spans="1:7" ht="45">
      <c r="A22" s="334" t="s">
        <v>1384</v>
      </c>
      <c r="B22" s="186">
        <v>6943293178</v>
      </c>
    </row>
  </sheetData>
  <mergeCells count="2">
    <mergeCell ref="E15:G20"/>
    <mergeCell ref="E11:G14"/>
  </mergeCells>
  <hyperlinks>
    <hyperlink ref="D2" r:id="rId1" xr:uid="{989DE88E-784E-4A53-A6DB-B96ADAE8B0EB}"/>
    <hyperlink ref="D3" r:id="rId2" xr:uid="{46B20A1B-9834-43B0-9499-B825210685C0}"/>
    <hyperlink ref="D4" r:id="rId3" xr:uid="{9CA5A7D1-7F8D-41D2-8657-7737E5A5C6AE}"/>
    <hyperlink ref="D5" r:id="rId4" xr:uid="{2FD98618-6D96-444F-A45D-8F4D1DFF86C0}"/>
    <hyperlink ref="D6" r:id="rId5" xr:uid="{FA309BE4-FC8A-41E3-94A5-724B72984C72}"/>
    <hyperlink ref="D7" r:id="rId6" xr:uid="{47E4A0B7-2A23-444E-8681-4CA60B9FA0A8}"/>
    <hyperlink ref="D8" r:id="rId7" xr:uid="{6621DDBD-91CA-4FBB-A2A4-A332E67666E5}"/>
    <hyperlink ref="I2" r:id="rId8" display="https://www.training.sellingplatformconnect.amadeus.com/login/?event=LOGIN_LOGOUT&amp;OCTX=SKL" xr:uid="{A326B54B-912D-416A-B95C-2C5B7D20431E}"/>
    <hyperlink ref="I3" r:id="rId9" display="https://www.training.sellingplatformconnect.amadeus.com/login/?event=LOGIN_LOGOUT&amp;OCTX=SKL" xr:uid="{ECE2E3C7-5482-445D-BFE3-E9E08591D0A6}"/>
    <hyperlink ref="I4" r:id="rId10" display="https://www.training.sellingplatformconnect.amadeus.com/login/?event=LOGIN_LOGOUT&amp;OCTX=SKL" xr:uid="{7260C8B6-195C-4198-B1C1-AAE76A1A0BF0}"/>
    <hyperlink ref="I6" r:id="rId11" display="https://www.training.sellingplatformconnect.amadeus.com/login/?event=LOGIN_LOGOUT&amp;OCTX=SKL" xr:uid="{0DD2B959-5481-4A55-8E20-3684F91172B5}"/>
    <hyperlink ref="I5" r:id="rId12" display="https://www.training.sellingplatformconnect.amadeus.com/login/?event=LOGIN_LOGOUT&amp;OCTX=SKL" xr:uid="{723190FC-9CDE-4BA9-A903-BE0E0F6AE712}"/>
    <hyperlink ref="I7" r:id="rId13" display="https://www.training.sellingplatformconnect.amadeus.com/login/?event=LOGIN_LOGOUT&amp;OCTX=SKL" xr:uid="{F73FE90D-DE9B-4E9D-A8D5-372FDFC0F177}"/>
    <hyperlink ref="I8" r:id="rId14" display="https://www.training.sellingplatformconnect.amadeus.com/login/?event=LOGIN_LOGOUT&amp;OCTX=SKL" xr:uid="{52B27709-9845-428A-9249-303A584DDF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10B1-AF76-48A2-8362-200596FC8351}">
  <sheetPr>
    <tabColor rgb="FFFF0066"/>
  </sheetPr>
  <dimension ref="A1:R89"/>
  <sheetViews>
    <sheetView topLeftCell="A42" zoomScale="115" zoomScaleNormal="115" workbookViewId="0">
      <selection activeCell="A42" sqref="A42:C42"/>
    </sheetView>
  </sheetViews>
  <sheetFormatPr defaultRowHeight="15"/>
  <cols>
    <col min="1" max="1" width="41.28515625" bestFit="1" customWidth="1"/>
    <col min="2" max="2" width="43.28515625" bestFit="1" customWidth="1"/>
    <col min="3" max="3" width="45.85546875" bestFit="1" customWidth="1"/>
    <col min="4" max="4" width="25.42578125" customWidth="1"/>
    <col min="5" max="5" width="16.5703125" customWidth="1"/>
    <col min="7" max="7" width="11" bestFit="1" customWidth="1"/>
    <col min="8" max="8" width="26.7109375" customWidth="1"/>
    <col min="16" max="16" width="28" customWidth="1"/>
    <col min="17" max="17" width="13" customWidth="1"/>
  </cols>
  <sheetData>
    <row r="1" spans="1:18">
      <c r="A1" s="1225" t="s">
        <v>1385</v>
      </c>
      <c r="B1" s="1226"/>
      <c r="C1" s="1226"/>
      <c r="D1" s="1226"/>
      <c r="E1" s="1226"/>
      <c r="F1" s="1226"/>
      <c r="G1" s="1226"/>
      <c r="H1" s="1226"/>
      <c r="I1" s="1226"/>
      <c r="J1" s="1226"/>
      <c r="K1" s="1226"/>
      <c r="L1" s="1226"/>
      <c r="M1" s="1226"/>
      <c r="N1" s="1227"/>
      <c r="P1" t="s">
        <v>1386</v>
      </c>
      <c r="Q1">
        <v>6936517621</v>
      </c>
      <c r="R1" t="s">
        <v>1387</v>
      </c>
    </row>
    <row r="2" spans="1:18">
      <c r="A2" s="1224" t="s">
        <v>1388</v>
      </c>
      <c r="B2" s="1161"/>
      <c r="C2" s="1161"/>
      <c r="D2" s="1161" t="s">
        <v>1389</v>
      </c>
      <c r="E2" s="1161"/>
      <c r="F2" s="1161"/>
      <c r="G2" s="1161">
        <v>6944302760</v>
      </c>
      <c r="H2" s="1161"/>
      <c r="I2" s="1161"/>
      <c r="J2" s="1161" t="s">
        <v>1390</v>
      </c>
      <c r="K2" s="1161"/>
      <c r="L2" s="1161"/>
      <c r="M2" s="1161"/>
      <c r="N2" s="1229"/>
      <c r="P2" t="s">
        <v>1391</v>
      </c>
      <c r="Q2" t="s">
        <v>1392</v>
      </c>
      <c r="R2" t="s">
        <v>1393</v>
      </c>
    </row>
    <row r="3" spans="1:18">
      <c r="A3" s="1224" t="s">
        <v>1394</v>
      </c>
      <c r="B3" s="1161"/>
      <c r="C3" s="1161"/>
      <c r="D3" s="1161" t="s">
        <v>1395</v>
      </c>
      <c r="E3" s="1161"/>
      <c r="F3" s="1161"/>
      <c r="G3" s="1161">
        <v>6936984292</v>
      </c>
      <c r="H3" s="1161"/>
      <c r="I3" s="1161"/>
      <c r="J3" s="1228" t="s">
        <v>1396</v>
      </c>
      <c r="K3" s="1161"/>
      <c r="L3" s="1161"/>
      <c r="M3" s="1161"/>
      <c r="N3" s="1229"/>
    </row>
    <row r="4" spans="1:18">
      <c r="A4" s="1224" t="s">
        <v>1397</v>
      </c>
      <c r="B4" s="1161"/>
      <c r="C4" s="1161"/>
      <c r="D4" s="1161" t="s">
        <v>1398</v>
      </c>
      <c r="E4" s="1161"/>
      <c r="F4" s="1161"/>
      <c r="G4" s="1161">
        <v>6943852500</v>
      </c>
      <c r="H4" s="1161"/>
      <c r="I4" s="1161"/>
      <c r="J4" s="1228" t="s">
        <v>1399</v>
      </c>
      <c r="K4" s="1161"/>
      <c r="L4" s="1161"/>
      <c r="M4" s="1161"/>
      <c r="N4" s="1229"/>
    </row>
    <row r="5" spans="1:18">
      <c r="A5" s="1224" t="s">
        <v>1400</v>
      </c>
      <c r="B5" s="1161"/>
      <c r="C5" s="1161"/>
      <c r="D5" s="1161" t="s">
        <v>1401</v>
      </c>
      <c r="E5" s="1161"/>
      <c r="F5" s="1161"/>
      <c r="G5" s="1161">
        <v>6973384016</v>
      </c>
      <c r="H5" s="1161"/>
      <c r="I5" s="1161"/>
      <c r="J5" s="1228" t="s">
        <v>1402</v>
      </c>
      <c r="K5" s="1161"/>
      <c r="L5" s="1161"/>
      <c r="M5" s="1161"/>
      <c r="N5" s="1229"/>
    </row>
    <row r="6" spans="1:18">
      <c r="A6" s="1224" t="s">
        <v>1403</v>
      </c>
      <c r="B6" s="1161"/>
      <c r="C6" s="1161"/>
      <c r="D6" s="1161" t="s">
        <v>1404</v>
      </c>
      <c r="E6" s="1161"/>
      <c r="F6" s="1161"/>
      <c r="G6" s="1161">
        <v>6988242650</v>
      </c>
      <c r="H6" s="1161"/>
      <c r="I6" s="1161"/>
      <c r="J6" s="1228" t="s">
        <v>1405</v>
      </c>
      <c r="K6" s="1161"/>
      <c r="L6" s="1161"/>
      <c r="M6" s="1161"/>
      <c r="N6" s="1229"/>
    </row>
    <row r="7" spans="1:18" ht="15.75" thickBot="1">
      <c r="A7" s="1233" t="s">
        <v>1403</v>
      </c>
      <c r="B7" s="1230"/>
      <c r="C7" s="1230"/>
      <c r="D7" s="1230" t="s">
        <v>1406</v>
      </c>
      <c r="E7" s="1230"/>
      <c r="F7" s="1230"/>
      <c r="G7" s="1230">
        <v>6974062556</v>
      </c>
      <c r="H7" s="1230"/>
      <c r="I7" s="1230"/>
      <c r="J7" s="1231" t="s">
        <v>1407</v>
      </c>
      <c r="K7" s="1230"/>
      <c r="L7" s="1230"/>
      <c r="M7" s="1230"/>
      <c r="N7" s="1232"/>
    </row>
    <row r="11" spans="1:18">
      <c r="A11" s="1236" t="s">
        <v>1408</v>
      </c>
      <c r="B11" s="1236"/>
      <c r="C11" s="1236"/>
      <c r="D11" s="1236"/>
      <c r="E11" s="1236"/>
      <c r="F11" s="1236"/>
      <c r="G11" s="1236"/>
      <c r="H11" s="1236"/>
    </row>
    <row r="12" spans="1:18">
      <c r="A12" s="1235" t="s">
        <v>781</v>
      </c>
      <c r="B12" s="1235"/>
      <c r="C12" s="1235"/>
      <c r="D12" s="1235" t="s">
        <v>258</v>
      </c>
      <c r="E12" s="1235"/>
      <c r="F12" s="1235" t="s">
        <v>1409</v>
      </c>
      <c r="G12" s="1235"/>
      <c r="H12" s="1235"/>
    </row>
    <row r="13" spans="1:18">
      <c r="A13" s="1220" t="s">
        <v>1410</v>
      </c>
      <c r="B13" s="1220"/>
      <c r="C13" s="1220"/>
      <c r="D13" s="1220">
        <v>6945325959</v>
      </c>
      <c r="E13" s="1220"/>
      <c r="F13" s="1220" t="s">
        <v>1411</v>
      </c>
      <c r="G13" s="1220"/>
      <c r="H13" s="1220"/>
    </row>
    <row r="14" spans="1:18">
      <c r="A14" s="1221" t="s">
        <v>1412</v>
      </c>
      <c r="B14" s="1221"/>
      <c r="C14" s="1221"/>
      <c r="D14" s="1221">
        <v>2894041090</v>
      </c>
      <c r="E14" s="1221"/>
      <c r="F14" s="1221" t="s">
        <v>1413</v>
      </c>
      <c r="G14" s="1221"/>
      <c r="H14" s="1221"/>
    </row>
    <row r="15" spans="1:18">
      <c r="A15" s="1220" t="s">
        <v>1414</v>
      </c>
      <c r="B15" s="1220"/>
      <c r="C15" s="1220"/>
      <c r="D15" s="1220">
        <v>6977465232</v>
      </c>
      <c r="E15" s="1220"/>
      <c r="F15" s="1220" t="s">
        <v>1415</v>
      </c>
      <c r="G15" s="1220"/>
      <c r="H15" s="1220"/>
      <c r="I15" t="s">
        <v>1416</v>
      </c>
    </row>
    <row r="16" spans="1:18">
      <c r="A16" s="1221" t="s">
        <v>1417</v>
      </c>
      <c r="B16" s="1221"/>
      <c r="C16" s="1221"/>
      <c r="D16" s="1221">
        <v>6974113818</v>
      </c>
      <c r="E16" s="1221"/>
      <c r="F16" s="1221" t="s">
        <v>1418</v>
      </c>
      <c r="G16" s="1221"/>
      <c r="H16" s="1221"/>
    </row>
    <row r="17" spans="1:9">
      <c r="A17" s="1220" t="s">
        <v>1419</v>
      </c>
      <c r="B17" s="1220"/>
      <c r="C17" s="1220"/>
      <c r="D17" s="1220">
        <v>6976605327</v>
      </c>
      <c r="E17" s="1220"/>
      <c r="F17" s="1220" t="s">
        <v>1420</v>
      </c>
      <c r="G17" s="1220"/>
      <c r="H17" s="1220"/>
      <c r="I17" t="s">
        <v>1421</v>
      </c>
    </row>
    <row r="18" spans="1:9">
      <c r="A18" s="1221" t="s">
        <v>1422</v>
      </c>
      <c r="B18" s="1221"/>
      <c r="C18" s="1221"/>
      <c r="D18" s="1221">
        <v>6945657115</v>
      </c>
      <c r="E18" s="1221"/>
      <c r="F18" s="1221" t="s">
        <v>1423</v>
      </c>
      <c r="G18" s="1221"/>
      <c r="H18" s="1221"/>
    </row>
    <row r="19" spans="1:9">
      <c r="A19" s="1221" t="s">
        <v>1424</v>
      </c>
      <c r="B19" s="1221"/>
      <c r="C19" s="1221"/>
      <c r="D19" s="1221">
        <v>6978895121</v>
      </c>
      <c r="E19" s="1221"/>
      <c r="F19" s="1221" t="s">
        <v>1425</v>
      </c>
      <c r="G19" s="1221"/>
      <c r="H19" s="1221"/>
    </row>
    <row r="20" spans="1:9">
      <c r="A20" s="1221" t="s">
        <v>1426</v>
      </c>
      <c r="B20" s="1221"/>
      <c r="C20" s="1221"/>
      <c r="D20" s="1221" t="s">
        <v>1427</v>
      </c>
      <c r="E20" s="1221"/>
      <c r="F20" s="1221" t="s">
        <v>1428</v>
      </c>
      <c r="G20" s="1221"/>
      <c r="H20" s="1221"/>
    </row>
    <row r="21" spans="1:9">
      <c r="A21" s="1221" t="s">
        <v>1429</v>
      </c>
      <c r="B21" s="1221"/>
      <c r="C21" s="1221"/>
      <c r="D21" s="1221">
        <v>6977611219</v>
      </c>
      <c r="E21" s="1221"/>
      <c r="F21" s="1221" t="s">
        <v>1430</v>
      </c>
      <c r="G21" s="1221"/>
      <c r="H21" s="1221"/>
    </row>
    <row r="22" spans="1:9">
      <c r="A22" s="1221" t="s">
        <v>1432</v>
      </c>
      <c r="B22" s="1221"/>
      <c r="C22" s="1221"/>
      <c r="D22" s="1221">
        <v>6936740074</v>
      </c>
      <c r="E22" s="1221"/>
      <c r="F22" s="1221" t="s">
        <v>1430</v>
      </c>
      <c r="G22" s="1221"/>
      <c r="H22" s="1221"/>
    </row>
    <row r="23" spans="1:9">
      <c r="A23" s="1221" t="s">
        <v>1433</v>
      </c>
      <c r="B23" s="1221"/>
      <c r="C23" s="1221"/>
      <c r="D23" s="1221">
        <v>6977392564</v>
      </c>
      <c r="E23" s="1221"/>
      <c r="F23" s="1221" t="s">
        <v>1434</v>
      </c>
      <c r="G23" s="1221"/>
      <c r="H23" s="1221"/>
    </row>
    <row r="24" spans="1:9">
      <c r="A24" s="1221" t="s">
        <v>1435</v>
      </c>
      <c r="B24" s="1221"/>
      <c r="C24" s="1221"/>
      <c r="D24" s="1221">
        <v>6944567262</v>
      </c>
      <c r="E24" s="1221"/>
      <c r="F24" s="1221" t="s">
        <v>1436</v>
      </c>
      <c r="G24" s="1221"/>
      <c r="H24" s="1221"/>
    </row>
    <row r="25" spans="1:9">
      <c r="A25" s="1221" t="s">
        <v>1437</v>
      </c>
      <c r="B25" s="1221"/>
      <c r="C25" s="1221"/>
      <c r="D25" s="1221">
        <v>6944728168</v>
      </c>
      <c r="E25" s="1221"/>
      <c r="F25" s="1221" t="s">
        <v>1438</v>
      </c>
      <c r="G25" s="1221"/>
      <c r="H25" s="1221"/>
    </row>
    <row r="26" spans="1:9">
      <c r="A26" s="1220" t="s">
        <v>1439</v>
      </c>
      <c r="B26" s="1220"/>
      <c r="C26" s="1220"/>
      <c r="D26" s="1220">
        <v>6947916445</v>
      </c>
      <c r="E26" s="1220"/>
      <c r="F26" s="1220" t="s">
        <v>1440</v>
      </c>
      <c r="G26" s="1220"/>
      <c r="H26" s="1220"/>
    </row>
    <row r="27" spans="1:9">
      <c r="A27" s="1220" t="s">
        <v>1441</v>
      </c>
      <c r="B27" s="1220"/>
      <c r="C27" s="1220"/>
      <c r="D27" s="1220">
        <v>6946786858</v>
      </c>
      <c r="E27" s="1220"/>
      <c r="F27" s="1220" t="s">
        <v>1442</v>
      </c>
      <c r="G27" s="1220"/>
      <c r="H27" s="1220"/>
      <c r="I27" t="s">
        <v>1443</v>
      </c>
    </row>
    <row r="28" spans="1:9">
      <c r="A28" s="1220" t="s">
        <v>1444</v>
      </c>
      <c r="B28" s="1220"/>
      <c r="C28" s="1220"/>
      <c r="D28" s="1220" t="s">
        <v>1445</v>
      </c>
      <c r="E28" s="1220"/>
      <c r="F28" s="1220" t="s">
        <v>1446</v>
      </c>
      <c r="G28" s="1220"/>
      <c r="H28" s="1220"/>
    </row>
    <row r="29" spans="1:9">
      <c r="A29" s="1221" t="s">
        <v>1447</v>
      </c>
      <c r="B29" s="1221"/>
      <c r="C29" s="1221"/>
      <c r="D29" s="1221">
        <v>6973474468</v>
      </c>
      <c r="E29" s="1221"/>
      <c r="F29" s="1221" t="s">
        <v>1448</v>
      </c>
      <c r="G29" s="1221"/>
      <c r="H29" s="1221"/>
    </row>
    <row r="30" spans="1:9">
      <c r="A30" s="1221" t="s">
        <v>1449</v>
      </c>
      <c r="B30" s="1221"/>
      <c r="C30" s="1221"/>
      <c r="D30" s="1221">
        <v>6948003041</v>
      </c>
      <c r="E30" s="1221"/>
      <c r="F30" s="1221" t="s">
        <v>1450</v>
      </c>
      <c r="G30" s="1221"/>
      <c r="H30" s="1221"/>
    </row>
    <row r="31" spans="1:9">
      <c r="A31" s="1221" t="s">
        <v>1451</v>
      </c>
      <c r="B31" s="1221"/>
      <c r="C31" s="1221"/>
      <c r="D31" s="1221">
        <v>6946796673</v>
      </c>
      <c r="E31" s="1221"/>
      <c r="F31" s="1221" t="s">
        <v>1420</v>
      </c>
      <c r="G31" s="1221"/>
      <c r="H31" s="1221"/>
    </row>
    <row r="32" spans="1:9">
      <c r="A32" s="1221" t="s">
        <v>1452</v>
      </c>
      <c r="B32" s="1221"/>
      <c r="C32" s="1221"/>
      <c r="D32" s="1221">
        <v>6932520692</v>
      </c>
      <c r="E32" s="1221"/>
      <c r="F32" s="1221" t="s">
        <v>1453</v>
      </c>
      <c r="G32" s="1221"/>
      <c r="H32" s="1221"/>
    </row>
    <row r="33" spans="1:8">
      <c r="A33" s="1220" t="s">
        <v>1454</v>
      </c>
      <c r="B33" s="1220"/>
      <c r="C33" s="1220"/>
      <c r="D33" s="1220">
        <v>6932989892</v>
      </c>
      <c r="E33" s="1220"/>
      <c r="F33" s="1220" t="s">
        <v>1455</v>
      </c>
      <c r="G33" s="1220"/>
      <c r="H33" s="1220"/>
    </row>
    <row r="34" spans="1:8">
      <c r="A34" s="1220" t="s">
        <v>1456</v>
      </c>
      <c r="B34" s="1220"/>
      <c r="C34" s="1220"/>
      <c r="D34" s="1220">
        <v>6977807144</v>
      </c>
      <c r="E34" s="1220"/>
      <c r="F34" s="1220" t="s">
        <v>1457</v>
      </c>
      <c r="G34" s="1220"/>
      <c r="H34" s="1220"/>
    </row>
    <row r="35" spans="1:8">
      <c r="A35" s="1221" t="s">
        <v>1458</v>
      </c>
      <c r="B35" s="1221"/>
      <c r="C35" s="1221"/>
      <c r="D35" s="1221">
        <v>6945462487</v>
      </c>
      <c r="E35" s="1221"/>
      <c r="F35" s="1221" t="s">
        <v>1459</v>
      </c>
      <c r="G35" s="1221"/>
      <c r="H35" s="1221"/>
    </row>
    <row r="36" spans="1:8">
      <c r="A36" s="1223" t="s">
        <v>1460</v>
      </c>
      <c r="B36" s="1223"/>
      <c r="C36" s="1223"/>
      <c r="D36" s="1220">
        <v>6946352918</v>
      </c>
      <c r="E36" s="1220"/>
      <c r="F36" s="1220" t="s">
        <v>1461</v>
      </c>
      <c r="G36" s="1220"/>
      <c r="H36" s="1220"/>
    </row>
    <row r="37" spans="1:8">
      <c r="A37" s="1220" t="s">
        <v>1462</v>
      </c>
      <c r="B37" s="1220"/>
      <c r="C37" s="1220"/>
      <c r="D37" s="1220">
        <v>6984498833</v>
      </c>
      <c r="E37" s="1220"/>
      <c r="F37" s="1220" t="s">
        <v>1461</v>
      </c>
      <c r="G37" s="1220"/>
      <c r="H37" s="1220"/>
    </row>
    <row r="38" spans="1:8">
      <c r="A38" s="1221" t="s">
        <v>1463</v>
      </c>
      <c r="B38" s="1221"/>
      <c r="C38" s="1221"/>
      <c r="D38" s="1221">
        <v>6948004343</v>
      </c>
      <c r="E38" s="1221"/>
      <c r="F38" s="1221" t="s">
        <v>1464</v>
      </c>
      <c r="G38" s="1221"/>
      <c r="H38" s="1221"/>
    </row>
    <row r="39" spans="1:8">
      <c r="A39" s="1221" t="s">
        <v>1465</v>
      </c>
      <c r="B39" s="1221"/>
      <c r="C39" s="1221"/>
      <c r="D39" s="1221" t="s">
        <v>1466</v>
      </c>
      <c r="E39" s="1221"/>
      <c r="F39" s="1221" t="s">
        <v>1467</v>
      </c>
      <c r="G39" s="1221"/>
      <c r="H39" s="1221"/>
    </row>
    <row r="40" spans="1:8">
      <c r="A40" s="1221" t="s">
        <v>1468</v>
      </c>
      <c r="B40" s="1221"/>
      <c r="C40" s="1221"/>
      <c r="D40" s="1221">
        <v>6947004574</v>
      </c>
      <c r="E40" s="1221"/>
      <c r="F40" s="1221" t="s">
        <v>1469</v>
      </c>
      <c r="G40" s="1221"/>
      <c r="H40" s="1221"/>
    </row>
    <row r="41" spans="1:8">
      <c r="A41" s="1221" t="s">
        <v>1470</v>
      </c>
      <c r="B41" s="1221"/>
      <c r="C41" s="1221"/>
      <c r="D41" s="1221">
        <v>6972310425</v>
      </c>
      <c r="E41" s="1221"/>
      <c r="F41" s="1221" t="s">
        <v>1471</v>
      </c>
      <c r="G41" s="1221"/>
      <c r="H41" s="1221"/>
    </row>
    <row r="42" spans="1:8" ht="42" customHeight="1">
      <c r="A42" s="1223" t="s">
        <v>1472</v>
      </c>
      <c r="B42" s="1223"/>
      <c r="C42" s="1223"/>
      <c r="D42" s="1135" t="s">
        <v>3706</v>
      </c>
      <c r="E42" s="1135"/>
      <c r="F42" s="1223" t="s">
        <v>1473</v>
      </c>
      <c r="G42" s="1223"/>
      <c r="H42" s="1223"/>
    </row>
    <row r="43" spans="1:8">
      <c r="A43" s="1221" t="s">
        <v>1474</v>
      </c>
      <c r="B43" s="1221"/>
      <c r="C43" s="1221"/>
      <c r="D43" s="1221">
        <v>6953003616</v>
      </c>
      <c r="E43" s="1221"/>
      <c r="F43" s="1221" t="s">
        <v>1475</v>
      </c>
      <c r="G43" s="1221"/>
      <c r="H43" s="1221"/>
    </row>
    <row r="44" spans="1:8">
      <c r="A44" s="1221" t="s">
        <v>1452</v>
      </c>
      <c r="B44" s="1221"/>
      <c r="C44" s="1221"/>
      <c r="D44" s="1221"/>
      <c r="E44" s="1221"/>
      <c r="F44" s="1221" t="s">
        <v>1476</v>
      </c>
      <c r="G44" s="1221"/>
      <c r="H44" s="1221"/>
    </row>
    <row r="45" spans="1:8">
      <c r="A45" s="1221" t="s">
        <v>1477</v>
      </c>
      <c r="B45" s="1221"/>
      <c r="C45" s="1221"/>
      <c r="D45" s="1221"/>
      <c r="E45" s="1221"/>
      <c r="F45" s="1221" t="s">
        <v>1478</v>
      </c>
      <c r="G45" s="1221"/>
      <c r="H45" s="1221"/>
    </row>
    <row r="46" spans="1:8">
      <c r="A46" s="1221" t="s">
        <v>1479</v>
      </c>
      <c r="B46" s="1221"/>
      <c r="C46" s="1221"/>
      <c r="D46" s="1221"/>
      <c r="E46" s="1221"/>
      <c r="F46" s="1221" t="s">
        <v>1420</v>
      </c>
      <c r="G46" s="1221"/>
      <c r="H46" s="1221"/>
    </row>
    <row r="47" spans="1:8">
      <c r="A47" s="1221" t="s">
        <v>1480</v>
      </c>
      <c r="B47" s="1221"/>
      <c r="C47" s="1221"/>
      <c r="D47" s="1222" t="s">
        <v>1481</v>
      </c>
      <c r="E47" s="1221"/>
      <c r="F47" s="1221" t="s">
        <v>1482</v>
      </c>
      <c r="G47" s="1221"/>
      <c r="H47" s="1221"/>
    </row>
    <row r="48" spans="1:8">
      <c r="A48" s="1221" t="s">
        <v>1456</v>
      </c>
      <c r="B48" s="1221"/>
      <c r="C48" s="1221"/>
      <c r="D48" s="1221">
        <v>6983515872</v>
      </c>
      <c r="E48" s="1221"/>
      <c r="F48" s="1221" t="s">
        <v>1483</v>
      </c>
      <c r="G48" s="1221"/>
      <c r="H48" s="1221"/>
    </row>
    <row r="49" spans="1:10">
      <c r="A49" s="1220" t="s">
        <v>1484</v>
      </c>
      <c r="B49" s="1220"/>
      <c r="C49" s="1220"/>
      <c r="D49" s="1220">
        <v>6974825469</v>
      </c>
      <c r="E49" s="1220"/>
      <c r="F49" s="1220" t="s">
        <v>1430</v>
      </c>
      <c r="G49" s="1220"/>
      <c r="H49" s="1220"/>
      <c r="I49" t="s">
        <v>1431</v>
      </c>
    </row>
    <row r="50" spans="1:10">
      <c r="A50" s="1220" t="s">
        <v>1485</v>
      </c>
      <c r="B50" s="1220"/>
      <c r="C50" s="1220"/>
      <c r="D50" s="1220">
        <v>2103442018</v>
      </c>
      <c r="E50" s="1220"/>
      <c r="F50" s="1220" t="s">
        <v>111</v>
      </c>
      <c r="G50" s="1220"/>
      <c r="H50" s="1220"/>
    </row>
    <row r="51" spans="1:10">
      <c r="A51" s="1220" t="s">
        <v>1486</v>
      </c>
      <c r="B51" s="1220"/>
      <c r="C51" s="1220"/>
      <c r="D51" s="1220" t="s">
        <v>1487</v>
      </c>
      <c r="E51" s="1220"/>
      <c r="F51" s="1220" t="s">
        <v>111</v>
      </c>
      <c r="G51" s="1220"/>
      <c r="H51" s="1220"/>
      <c r="I51" s="125" t="s">
        <v>1488</v>
      </c>
    </row>
    <row r="52" spans="1:10">
      <c r="A52" s="1221" t="s">
        <v>1489</v>
      </c>
      <c r="B52" s="1221"/>
      <c r="C52" s="1221"/>
      <c r="D52" s="1221">
        <v>6985016410</v>
      </c>
      <c r="E52" s="1221"/>
      <c r="F52" s="1221" t="s">
        <v>1490</v>
      </c>
      <c r="G52" s="1221"/>
      <c r="H52" s="1221"/>
    </row>
    <row r="53" spans="1:10">
      <c r="A53" s="1220" t="s">
        <v>1491</v>
      </c>
      <c r="B53" s="1220"/>
      <c r="C53" s="1220"/>
      <c r="D53" s="1220" t="s">
        <v>1492</v>
      </c>
      <c r="E53" s="1220"/>
      <c r="F53" s="1220" t="s">
        <v>1493</v>
      </c>
      <c r="G53" s="1220"/>
      <c r="H53" s="1220"/>
      <c r="I53" s="125" t="s">
        <v>1494</v>
      </c>
      <c r="J53" s="125" t="s">
        <v>1495</v>
      </c>
    </row>
    <row r="54" spans="1:10">
      <c r="A54" s="1220" t="s">
        <v>1496</v>
      </c>
      <c r="B54" s="1220"/>
      <c r="C54" s="1220"/>
      <c r="D54" s="1220" t="s">
        <v>1497</v>
      </c>
      <c r="E54" s="1220"/>
      <c r="F54" s="1220" t="s">
        <v>1498</v>
      </c>
      <c r="G54" s="1220"/>
      <c r="H54" s="1220"/>
    </row>
    <row r="55" spans="1:10">
      <c r="A55" s="1221" t="s">
        <v>1499</v>
      </c>
      <c r="B55" s="1221"/>
      <c r="C55" s="1221"/>
      <c r="D55" s="1221">
        <v>2109410114</v>
      </c>
      <c r="E55" s="1221"/>
      <c r="F55" s="1221" t="s">
        <v>1500</v>
      </c>
      <c r="G55" s="1221"/>
      <c r="H55" s="1221"/>
    </row>
    <row r="56" spans="1:10">
      <c r="A56" s="1220" t="s">
        <v>1501</v>
      </c>
      <c r="B56" s="1220"/>
      <c r="C56" s="1220"/>
      <c r="D56" s="1220">
        <v>6978995103</v>
      </c>
      <c r="E56" s="1220"/>
      <c r="F56" s="1220" t="s">
        <v>1502</v>
      </c>
      <c r="G56" s="1220"/>
      <c r="H56" s="1220"/>
    </row>
    <row r="57" spans="1:10">
      <c r="A57" s="1220" t="s">
        <v>3376</v>
      </c>
      <c r="B57" s="1220"/>
      <c r="C57" s="1220"/>
      <c r="D57" s="1223">
        <v>6943668562</v>
      </c>
      <c r="E57" s="1223"/>
      <c r="F57" s="1223" t="s">
        <v>217</v>
      </c>
      <c r="G57" s="1223"/>
      <c r="H57" s="1223"/>
    </row>
    <row r="59" spans="1:10">
      <c r="A59" s="1234" t="s">
        <v>1503</v>
      </c>
      <c r="B59" s="1234"/>
      <c r="C59" s="1234"/>
      <c r="D59" s="1234"/>
    </row>
    <row r="60" spans="1:10">
      <c r="A60" s="658" t="s">
        <v>1504</v>
      </c>
      <c r="B60" s="652" t="s">
        <v>1505</v>
      </c>
      <c r="C60" s="652" t="s">
        <v>1128</v>
      </c>
      <c r="D60" s="652" t="s">
        <v>151</v>
      </c>
    </row>
    <row r="61" spans="1:10">
      <c r="A61" s="653" t="s">
        <v>1506</v>
      </c>
      <c r="B61" s="653" t="s">
        <v>1507</v>
      </c>
      <c r="C61" s="653"/>
      <c r="D61" s="654">
        <v>2810381371</v>
      </c>
    </row>
    <row r="62" spans="1:10">
      <c r="A62" s="655" t="s">
        <v>1508</v>
      </c>
      <c r="B62" s="655" t="s">
        <v>1509</v>
      </c>
      <c r="C62" s="655"/>
      <c r="D62" s="656">
        <v>6944458051</v>
      </c>
    </row>
    <row r="63" spans="1:10">
      <c r="A63" s="653" t="s">
        <v>1510</v>
      </c>
      <c r="B63" s="653" t="s">
        <v>1511</v>
      </c>
      <c r="C63" s="648" t="s">
        <v>1512</v>
      </c>
      <c r="D63" s="654">
        <v>6948100135</v>
      </c>
    </row>
    <row r="64" spans="1:10">
      <c r="A64" s="795" t="s">
        <v>1513</v>
      </c>
      <c r="B64" s="795" t="s">
        <v>1514</v>
      </c>
      <c r="C64" s="796" t="s">
        <v>1515</v>
      </c>
      <c r="D64" s="797">
        <v>6947378738</v>
      </c>
    </row>
    <row r="65" spans="1:4">
      <c r="A65" s="854" t="s">
        <v>1516</v>
      </c>
      <c r="B65" s="854" t="s">
        <v>1517</v>
      </c>
      <c r="C65" s="854" t="s">
        <v>1518</v>
      </c>
      <c r="D65" s="856" t="s">
        <v>1519</v>
      </c>
    </row>
    <row r="66" spans="1:4">
      <c r="A66" s="655" t="s">
        <v>1520</v>
      </c>
      <c r="B66" s="655" t="s">
        <v>1521</v>
      </c>
      <c r="C66" s="657" t="s">
        <v>1522</v>
      </c>
      <c r="D66" s="656" t="s">
        <v>1523</v>
      </c>
    </row>
    <row r="67" spans="1:4">
      <c r="A67" s="653" t="s">
        <v>1524</v>
      </c>
      <c r="B67" s="653" t="s">
        <v>1525</v>
      </c>
      <c r="C67" s="653" t="s">
        <v>1526</v>
      </c>
      <c r="D67" s="654">
        <v>6948008997</v>
      </c>
    </row>
    <row r="68" spans="1:4">
      <c r="A68" s="655" t="s">
        <v>1527</v>
      </c>
      <c r="B68" s="655" t="s">
        <v>1528</v>
      </c>
      <c r="C68" s="655"/>
      <c r="D68" s="656">
        <v>6974067609</v>
      </c>
    </row>
    <row r="69" spans="1:4">
      <c r="A69" s="655" t="s">
        <v>1529</v>
      </c>
      <c r="B69" s="655" t="s">
        <v>1530</v>
      </c>
      <c r="C69" s="655"/>
      <c r="D69" s="656" t="s">
        <v>1531</v>
      </c>
    </row>
    <row r="70" spans="1:4">
      <c r="A70" s="653" t="s">
        <v>1532</v>
      </c>
      <c r="B70" s="653" t="s">
        <v>1533</v>
      </c>
      <c r="C70" s="648" t="s">
        <v>1534</v>
      </c>
      <c r="D70" s="654">
        <v>6937265582</v>
      </c>
    </row>
    <row r="71" spans="1:4">
      <c r="A71" s="655" t="s">
        <v>1535</v>
      </c>
      <c r="B71" s="655" t="s">
        <v>1536</v>
      </c>
      <c r="C71" s="657" t="s">
        <v>1537</v>
      </c>
      <c r="D71" s="656">
        <v>6930818929</v>
      </c>
    </row>
    <row r="72" spans="1:4">
      <c r="A72" s="795" t="s">
        <v>1538</v>
      </c>
      <c r="B72" s="795" t="s">
        <v>1539</v>
      </c>
      <c r="C72" s="796" t="s">
        <v>1540</v>
      </c>
      <c r="D72" s="795" t="s">
        <v>1541</v>
      </c>
    </row>
    <row r="73" spans="1:4">
      <c r="A73" s="795" t="s">
        <v>1542</v>
      </c>
      <c r="B73" s="795" t="s">
        <v>1539</v>
      </c>
      <c r="C73" s="796" t="s">
        <v>1543</v>
      </c>
      <c r="D73" s="795" t="s">
        <v>1544</v>
      </c>
    </row>
    <row r="74" spans="1:4">
      <c r="A74" s="653" t="s">
        <v>1545</v>
      </c>
      <c r="B74" s="653" t="s">
        <v>1546</v>
      </c>
      <c r="C74" s="653"/>
      <c r="D74" s="654">
        <v>6932768313</v>
      </c>
    </row>
    <row r="75" spans="1:4">
      <c r="A75" s="655" t="s">
        <v>1547</v>
      </c>
      <c r="B75" s="655" t="s">
        <v>1548</v>
      </c>
      <c r="C75" s="655"/>
      <c r="D75" s="656">
        <v>2810382013</v>
      </c>
    </row>
    <row r="76" spans="1:4">
      <c r="A76" s="653" t="s">
        <v>1549</v>
      </c>
      <c r="B76" s="653" t="s">
        <v>1550</v>
      </c>
      <c r="C76" s="653"/>
      <c r="D76" s="654">
        <v>6937220264</v>
      </c>
    </row>
    <row r="77" spans="1:4">
      <c r="A77" s="655" t="s">
        <v>1551</v>
      </c>
      <c r="B77" s="655" t="s">
        <v>1552</v>
      </c>
      <c r="C77" s="655"/>
      <c r="D77" s="656">
        <v>6978946962</v>
      </c>
    </row>
    <row r="78" spans="1:4">
      <c r="A78" s="795" t="s">
        <v>1553</v>
      </c>
      <c r="B78" s="795" t="s">
        <v>1554</v>
      </c>
      <c r="C78" s="796" t="s">
        <v>1555</v>
      </c>
      <c r="D78" s="795"/>
    </row>
    <row r="79" spans="1:4">
      <c r="A79" s="655" t="s">
        <v>1556</v>
      </c>
      <c r="B79" s="655" t="s">
        <v>1557</v>
      </c>
      <c r="C79" s="657" t="s">
        <v>1558</v>
      </c>
      <c r="D79" s="656">
        <v>2810380494</v>
      </c>
    </row>
    <row r="80" spans="1:4">
      <c r="A80" s="653" t="s">
        <v>1559</v>
      </c>
      <c r="B80" s="653" t="s">
        <v>1560</v>
      </c>
      <c r="C80" s="653"/>
      <c r="D80" s="654">
        <v>6936903496</v>
      </c>
    </row>
    <row r="81" spans="1:4">
      <c r="A81" s="854" t="s">
        <v>1561</v>
      </c>
      <c r="B81" s="854" t="s">
        <v>1539</v>
      </c>
      <c r="C81" s="855" t="s">
        <v>1562</v>
      </c>
      <c r="D81" s="854" t="s">
        <v>1563</v>
      </c>
    </row>
    <row r="82" spans="1:4">
      <c r="A82" s="795" t="s">
        <v>1564</v>
      </c>
      <c r="B82" s="795" t="s">
        <v>3325</v>
      </c>
      <c r="C82" s="796" t="s">
        <v>1565</v>
      </c>
      <c r="D82" s="797">
        <v>6936759820</v>
      </c>
    </row>
    <row r="83" spans="1:4">
      <c r="A83" s="655" t="s">
        <v>1566</v>
      </c>
      <c r="B83" s="655" t="s">
        <v>1567</v>
      </c>
      <c r="C83" s="655"/>
      <c r="D83" s="656">
        <v>6947286614</v>
      </c>
    </row>
    <row r="84" spans="1:4">
      <c r="A84" s="795" t="s">
        <v>1568</v>
      </c>
      <c r="B84" s="795" t="s">
        <v>1536</v>
      </c>
      <c r="C84" s="795"/>
      <c r="D84" s="797">
        <v>2810210426</v>
      </c>
    </row>
    <row r="85" spans="1:4">
      <c r="A85" s="655" t="s">
        <v>1569</v>
      </c>
      <c r="B85" s="655" t="s">
        <v>1570</v>
      </c>
      <c r="C85" s="655"/>
      <c r="D85" s="656">
        <v>6972096317</v>
      </c>
    </row>
    <row r="86" spans="1:4">
      <c r="A86" s="653" t="s">
        <v>1571</v>
      </c>
      <c r="B86" s="653" t="s">
        <v>1572</v>
      </c>
      <c r="C86" s="648" t="s">
        <v>1573</v>
      </c>
      <c r="D86" s="653" t="s">
        <v>1574</v>
      </c>
    </row>
    <row r="87" spans="1:4">
      <c r="A87" s="655" t="s">
        <v>1575</v>
      </c>
      <c r="B87" s="655" t="s">
        <v>1576</v>
      </c>
      <c r="C87" s="655"/>
      <c r="D87" s="656">
        <v>6973552131</v>
      </c>
    </row>
    <row r="88" spans="1:4">
      <c r="A88" s="653" t="s">
        <v>1577</v>
      </c>
      <c r="B88" s="653" t="s">
        <v>1578</v>
      </c>
      <c r="C88" s="653"/>
      <c r="D88" s="654">
        <v>6973556169</v>
      </c>
    </row>
    <row r="89" spans="1:4">
      <c r="A89" s="655" t="s">
        <v>1579</v>
      </c>
      <c r="B89" s="655" t="s">
        <v>1580</v>
      </c>
      <c r="C89" s="648" t="s">
        <v>1581</v>
      </c>
      <c r="D89" s="653" t="s">
        <v>1582</v>
      </c>
    </row>
  </sheetData>
  <autoFilter ref="A12:H57" xr:uid="{B1A110B1-AF76-48A2-8362-200596FC8351}">
    <filterColumn colId="0" showButton="0"/>
    <filterColumn colId="1" showButton="0"/>
    <filterColumn colId="3" showButton="0"/>
    <filterColumn colId="5" showButton="0"/>
    <filterColumn colId="6" showButton="0"/>
  </autoFilter>
  <mergeCells count="165">
    <mergeCell ref="F57:H57"/>
    <mergeCell ref="A57:C57"/>
    <mergeCell ref="D57:E57"/>
    <mergeCell ref="A59:D59"/>
    <mergeCell ref="A17:C17"/>
    <mergeCell ref="F15:H15"/>
    <mergeCell ref="F16:H16"/>
    <mergeCell ref="D5:F5"/>
    <mergeCell ref="A12:C12"/>
    <mergeCell ref="A13:C13"/>
    <mergeCell ref="A14:C14"/>
    <mergeCell ref="A11:H11"/>
    <mergeCell ref="A15:C15"/>
    <mergeCell ref="A16:C16"/>
    <mergeCell ref="F12:H12"/>
    <mergeCell ref="F13:H13"/>
    <mergeCell ref="F14:H14"/>
    <mergeCell ref="D12:E12"/>
    <mergeCell ref="D13:E13"/>
    <mergeCell ref="D14:E14"/>
    <mergeCell ref="D15:E15"/>
    <mergeCell ref="D16:E16"/>
    <mergeCell ref="D17:E17"/>
    <mergeCell ref="F17:H17"/>
    <mergeCell ref="A18:C18"/>
    <mergeCell ref="A19:C19"/>
    <mergeCell ref="A20:C20"/>
    <mergeCell ref="A1:N1"/>
    <mergeCell ref="G5:I5"/>
    <mergeCell ref="J5:N5"/>
    <mergeCell ref="G6:I6"/>
    <mergeCell ref="J6:N6"/>
    <mergeCell ref="A6:C6"/>
    <mergeCell ref="D6:F6"/>
    <mergeCell ref="G7:I7"/>
    <mergeCell ref="J7:N7"/>
    <mergeCell ref="G2:I2"/>
    <mergeCell ref="J2:N2"/>
    <mergeCell ref="G3:I3"/>
    <mergeCell ref="J3:N3"/>
    <mergeCell ref="G4:I4"/>
    <mergeCell ref="J4:N4"/>
    <mergeCell ref="A7:C7"/>
    <mergeCell ref="D7:F7"/>
    <mergeCell ref="A2:C2"/>
    <mergeCell ref="D2:F2"/>
    <mergeCell ref="A3:C3"/>
    <mergeCell ref="D3:F3"/>
    <mergeCell ref="A4:C4"/>
    <mergeCell ref="D4:F4"/>
    <mergeCell ref="A5:C5"/>
    <mergeCell ref="A38:C38"/>
    <mergeCell ref="A39:C39"/>
    <mergeCell ref="A40:C40"/>
    <mergeCell ref="A41:C41"/>
    <mergeCell ref="A21:C21"/>
    <mergeCell ref="A42:C42"/>
    <mergeCell ref="A32:C32"/>
    <mergeCell ref="A33:C33"/>
    <mergeCell ref="A34:C34"/>
    <mergeCell ref="A35:C35"/>
    <mergeCell ref="A37:C37"/>
    <mergeCell ref="A27:C27"/>
    <mergeCell ref="A28:C28"/>
    <mergeCell ref="A29:C29"/>
    <mergeCell ref="A30:C30"/>
    <mergeCell ref="A31:C31"/>
    <mergeCell ref="A25:C25"/>
    <mergeCell ref="A26:C26"/>
    <mergeCell ref="A22:C22"/>
    <mergeCell ref="A23:C23"/>
    <mergeCell ref="A24:C24"/>
    <mergeCell ref="A36:C36"/>
    <mergeCell ref="D18:E18"/>
    <mergeCell ref="D19:E19"/>
    <mergeCell ref="D20:E20"/>
    <mergeCell ref="D41:E41"/>
    <mergeCell ref="D42:E42"/>
    <mergeCell ref="D35:E35"/>
    <mergeCell ref="F29:H29"/>
    <mergeCell ref="D46:E46"/>
    <mergeCell ref="D39:E39"/>
    <mergeCell ref="D40:E40"/>
    <mergeCell ref="D36:E36"/>
    <mergeCell ref="F38:H38"/>
    <mergeCell ref="F39:H39"/>
    <mergeCell ref="F40:H40"/>
    <mergeCell ref="F41:H41"/>
    <mergeCell ref="F42:H42"/>
    <mergeCell ref="F32:H32"/>
    <mergeCell ref="F33:H33"/>
    <mergeCell ref="F34:H34"/>
    <mergeCell ref="F35:H35"/>
    <mergeCell ref="F36:H36"/>
    <mergeCell ref="D25:E25"/>
    <mergeCell ref="D26:E26"/>
    <mergeCell ref="D47:E47"/>
    <mergeCell ref="F18:H18"/>
    <mergeCell ref="F19:H19"/>
    <mergeCell ref="F20:H20"/>
    <mergeCell ref="F21:H21"/>
    <mergeCell ref="F24:H24"/>
    <mergeCell ref="F22:H22"/>
    <mergeCell ref="F23:H23"/>
    <mergeCell ref="D21:E21"/>
    <mergeCell ref="D22:E22"/>
    <mergeCell ref="D23:E23"/>
    <mergeCell ref="D24:E24"/>
    <mergeCell ref="F37:H37"/>
    <mergeCell ref="F44:H44"/>
    <mergeCell ref="F45:H45"/>
    <mergeCell ref="F46:H46"/>
    <mergeCell ref="D32:E32"/>
    <mergeCell ref="D33:E33"/>
    <mergeCell ref="D34:E34"/>
    <mergeCell ref="D43:E43"/>
    <mergeCell ref="D44:E44"/>
    <mergeCell ref="D45:E45"/>
    <mergeCell ref="D37:E37"/>
    <mergeCell ref="D38:E38"/>
    <mergeCell ref="D27:E27"/>
    <mergeCell ref="D28:E28"/>
    <mergeCell ref="D29:E29"/>
    <mergeCell ref="F30:H30"/>
    <mergeCell ref="F31:H31"/>
    <mergeCell ref="F27:H27"/>
    <mergeCell ref="F28:H28"/>
    <mergeCell ref="F25:H25"/>
    <mergeCell ref="F26:H26"/>
    <mergeCell ref="D30:E30"/>
    <mergeCell ref="D31:E31"/>
    <mergeCell ref="F55:H55"/>
    <mergeCell ref="D53:E53"/>
    <mergeCell ref="A53:C53"/>
    <mergeCell ref="F53:H53"/>
    <mergeCell ref="A52:C52"/>
    <mergeCell ref="D52:E52"/>
    <mergeCell ref="F52:H52"/>
    <mergeCell ref="A54:C54"/>
    <mergeCell ref="D54:E54"/>
    <mergeCell ref="F54:H54"/>
    <mergeCell ref="A56:C56"/>
    <mergeCell ref="D56:E56"/>
    <mergeCell ref="F56:H56"/>
    <mergeCell ref="F43:H43"/>
    <mergeCell ref="F47:H47"/>
    <mergeCell ref="D50:E50"/>
    <mergeCell ref="A50:C50"/>
    <mergeCell ref="F50:H50"/>
    <mergeCell ref="A48:C48"/>
    <mergeCell ref="A49:C49"/>
    <mergeCell ref="A51:C51"/>
    <mergeCell ref="D51:E51"/>
    <mergeCell ref="F51:H51"/>
    <mergeCell ref="F48:H48"/>
    <mergeCell ref="F49:H49"/>
    <mergeCell ref="D48:E48"/>
    <mergeCell ref="D49:E49"/>
    <mergeCell ref="A43:C43"/>
    <mergeCell ref="A44:C44"/>
    <mergeCell ref="A45:C45"/>
    <mergeCell ref="A46:C46"/>
    <mergeCell ref="A47:C47"/>
    <mergeCell ref="A55:C55"/>
    <mergeCell ref="D55:E55"/>
  </mergeCells>
  <hyperlinks>
    <hyperlink ref="J3" r:id="rId1" xr:uid="{783B5E54-51BB-4722-AF2C-50278224B1D0}"/>
    <hyperlink ref="J4" r:id="rId2" xr:uid="{933E8F89-C56B-4E11-A52A-7F83B0911BCD}"/>
    <hyperlink ref="J5" r:id="rId3" xr:uid="{16FAC9E6-328C-47C7-8637-B899716AE1D4}"/>
    <hyperlink ref="J6" r:id="rId4" xr:uid="{9B134DC8-B8D5-4128-9478-AC410990B28C}"/>
    <hyperlink ref="J7" r:id="rId5" xr:uid="{F3E95D1C-202D-4172-B9B7-F5DF9F69763C}"/>
    <hyperlink ref="D47" r:id="rId6" xr:uid="{2DA080E4-6248-4313-BACC-F9774C718708}"/>
    <hyperlink ref="I51" r:id="rId7" xr:uid="{738D27B9-B02D-4D5A-9BC8-EA2AF9A25F3E}"/>
    <hyperlink ref="I53" r:id="rId8" xr:uid="{2311800C-CDF6-4DB1-8005-E4B339184748}"/>
    <hyperlink ref="J53" r:id="rId9" xr:uid="{D7F8B0F8-8CCE-47EE-9D1B-10E0496E5348}"/>
    <hyperlink ref="C72" r:id="rId10" xr:uid="{9B8CB565-50BE-4D7E-9311-1CBB7B262524}"/>
    <hyperlink ref="C86" r:id="rId11" xr:uid="{3D86C831-A8B4-47A9-950C-0B1ED135C1B8}"/>
    <hyperlink ref="C73" r:id="rId12" xr:uid="{93BC639C-D937-47D1-A738-78CD3A2BD470}"/>
    <hyperlink ref="C78" r:id="rId13" xr:uid="{A833429E-74C4-486C-9CB1-8347913C0E6A}"/>
    <hyperlink ref="C81" r:id="rId14" xr:uid="{49CFC8B1-3E14-4A1B-AFD7-48CF472ADD0A}"/>
    <hyperlink ref="C66" r:id="rId15" xr:uid="{52DA4D63-938B-4A6B-8075-83C1F47C1394}"/>
    <hyperlink ref="C82" r:id="rId16" xr:uid="{B368EE7E-CA3F-431C-99BB-814CFD332FCF}"/>
    <hyperlink ref="C70" r:id="rId17" xr:uid="{DC9095E4-3676-4C82-9106-0111F93EB159}"/>
    <hyperlink ref="C64" r:id="rId18" xr:uid="{B414AB98-76F9-4555-9DDC-5CA4183CE2E9}"/>
    <hyperlink ref="C79" r:id="rId19" xr:uid="{F7F12058-EFA6-4738-8387-7277F2E5FF71}"/>
    <hyperlink ref="C71" r:id="rId20" xr:uid="{E90E2D48-1E61-41E9-91C4-4A1CF104067D}"/>
    <hyperlink ref="C89" r:id="rId21" xr:uid="{D5B895F8-0930-48C0-B876-2DF7949B76C4}"/>
    <hyperlink ref="C63" r:id="rId22" xr:uid="{C375BD20-D84C-4A5A-AFDC-920007024BE5}"/>
  </hyperlinks>
  <pageMargins left="0.7" right="0.7" top="0.75" bottom="0.75" header="0.3" footer="0.3"/>
  <legacyDrawing r:id="rId2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5FF2-09BA-4009-A3C5-9C3539DE70B8}">
  <sheetPr>
    <tabColor rgb="FFCC0066"/>
  </sheetPr>
  <dimension ref="A1:R64"/>
  <sheetViews>
    <sheetView topLeftCell="E7" zoomScale="73" zoomScaleNormal="73" workbookViewId="0">
      <selection activeCell="E4" sqref="E4"/>
    </sheetView>
  </sheetViews>
  <sheetFormatPr defaultRowHeight="15"/>
  <cols>
    <col min="1" max="1" width="18.85546875" style="2" bestFit="1" customWidth="1"/>
    <col min="2" max="2" width="19" style="2" customWidth="1"/>
    <col min="3" max="3" width="22.28515625" style="2" customWidth="1"/>
    <col min="4" max="4" width="21.28515625" style="2" customWidth="1"/>
    <col min="5" max="5" width="83.140625" style="2" customWidth="1"/>
    <col min="6" max="6" width="18.140625" customWidth="1"/>
    <col min="7" max="7" width="19.85546875" style="3" bestFit="1" customWidth="1"/>
    <col min="8" max="8" width="12" style="3" customWidth="1"/>
    <col min="11" max="11" width="17.85546875" customWidth="1"/>
    <col min="12" max="12" width="13.28515625" customWidth="1"/>
    <col min="13" max="13" width="20" customWidth="1"/>
    <col min="14" max="14" width="17.28515625" customWidth="1"/>
    <col min="15" max="15" width="121.5703125" bestFit="1" customWidth="1"/>
    <col min="16" max="16" width="18.28515625" customWidth="1"/>
    <col min="17" max="17" width="19.85546875" style="3" customWidth="1"/>
    <col min="18" max="18" width="13.140625" customWidth="1"/>
  </cols>
  <sheetData>
    <row r="1" spans="1:18">
      <c r="A1" s="1237" t="s">
        <v>1583</v>
      </c>
      <c r="B1" s="1237"/>
      <c r="C1" s="1237"/>
      <c r="D1" s="1237"/>
      <c r="E1" s="1237"/>
      <c r="F1" s="1237"/>
      <c r="G1" s="1237"/>
      <c r="H1" s="1237"/>
      <c r="K1" s="1238" t="s">
        <v>1584</v>
      </c>
      <c r="L1" s="1238"/>
      <c r="M1" s="1238"/>
      <c r="N1" s="1238"/>
      <c r="O1" s="1238"/>
      <c r="P1" s="1238"/>
      <c r="Q1" s="1238"/>
      <c r="R1" s="1238"/>
    </row>
    <row r="2" spans="1:18">
      <c r="A2" s="384" t="s">
        <v>425</v>
      </c>
      <c r="B2" s="384" t="s">
        <v>1585</v>
      </c>
      <c r="C2" s="384" t="s">
        <v>1134</v>
      </c>
      <c r="D2" s="384" t="s">
        <v>1586</v>
      </c>
      <c r="E2" s="384" t="s">
        <v>1587</v>
      </c>
      <c r="F2" s="384" t="s">
        <v>1588</v>
      </c>
      <c r="G2" s="384" t="s">
        <v>1589</v>
      </c>
      <c r="H2" s="384" t="s">
        <v>1590</v>
      </c>
      <c r="K2" s="384" t="s">
        <v>425</v>
      </c>
      <c r="L2" s="384" t="s">
        <v>1585</v>
      </c>
      <c r="M2" s="384" t="s">
        <v>1134</v>
      </c>
      <c r="N2" s="384" t="s">
        <v>1586</v>
      </c>
      <c r="O2" s="384" t="s">
        <v>1587</v>
      </c>
      <c r="P2" s="384" t="s">
        <v>1588</v>
      </c>
      <c r="Q2" s="384" t="s">
        <v>1589</v>
      </c>
      <c r="R2" s="384" t="s">
        <v>1590</v>
      </c>
    </row>
    <row r="3" spans="1:18" ht="75">
      <c r="A3" s="640" t="s">
        <v>1591</v>
      </c>
      <c r="B3" s="640" t="s">
        <v>1591</v>
      </c>
      <c r="C3" s="640" t="s">
        <v>1591</v>
      </c>
      <c r="D3" s="640" t="s">
        <v>1591</v>
      </c>
      <c r="E3" s="640" t="s">
        <v>1591</v>
      </c>
      <c r="F3" s="640"/>
      <c r="G3" s="334"/>
      <c r="H3" s="334"/>
      <c r="K3" s="641" t="s">
        <v>1592</v>
      </c>
      <c r="L3" s="641" t="s">
        <v>1592</v>
      </c>
      <c r="M3" s="641" t="s">
        <v>1592</v>
      </c>
      <c r="N3" s="641" t="s">
        <v>1592</v>
      </c>
      <c r="O3" s="641" t="s">
        <v>1592</v>
      </c>
      <c r="P3" s="385"/>
    </row>
    <row r="4" spans="1:18" ht="105">
      <c r="A4" s="385" t="s">
        <v>1592</v>
      </c>
      <c r="B4" s="385" t="s">
        <v>1593</v>
      </c>
      <c r="C4" s="385" t="s">
        <v>430</v>
      </c>
      <c r="D4" s="386" t="s">
        <v>486</v>
      </c>
      <c r="E4" s="385" t="s">
        <v>1594</v>
      </c>
      <c r="F4" s="385">
        <v>2</v>
      </c>
      <c r="G4" s="3" t="s">
        <v>1142</v>
      </c>
      <c r="H4" s="3">
        <v>5</v>
      </c>
      <c r="K4" s="385" t="s">
        <v>1592</v>
      </c>
      <c r="L4" s="385" t="s">
        <v>1595</v>
      </c>
      <c r="M4" s="385" t="s">
        <v>1144</v>
      </c>
      <c r="N4" s="386"/>
      <c r="O4" s="385" t="s">
        <v>1594</v>
      </c>
      <c r="P4" s="385">
        <v>2</v>
      </c>
      <c r="Q4" s="3" t="s">
        <v>1145</v>
      </c>
    </row>
    <row r="5" spans="1:18" ht="105">
      <c r="A5" s="385" t="s">
        <v>1592</v>
      </c>
      <c r="B5" s="385" t="s">
        <v>1593</v>
      </c>
      <c r="C5" s="385" t="s">
        <v>431</v>
      </c>
      <c r="D5" s="386" t="s">
        <v>466</v>
      </c>
      <c r="E5" s="385" t="s">
        <v>1596</v>
      </c>
      <c r="F5" s="385">
        <v>2</v>
      </c>
      <c r="G5" s="3" t="s">
        <v>1152</v>
      </c>
      <c r="H5" s="3">
        <v>5</v>
      </c>
      <c r="K5" s="385" t="s">
        <v>1592</v>
      </c>
      <c r="L5" s="385" t="s">
        <v>1595</v>
      </c>
      <c r="M5" s="385" t="s">
        <v>1154</v>
      </c>
      <c r="N5" s="386"/>
      <c r="O5" s="385" t="s">
        <v>1596</v>
      </c>
      <c r="P5" s="385">
        <v>2</v>
      </c>
      <c r="Q5" s="3" t="s">
        <v>1155</v>
      </c>
    </row>
    <row r="6" spans="1:18" ht="105">
      <c r="A6" s="385" t="s">
        <v>1592</v>
      </c>
      <c r="B6" s="385" t="s">
        <v>1593</v>
      </c>
      <c r="C6" s="385" t="s">
        <v>432</v>
      </c>
      <c r="D6" s="386" t="s">
        <v>486</v>
      </c>
      <c r="E6" s="385" t="s">
        <v>1597</v>
      </c>
      <c r="F6" s="385">
        <v>4</v>
      </c>
      <c r="G6" s="3" t="s">
        <v>1159</v>
      </c>
      <c r="H6" s="3">
        <v>9</v>
      </c>
      <c r="K6" s="385" t="s">
        <v>1592</v>
      </c>
      <c r="L6" s="385" t="s">
        <v>1595</v>
      </c>
      <c r="M6" s="385" t="s">
        <v>1161</v>
      </c>
      <c r="N6" s="386"/>
      <c r="O6" s="385" t="s">
        <v>1598</v>
      </c>
      <c r="P6" s="385">
        <v>2</v>
      </c>
      <c r="Q6" s="3" t="s">
        <v>1162</v>
      </c>
    </row>
    <row r="7" spans="1:18" ht="105">
      <c r="A7" s="385" t="s">
        <v>1592</v>
      </c>
      <c r="B7" s="385" t="s">
        <v>1593</v>
      </c>
      <c r="C7" s="385" t="s">
        <v>433</v>
      </c>
      <c r="D7" s="386" t="s">
        <v>466</v>
      </c>
      <c r="E7" s="385" t="s">
        <v>1597</v>
      </c>
      <c r="F7" s="385">
        <v>4</v>
      </c>
      <c r="G7" s="3" t="s">
        <v>1167</v>
      </c>
      <c r="H7" s="3">
        <v>9</v>
      </c>
      <c r="K7" s="385" t="s">
        <v>1592</v>
      </c>
      <c r="L7" s="385" t="s">
        <v>1595</v>
      </c>
      <c r="M7" s="385" t="s">
        <v>1169</v>
      </c>
      <c r="N7" s="386"/>
      <c r="O7" s="385" t="s">
        <v>1599</v>
      </c>
      <c r="P7" s="385">
        <v>3</v>
      </c>
      <c r="Q7" s="3" t="s">
        <v>1170</v>
      </c>
    </row>
    <row r="8" spans="1:18" ht="75">
      <c r="A8" s="385" t="s">
        <v>1592</v>
      </c>
      <c r="B8" s="385" t="s">
        <v>1593</v>
      </c>
      <c r="C8" s="385" t="s">
        <v>434</v>
      </c>
      <c r="D8" s="386" t="s">
        <v>466</v>
      </c>
      <c r="E8" s="385" t="s">
        <v>1598</v>
      </c>
      <c r="F8" s="385">
        <v>4</v>
      </c>
      <c r="G8" s="3" t="s">
        <v>1177</v>
      </c>
      <c r="H8" s="3">
        <v>9</v>
      </c>
      <c r="K8" s="385" t="s">
        <v>1592</v>
      </c>
      <c r="L8" s="385" t="s">
        <v>1595</v>
      </c>
      <c r="M8" s="385" t="s">
        <v>1179</v>
      </c>
      <c r="N8" s="386"/>
      <c r="O8" s="385" t="s">
        <v>1599</v>
      </c>
      <c r="P8" s="385">
        <v>4</v>
      </c>
      <c r="Q8" s="3" t="s">
        <v>1180</v>
      </c>
    </row>
    <row r="9" spans="1:18" ht="75">
      <c r="A9" s="385" t="s">
        <v>1592</v>
      </c>
      <c r="B9" s="385" t="s">
        <v>1593</v>
      </c>
      <c r="C9" s="385" t="s">
        <v>435</v>
      </c>
      <c r="D9" s="386" t="s">
        <v>452</v>
      </c>
      <c r="E9" s="385" t="s">
        <v>1598</v>
      </c>
      <c r="F9" s="385">
        <v>4</v>
      </c>
      <c r="G9" s="3" t="s">
        <v>1184</v>
      </c>
      <c r="H9" s="3">
        <v>9</v>
      </c>
      <c r="K9" s="385" t="s">
        <v>1592</v>
      </c>
      <c r="L9" s="385" t="s">
        <v>1595</v>
      </c>
      <c r="M9" s="385" t="s">
        <v>1187</v>
      </c>
      <c r="N9" s="386"/>
      <c r="O9" s="385" t="s">
        <v>1599</v>
      </c>
      <c r="P9" s="385">
        <v>3</v>
      </c>
      <c r="Q9" s="3" t="s">
        <v>1188</v>
      </c>
    </row>
    <row r="10" spans="1:18" ht="105">
      <c r="A10" s="387" t="s">
        <v>1592</v>
      </c>
      <c r="B10" s="387" t="s">
        <v>1600</v>
      </c>
      <c r="C10" s="387" t="s">
        <v>503</v>
      </c>
      <c r="D10" s="386" t="s">
        <v>492</v>
      </c>
      <c r="E10" s="387" t="s">
        <v>1594</v>
      </c>
      <c r="F10" s="387">
        <v>2</v>
      </c>
      <c r="G10" s="3" t="s">
        <v>1143</v>
      </c>
      <c r="H10" s="3">
        <v>5</v>
      </c>
      <c r="K10" s="385" t="s">
        <v>1592</v>
      </c>
      <c r="L10" s="385" t="s">
        <v>1595</v>
      </c>
      <c r="M10" s="385" t="s">
        <v>1192</v>
      </c>
      <c r="N10" s="386"/>
      <c r="O10" s="385" t="s">
        <v>1598</v>
      </c>
      <c r="P10" s="385">
        <v>4</v>
      </c>
      <c r="Q10" s="3" t="s">
        <v>1193</v>
      </c>
    </row>
    <row r="11" spans="1:18" ht="120">
      <c r="A11" s="387" t="s">
        <v>1592</v>
      </c>
      <c r="B11" s="387" t="s">
        <v>1600</v>
      </c>
      <c r="C11" s="387" t="s">
        <v>504</v>
      </c>
      <c r="D11" s="386" t="s">
        <v>452</v>
      </c>
      <c r="E11" s="387" t="s">
        <v>1601</v>
      </c>
      <c r="F11" s="387">
        <v>2</v>
      </c>
      <c r="G11" s="3" t="s">
        <v>1153</v>
      </c>
      <c r="H11" s="3">
        <v>5</v>
      </c>
      <c r="K11" s="387" t="s">
        <v>1592</v>
      </c>
      <c r="L11" s="387" t="s">
        <v>1602</v>
      </c>
      <c r="M11" s="387" t="s">
        <v>1146</v>
      </c>
      <c r="N11" s="386"/>
      <c r="O11" s="387" t="s">
        <v>1599</v>
      </c>
      <c r="P11" s="387">
        <v>2</v>
      </c>
      <c r="Q11" s="3" t="s">
        <v>1147</v>
      </c>
    </row>
    <row r="12" spans="1:18" ht="105">
      <c r="A12" s="387" t="s">
        <v>1592</v>
      </c>
      <c r="B12" s="387" t="s">
        <v>1600</v>
      </c>
      <c r="C12" s="472" t="s">
        <v>505</v>
      </c>
      <c r="D12" s="386" t="s">
        <v>452</v>
      </c>
      <c r="E12" s="387" t="s">
        <v>1599</v>
      </c>
      <c r="F12" s="387">
        <v>4</v>
      </c>
      <c r="G12" s="3" t="s">
        <v>1160</v>
      </c>
      <c r="H12" s="3">
        <v>9</v>
      </c>
      <c r="K12" s="387" t="s">
        <v>1592</v>
      </c>
      <c r="L12" s="387" t="s">
        <v>1602</v>
      </c>
      <c r="M12" s="387" t="s">
        <v>1156</v>
      </c>
      <c r="N12" s="386"/>
      <c r="O12" s="387" t="s">
        <v>1598</v>
      </c>
      <c r="P12" s="387">
        <v>5</v>
      </c>
      <c r="Q12" s="3" t="s">
        <v>1157</v>
      </c>
    </row>
    <row r="13" spans="1:18" ht="105">
      <c r="A13" s="387" t="s">
        <v>1592</v>
      </c>
      <c r="B13" s="387" t="s">
        <v>1600</v>
      </c>
      <c r="C13" s="387" t="s">
        <v>506</v>
      </c>
      <c r="D13" s="386" t="s">
        <v>492</v>
      </c>
      <c r="E13" s="387" t="s">
        <v>1594</v>
      </c>
      <c r="F13" s="387">
        <v>3</v>
      </c>
      <c r="G13" s="3" t="s">
        <v>1168</v>
      </c>
      <c r="H13" s="3">
        <v>7</v>
      </c>
      <c r="K13" s="387" t="s">
        <v>1592</v>
      </c>
      <c r="L13" s="387" t="s">
        <v>1602</v>
      </c>
      <c r="M13" s="387" t="s">
        <v>1163</v>
      </c>
      <c r="N13" s="386"/>
      <c r="O13" s="387" t="s">
        <v>1598</v>
      </c>
      <c r="P13" s="387">
        <v>4</v>
      </c>
      <c r="Q13" s="3" t="s">
        <v>1164</v>
      </c>
    </row>
    <row r="14" spans="1:18" ht="105">
      <c r="A14" s="387" t="s">
        <v>1592</v>
      </c>
      <c r="B14" s="387" t="s">
        <v>1600</v>
      </c>
      <c r="C14" s="387" t="s">
        <v>507</v>
      </c>
      <c r="D14" s="386" t="s">
        <v>474</v>
      </c>
      <c r="E14" s="387" t="s">
        <v>1603</v>
      </c>
      <c r="F14" s="387">
        <v>5</v>
      </c>
      <c r="G14" s="3" t="s">
        <v>1178</v>
      </c>
      <c r="H14" s="3">
        <v>11</v>
      </c>
      <c r="K14" s="387" t="s">
        <v>1592</v>
      </c>
      <c r="L14" s="387" t="s">
        <v>1602</v>
      </c>
      <c r="M14" s="387" t="s">
        <v>1171</v>
      </c>
      <c r="N14" s="386"/>
      <c r="O14" s="387" t="s">
        <v>771</v>
      </c>
      <c r="P14" s="387">
        <v>4</v>
      </c>
      <c r="Q14" s="3" t="s">
        <v>1172</v>
      </c>
    </row>
    <row r="15" spans="1:18" ht="75">
      <c r="A15" s="387" t="s">
        <v>1592</v>
      </c>
      <c r="B15" s="387" t="s">
        <v>1600</v>
      </c>
      <c r="C15" s="387" t="s">
        <v>1185</v>
      </c>
      <c r="D15" s="386" t="s">
        <v>474</v>
      </c>
      <c r="E15" s="387" t="s">
        <v>1604</v>
      </c>
      <c r="F15" s="387">
        <v>4</v>
      </c>
      <c r="G15" s="3" t="s">
        <v>1186</v>
      </c>
      <c r="H15" s="3">
        <v>9</v>
      </c>
      <c r="K15" s="387" t="s">
        <v>1592</v>
      </c>
      <c r="L15" s="387" t="s">
        <v>1602</v>
      </c>
      <c r="M15" s="387" t="s">
        <v>1181</v>
      </c>
      <c r="N15" s="386"/>
      <c r="O15" s="387" t="s">
        <v>1598</v>
      </c>
      <c r="P15" s="387">
        <v>5</v>
      </c>
      <c r="Q15" s="3" t="s">
        <v>1182</v>
      </c>
    </row>
    <row r="16" spans="1:18" ht="63" customHeight="1">
      <c r="A16" s="473" t="s">
        <v>1300</v>
      </c>
      <c r="B16" s="473" t="s">
        <v>1300</v>
      </c>
      <c r="C16" s="473" t="s">
        <v>1300</v>
      </c>
      <c r="D16" s="473" t="s">
        <v>1300</v>
      </c>
      <c r="E16" s="473" t="s">
        <v>1300</v>
      </c>
      <c r="F16" s="473"/>
      <c r="K16" s="473" t="s">
        <v>1300</v>
      </c>
      <c r="L16" s="473" t="s">
        <v>1300</v>
      </c>
      <c r="M16" s="473" t="s">
        <v>1300</v>
      </c>
      <c r="N16" s="473" t="s">
        <v>1300</v>
      </c>
      <c r="O16" s="473" t="s">
        <v>1300</v>
      </c>
      <c r="P16" s="473" t="s">
        <v>1300</v>
      </c>
    </row>
    <row r="17" spans="1:17" ht="60">
      <c r="A17" s="178" t="s">
        <v>1300</v>
      </c>
      <c r="B17" s="178" t="s">
        <v>1593</v>
      </c>
      <c r="C17" s="474" t="s">
        <v>1605</v>
      </c>
      <c r="D17" s="386" t="s">
        <v>1606</v>
      </c>
      <c r="E17" s="178" t="s">
        <v>1607</v>
      </c>
      <c r="F17" s="474">
        <v>2</v>
      </c>
      <c r="G17" s="3" t="s">
        <v>1608</v>
      </c>
      <c r="K17" s="388" t="s">
        <v>1300</v>
      </c>
      <c r="L17" s="388" t="s">
        <v>1595</v>
      </c>
      <c r="M17" s="388" t="s">
        <v>1605</v>
      </c>
      <c r="N17" s="386"/>
      <c r="O17" s="388" t="s">
        <v>1609</v>
      </c>
      <c r="P17" s="388">
        <v>2</v>
      </c>
      <c r="Q17" s="3" t="s">
        <v>1608</v>
      </c>
    </row>
    <row r="18" spans="1:17" ht="45">
      <c r="A18" s="178" t="s">
        <v>1300</v>
      </c>
      <c r="B18" s="178" t="s">
        <v>1593</v>
      </c>
      <c r="C18" s="178" t="s">
        <v>1610</v>
      </c>
      <c r="D18" s="386" t="s">
        <v>1611</v>
      </c>
      <c r="E18" s="178" t="s">
        <v>1612</v>
      </c>
      <c r="F18" s="178">
        <v>2</v>
      </c>
      <c r="G18" s="3" t="s">
        <v>1613</v>
      </c>
      <c r="K18" s="388" t="s">
        <v>1300</v>
      </c>
      <c r="L18" s="388" t="s">
        <v>1595</v>
      </c>
      <c r="M18" s="388" t="s">
        <v>1610</v>
      </c>
      <c r="N18" s="483"/>
      <c r="O18" s="388" t="s">
        <v>1612</v>
      </c>
      <c r="P18" s="388">
        <v>2</v>
      </c>
      <c r="Q18" s="3" t="s">
        <v>1613</v>
      </c>
    </row>
    <row r="19" spans="1:17" ht="90">
      <c r="A19" s="178" t="s">
        <v>1300</v>
      </c>
      <c r="B19" s="178" t="s">
        <v>1593</v>
      </c>
      <c r="C19" s="178" t="s">
        <v>1614</v>
      </c>
      <c r="D19" s="386" t="s">
        <v>1615</v>
      </c>
      <c r="E19" s="178" t="s">
        <v>1616</v>
      </c>
      <c r="F19" s="178">
        <v>2</v>
      </c>
      <c r="G19" s="3" t="s">
        <v>1617</v>
      </c>
      <c r="K19" s="388" t="s">
        <v>1300</v>
      </c>
      <c r="L19" s="388" t="s">
        <v>1595</v>
      </c>
      <c r="M19" s="388" t="s">
        <v>1614</v>
      </c>
      <c r="N19" s="386"/>
      <c r="O19" s="388" t="s">
        <v>1618</v>
      </c>
      <c r="P19" s="388">
        <v>2</v>
      </c>
      <c r="Q19" s="3" t="s">
        <v>1617</v>
      </c>
    </row>
    <row r="20" spans="1:17" ht="105">
      <c r="A20" s="178" t="s">
        <v>1300</v>
      </c>
      <c r="B20" s="178" t="s">
        <v>1593</v>
      </c>
      <c r="C20" s="178" t="s">
        <v>1619</v>
      </c>
      <c r="D20" s="386" t="s">
        <v>1615</v>
      </c>
      <c r="E20" s="178" t="s">
        <v>1620</v>
      </c>
      <c r="F20" s="178">
        <v>2</v>
      </c>
      <c r="G20" s="3" t="s">
        <v>1621</v>
      </c>
      <c r="K20" s="388" t="s">
        <v>1300</v>
      </c>
      <c r="L20" s="388" t="s">
        <v>1595</v>
      </c>
      <c r="M20" s="388" t="s">
        <v>1619</v>
      </c>
      <c r="N20" s="386"/>
      <c r="O20" s="388" t="s">
        <v>1622</v>
      </c>
      <c r="P20" s="388">
        <v>2</v>
      </c>
      <c r="Q20" s="3" t="s">
        <v>1621</v>
      </c>
    </row>
    <row r="21" spans="1:17" ht="105">
      <c r="A21" s="178" t="s">
        <v>1300</v>
      </c>
      <c r="B21" s="178" t="s">
        <v>1593</v>
      </c>
      <c r="C21" s="178" t="s">
        <v>1623</v>
      </c>
      <c r="D21" s="386" t="s">
        <v>1615</v>
      </c>
      <c r="E21" s="178" t="s">
        <v>1624</v>
      </c>
      <c r="F21" s="178">
        <v>2</v>
      </c>
      <c r="G21" s="3" t="s">
        <v>1625</v>
      </c>
      <c r="K21" s="388" t="s">
        <v>1300</v>
      </c>
      <c r="L21" s="388" t="s">
        <v>1595</v>
      </c>
      <c r="M21" s="388" t="s">
        <v>1623</v>
      </c>
      <c r="N21" s="386"/>
      <c r="O21" s="388" t="s">
        <v>1626</v>
      </c>
      <c r="P21" s="388">
        <v>2</v>
      </c>
      <c r="Q21" s="3" t="s">
        <v>1625</v>
      </c>
    </row>
    <row r="22" spans="1:17" ht="180">
      <c r="A22" s="178" t="s">
        <v>1300</v>
      </c>
      <c r="B22" s="178" t="s">
        <v>1593</v>
      </c>
      <c r="C22" s="178" t="s">
        <v>1627</v>
      </c>
      <c r="D22" s="386" t="s">
        <v>1615</v>
      </c>
      <c r="E22" s="178" t="s">
        <v>1628</v>
      </c>
      <c r="F22" s="178">
        <v>1</v>
      </c>
      <c r="G22" s="3" t="s">
        <v>1629</v>
      </c>
      <c r="K22" s="388" t="s">
        <v>1300</v>
      </c>
      <c r="L22" s="388" t="s">
        <v>1595</v>
      </c>
      <c r="M22" s="388" t="s">
        <v>1627</v>
      </c>
      <c r="N22" s="386"/>
      <c r="O22" s="388" t="s">
        <v>1630</v>
      </c>
      <c r="P22" s="388">
        <v>1</v>
      </c>
      <c r="Q22" s="3" t="s">
        <v>1629</v>
      </c>
    </row>
    <row r="23" spans="1:17" ht="75">
      <c r="A23" s="178" t="s">
        <v>1300</v>
      </c>
      <c r="B23" s="178" t="s">
        <v>1593</v>
      </c>
      <c r="C23" s="178" t="s">
        <v>1631</v>
      </c>
      <c r="D23" s="386" t="s">
        <v>1632</v>
      </c>
      <c r="E23" s="178" t="s">
        <v>1633</v>
      </c>
      <c r="F23" s="178">
        <v>2</v>
      </c>
      <c r="G23" s="3" t="s">
        <v>1634</v>
      </c>
      <c r="K23" s="388" t="s">
        <v>1300</v>
      </c>
      <c r="L23" s="388" t="s">
        <v>1595</v>
      </c>
      <c r="M23" s="388" t="s">
        <v>1631</v>
      </c>
      <c r="N23" s="386"/>
      <c r="O23" s="388" t="s">
        <v>1635</v>
      </c>
      <c r="P23" s="388">
        <v>2</v>
      </c>
      <c r="Q23" s="3" t="s">
        <v>1634</v>
      </c>
    </row>
    <row r="24" spans="1:17" ht="105">
      <c r="A24" s="178" t="s">
        <v>1300</v>
      </c>
      <c r="B24" s="178" t="s">
        <v>1593</v>
      </c>
      <c r="C24" s="178" t="s">
        <v>1636</v>
      </c>
      <c r="D24" s="386" t="s">
        <v>1615</v>
      </c>
      <c r="E24" s="178" t="s">
        <v>1637</v>
      </c>
      <c r="F24" s="178">
        <v>2</v>
      </c>
      <c r="G24" s="3" t="s">
        <v>1638</v>
      </c>
      <c r="K24" s="388" t="s">
        <v>1300</v>
      </c>
      <c r="L24" s="388" t="s">
        <v>1595</v>
      </c>
      <c r="M24" s="388" t="s">
        <v>1636</v>
      </c>
      <c r="N24" s="386"/>
      <c r="O24" s="388" t="s">
        <v>1639</v>
      </c>
      <c r="P24" s="388">
        <v>2</v>
      </c>
      <c r="Q24" s="3" t="s">
        <v>1638</v>
      </c>
    </row>
    <row r="25" spans="1:17" ht="90">
      <c r="A25" s="178" t="s">
        <v>1300</v>
      </c>
      <c r="B25" s="178" t="s">
        <v>1593</v>
      </c>
      <c r="C25" s="178" t="s">
        <v>1640</v>
      </c>
      <c r="D25" s="386" t="s">
        <v>1641</v>
      </c>
      <c r="E25" s="178" t="s">
        <v>1616</v>
      </c>
      <c r="F25" s="178">
        <v>2</v>
      </c>
      <c r="G25" s="3" t="s">
        <v>1642</v>
      </c>
      <c r="K25" s="388" t="s">
        <v>1300</v>
      </c>
      <c r="L25" s="388" t="s">
        <v>1595</v>
      </c>
      <c r="M25" s="388" t="s">
        <v>1643</v>
      </c>
      <c r="N25" s="386"/>
      <c r="O25" s="388" t="s">
        <v>1639</v>
      </c>
      <c r="P25" s="388">
        <v>2</v>
      </c>
      <c r="Q25" s="3" t="s">
        <v>1642</v>
      </c>
    </row>
    <row r="26" spans="1:17" ht="90">
      <c r="A26" s="178" t="s">
        <v>1300</v>
      </c>
      <c r="B26" s="178" t="s">
        <v>1593</v>
      </c>
      <c r="C26" s="178" t="s">
        <v>1644</v>
      </c>
      <c r="D26" s="386" t="s">
        <v>1615</v>
      </c>
      <c r="E26" s="178" t="s">
        <v>1616</v>
      </c>
      <c r="F26" s="178">
        <v>3</v>
      </c>
      <c r="G26" s="3" t="s">
        <v>1335</v>
      </c>
      <c r="K26" s="388" t="s">
        <v>1300</v>
      </c>
      <c r="L26" s="388" t="s">
        <v>1595</v>
      </c>
      <c r="M26" s="388" t="s">
        <v>1644</v>
      </c>
      <c r="N26" s="386"/>
      <c r="O26" s="388" t="s">
        <v>1639</v>
      </c>
      <c r="P26" s="388">
        <v>3</v>
      </c>
      <c r="Q26" s="3" t="s">
        <v>1335</v>
      </c>
    </row>
    <row r="27" spans="1:17" ht="60">
      <c r="A27" s="475" t="s">
        <v>1300</v>
      </c>
      <c r="B27" s="475" t="s">
        <v>1600</v>
      </c>
      <c r="C27" s="475" t="s">
        <v>663</v>
      </c>
      <c r="D27" s="386" t="s">
        <v>1606</v>
      </c>
      <c r="E27" s="475" t="s">
        <v>1645</v>
      </c>
      <c r="F27" s="475">
        <v>2</v>
      </c>
      <c r="G27" s="3" t="s">
        <v>1302</v>
      </c>
      <c r="H27" s="3">
        <v>5</v>
      </c>
      <c r="K27" s="389" t="s">
        <v>1300</v>
      </c>
      <c r="L27" s="389" t="s">
        <v>1602</v>
      </c>
      <c r="M27" s="389" t="s">
        <v>1307</v>
      </c>
      <c r="N27" s="386"/>
      <c r="O27" s="389" t="s">
        <v>1645</v>
      </c>
      <c r="P27" s="389">
        <v>2</v>
      </c>
      <c r="Q27" s="3" t="s">
        <v>1308</v>
      </c>
    </row>
    <row r="28" spans="1:17" ht="60">
      <c r="A28" s="475" t="s">
        <v>1300</v>
      </c>
      <c r="B28" s="475" t="s">
        <v>1600</v>
      </c>
      <c r="C28" s="475" t="s">
        <v>664</v>
      </c>
      <c r="D28" s="386" t="s">
        <v>1611</v>
      </c>
      <c r="E28" s="475" t="s">
        <v>1646</v>
      </c>
      <c r="F28" s="475">
        <v>2</v>
      </c>
      <c r="G28" s="3" t="s">
        <v>1304</v>
      </c>
      <c r="H28" s="3">
        <v>5</v>
      </c>
      <c r="K28" s="389" t="s">
        <v>1300</v>
      </c>
      <c r="L28" s="389" t="s">
        <v>1602</v>
      </c>
      <c r="M28" s="389" t="s">
        <v>1311</v>
      </c>
      <c r="N28" s="386"/>
      <c r="O28" s="389" t="s">
        <v>1646</v>
      </c>
      <c r="P28" s="389">
        <v>2</v>
      </c>
      <c r="Q28" s="3" t="s">
        <v>1312</v>
      </c>
    </row>
    <row r="29" spans="1:17" ht="120">
      <c r="A29" s="475" t="s">
        <v>1300</v>
      </c>
      <c r="B29" s="475" t="s">
        <v>1600</v>
      </c>
      <c r="C29" s="475" t="s">
        <v>665</v>
      </c>
      <c r="D29" s="386" t="s">
        <v>1615</v>
      </c>
      <c r="E29" s="475" t="s">
        <v>1639</v>
      </c>
      <c r="F29" s="475">
        <v>2</v>
      </c>
      <c r="G29" s="3" t="s">
        <v>1306</v>
      </c>
      <c r="H29" s="3">
        <v>5</v>
      </c>
      <c r="K29" s="389" t="s">
        <v>1300</v>
      </c>
      <c r="L29" s="389" t="s">
        <v>1602</v>
      </c>
      <c r="M29" s="389" t="s">
        <v>1315</v>
      </c>
      <c r="N29" s="386"/>
      <c r="O29" s="389" t="s">
        <v>1647</v>
      </c>
      <c r="P29" s="389">
        <v>2</v>
      </c>
      <c r="Q29" s="3" t="s">
        <v>1316</v>
      </c>
    </row>
    <row r="30" spans="1:17" ht="120">
      <c r="A30" s="475" t="s">
        <v>1300</v>
      </c>
      <c r="B30" s="475" t="s">
        <v>1600</v>
      </c>
      <c r="C30" s="475" t="s">
        <v>666</v>
      </c>
      <c r="D30" s="386" t="s">
        <v>1615</v>
      </c>
      <c r="E30" s="475" t="s">
        <v>1639</v>
      </c>
      <c r="F30" s="475">
        <v>2</v>
      </c>
      <c r="G30" s="3" t="s">
        <v>1310</v>
      </c>
      <c r="H30" s="3">
        <v>5</v>
      </c>
      <c r="K30" s="389" t="s">
        <v>1300</v>
      </c>
      <c r="L30" s="389" t="s">
        <v>1602</v>
      </c>
      <c r="M30" s="389" t="s">
        <v>1319</v>
      </c>
      <c r="N30" s="386"/>
      <c r="O30" s="389" t="s">
        <v>1639</v>
      </c>
      <c r="P30" s="389">
        <v>2</v>
      </c>
      <c r="Q30" s="3" t="s">
        <v>1310</v>
      </c>
    </row>
    <row r="31" spans="1:17" ht="105">
      <c r="A31" s="475" t="s">
        <v>1300</v>
      </c>
      <c r="B31" s="475" t="s">
        <v>1600</v>
      </c>
      <c r="C31" s="475" t="s">
        <v>667</v>
      </c>
      <c r="D31" s="386" t="s">
        <v>1615</v>
      </c>
      <c r="E31" s="475" t="s">
        <v>1639</v>
      </c>
      <c r="F31" s="475">
        <v>2</v>
      </c>
      <c r="G31" s="3" t="s">
        <v>1314</v>
      </c>
      <c r="H31" s="3">
        <v>5</v>
      </c>
      <c r="K31" s="389" t="s">
        <v>1300</v>
      </c>
      <c r="L31" s="389" t="s">
        <v>1602</v>
      </c>
      <c r="M31" s="389" t="s">
        <v>1322</v>
      </c>
      <c r="N31" s="386"/>
      <c r="O31" s="389" t="s">
        <v>1639</v>
      </c>
      <c r="P31" s="389">
        <v>2</v>
      </c>
      <c r="Q31" s="3" t="s">
        <v>1323</v>
      </c>
    </row>
    <row r="32" spans="1:17" ht="105">
      <c r="A32" s="475" t="s">
        <v>1300</v>
      </c>
      <c r="B32" s="475" t="s">
        <v>1600</v>
      </c>
      <c r="C32" s="475" t="s">
        <v>668</v>
      </c>
      <c r="D32" s="386" t="s">
        <v>1648</v>
      </c>
      <c r="E32" s="475" t="s">
        <v>1649</v>
      </c>
      <c r="F32" s="475">
        <v>2</v>
      </c>
      <c r="G32" s="3" t="s">
        <v>1318</v>
      </c>
      <c r="H32" s="3">
        <v>5</v>
      </c>
      <c r="K32" s="389" t="s">
        <v>1300</v>
      </c>
      <c r="L32" s="389" t="s">
        <v>1602</v>
      </c>
      <c r="M32" s="389" t="s">
        <v>1326</v>
      </c>
      <c r="N32" s="386"/>
      <c r="O32" s="389" t="s">
        <v>1639</v>
      </c>
      <c r="P32" s="389">
        <v>2</v>
      </c>
      <c r="Q32" s="3" t="s">
        <v>1327</v>
      </c>
    </row>
    <row r="33" spans="1:17" ht="105">
      <c r="A33" s="475" t="s">
        <v>1300</v>
      </c>
      <c r="B33" s="475" t="s">
        <v>1600</v>
      </c>
      <c r="C33" s="475" t="s">
        <v>669</v>
      </c>
      <c r="D33" s="386" t="s">
        <v>1650</v>
      </c>
      <c r="E33" s="475" t="s">
        <v>1639</v>
      </c>
      <c r="F33" s="475">
        <v>3</v>
      </c>
      <c r="G33" s="3" t="s">
        <v>1321</v>
      </c>
      <c r="H33" s="3">
        <v>7</v>
      </c>
      <c r="K33" s="389" t="s">
        <v>1300</v>
      </c>
      <c r="L33" s="389" t="s">
        <v>1602</v>
      </c>
      <c r="M33" s="389" t="s">
        <v>1330</v>
      </c>
      <c r="N33" s="386"/>
      <c r="O33" s="389" t="s">
        <v>1639</v>
      </c>
      <c r="P33" s="389">
        <v>3</v>
      </c>
      <c r="Q33" s="3" t="s">
        <v>1331</v>
      </c>
    </row>
    <row r="34" spans="1:17" ht="105">
      <c r="A34" s="475" t="s">
        <v>1300</v>
      </c>
      <c r="B34" s="475" t="s">
        <v>1600</v>
      </c>
      <c r="C34" s="475" t="s">
        <v>670</v>
      </c>
      <c r="D34" s="386" t="s">
        <v>1650</v>
      </c>
      <c r="E34" s="475" t="s">
        <v>1639</v>
      </c>
      <c r="F34" s="475">
        <v>2</v>
      </c>
      <c r="G34" s="3" t="s">
        <v>1325</v>
      </c>
      <c r="H34" s="3">
        <v>5</v>
      </c>
      <c r="K34" s="389" t="s">
        <v>1300</v>
      </c>
      <c r="L34" s="389" t="s">
        <v>1602</v>
      </c>
      <c r="M34" s="389" t="s">
        <v>1333</v>
      </c>
      <c r="N34" s="386"/>
      <c r="O34" s="389" t="s">
        <v>1639</v>
      </c>
      <c r="P34" s="389">
        <v>2</v>
      </c>
      <c r="Q34" s="3" t="s">
        <v>1334</v>
      </c>
    </row>
    <row r="35" spans="1:17" ht="105">
      <c r="A35" s="475" t="s">
        <v>1300</v>
      </c>
      <c r="B35" s="475" t="s">
        <v>1600</v>
      </c>
      <c r="C35" s="475" t="s">
        <v>632</v>
      </c>
      <c r="D35" s="386" t="s">
        <v>1615</v>
      </c>
      <c r="E35" s="475" t="s">
        <v>1639</v>
      </c>
      <c r="F35" s="475">
        <v>3</v>
      </c>
      <c r="G35" s="3" t="s">
        <v>1329</v>
      </c>
      <c r="H35" s="3">
        <v>7</v>
      </c>
      <c r="K35" s="389" t="s">
        <v>1300</v>
      </c>
      <c r="L35" s="389" t="s">
        <v>1602</v>
      </c>
      <c r="M35" s="389" t="s">
        <v>632</v>
      </c>
      <c r="N35" s="642"/>
      <c r="O35" s="389" t="s">
        <v>1639</v>
      </c>
      <c r="P35" s="389">
        <v>3</v>
      </c>
      <c r="Q35" s="3" t="s">
        <v>1329</v>
      </c>
    </row>
    <row r="36" spans="1:17" ht="60">
      <c r="A36" s="476" t="s">
        <v>786</v>
      </c>
      <c r="B36" s="476" t="s">
        <v>786</v>
      </c>
      <c r="C36" s="476" t="s">
        <v>786</v>
      </c>
      <c r="D36" s="476" t="s">
        <v>786</v>
      </c>
      <c r="E36" s="476" t="s">
        <v>786</v>
      </c>
      <c r="F36" s="476" t="s">
        <v>786</v>
      </c>
      <c r="K36" s="476" t="s">
        <v>786</v>
      </c>
      <c r="L36" s="476" t="s">
        <v>786</v>
      </c>
      <c r="M36" s="476" t="s">
        <v>786</v>
      </c>
      <c r="N36" s="476" t="s">
        <v>786</v>
      </c>
      <c r="O36" s="476" t="s">
        <v>786</v>
      </c>
      <c r="P36" s="476" t="s">
        <v>786</v>
      </c>
    </row>
    <row r="37" spans="1:17" ht="45">
      <c r="A37" s="477" t="s">
        <v>786</v>
      </c>
      <c r="B37" s="477" t="s">
        <v>1593</v>
      </c>
      <c r="C37" s="477" t="s">
        <v>1259</v>
      </c>
      <c r="D37" s="386" t="s">
        <v>1615</v>
      </c>
      <c r="E37" s="477" t="s">
        <v>1651</v>
      </c>
      <c r="F37" s="477">
        <v>4</v>
      </c>
      <c r="G37" s="3" t="s">
        <v>1260</v>
      </c>
      <c r="H37" s="3">
        <v>9</v>
      </c>
      <c r="K37" s="390" t="s">
        <v>786</v>
      </c>
      <c r="L37" s="390" t="s">
        <v>1595</v>
      </c>
      <c r="M37" s="390" t="s">
        <v>1264</v>
      </c>
      <c r="N37" s="483"/>
      <c r="O37" s="390" t="s">
        <v>1651</v>
      </c>
      <c r="P37" s="390">
        <v>4</v>
      </c>
      <c r="Q37" s="3" t="s">
        <v>1265</v>
      </c>
    </row>
    <row r="38" spans="1:17" ht="45">
      <c r="A38" s="477" t="s">
        <v>786</v>
      </c>
      <c r="B38" s="477" t="s">
        <v>1593</v>
      </c>
      <c r="C38" s="477" t="s">
        <v>627</v>
      </c>
      <c r="D38" s="386" t="s">
        <v>1652</v>
      </c>
      <c r="E38" s="477" t="s">
        <v>1653</v>
      </c>
      <c r="F38" s="477">
        <v>2</v>
      </c>
      <c r="G38" s="3" t="s">
        <v>1263</v>
      </c>
      <c r="H38" s="3">
        <v>5</v>
      </c>
      <c r="K38" s="390" t="s">
        <v>786</v>
      </c>
      <c r="L38" s="390" t="s">
        <v>1595</v>
      </c>
      <c r="M38" s="390" t="s">
        <v>1269</v>
      </c>
      <c r="N38" s="386"/>
      <c r="O38" s="390" t="s">
        <v>1653</v>
      </c>
      <c r="P38" s="390">
        <v>3</v>
      </c>
      <c r="Q38" s="3" t="s">
        <v>1270</v>
      </c>
    </row>
    <row r="39" spans="1:17" ht="45">
      <c r="A39" s="477" t="s">
        <v>786</v>
      </c>
      <c r="B39" s="477" t="s">
        <v>1593</v>
      </c>
      <c r="C39" s="477" t="s">
        <v>628</v>
      </c>
      <c r="D39" s="386" t="s">
        <v>1654</v>
      </c>
      <c r="E39" s="477" t="s">
        <v>1655</v>
      </c>
      <c r="F39" s="477">
        <v>2</v>
      </c>
      <c r="G39" s="3" t="s">
        <v>1268</v>
      </c>
      <c r="H39" s="3">
        <v>5</v>
      </c>
      <c r="K39" s="390" t="s">
        <v>786</v>
      </c>
      <c r="L39" s="390" t="s">
        <v>1595</v>
      </c>
      <c r="M39" s="390" t="s">
        <v>1274</v>
      </c>
      <c r="N39" s="386"/>
      <c r="O39" s="390" t="s">
        <v>1655</v>
      </c>
      <c r="P39" s="390">
        <v>2</v>
      </c>
      <c r="Q39" s="3" t="s">
        <v>1275</v>
      </c>
    </row>
    <row r="40" spans="1:17" ht="45">
      <c r="A40" s="477" t="s">
        <v>786</v>
      </c>
      <c r="B40" s="477" t="s">
        <v>1593</v>
      </c>
      <c r="C40" s="477" t="s">
        <v>629</v>
      </c>
      <c r="D40" s="386" t="s">
        <v>1654</v>
      </c>
      <c r="E40" s="477" t="s">
        <v>1655</v>
      </c>
      <c r="F40" s="477">
        <v>2</v>
      </c>
      <c r="G40" s="3" t="s">
        <v>1273</v>
      </c>
      <c r="H40" s="3">
        <v>5</v>
      </c>
      <c r="K40" s="390" t="s">
        <v>786</v>
      </c>
      <c r="L40" s="390" t="s">
        <v>1595</v>
      </c>
      <c r="M40" s="390" t="s">
        <v>1279</v>
      </c>
      <c r="N40" s="386"/>
      <c r="O40" s="390" t="s">
        <v>1655</v>
      </c>
      <c r="P40" s="390">
        <v>2</v>
      </c>
      <c r="Q40" s="3" t="s">
        <v>1280</v>
      </c>
    </row>
    <row r="41" spans="1:17" ht="45">
      <c r="A41" s="477" t="s">
        <v>786</v>
      </c>
      <c r="B41" s="477" t="s">
        <v>1593</v>
      </c>
      <c r="C41" s="477" t="s">
        <v>630</v>
      </c>
      <c r="D41" s="386" t="s">
        <v>1656</v>
      </c>
      <c r="E41" s="477" t="s">
        <v>1657</v>
      </c>
      <c r="F41" s="477">
        <v>2</v>
      </c>
      <c r="G41" s="3" t="s">
        <v>1278</v>
      </c>
      <c r="H41" s="3">
        <v>5</v>
      </c>
      <c r="K41" s="390" t="s">
        <v>786</v>
      </c>
      <c r="L41" s="390" t="s">
        <v>1595</v>
      </c>
      <c r="M41" s="390" t="s">
        <v>1284</v>
      </c>
      <c r="N41" s="386"/>
      <c r="O41" s="390" t="s">
        <v>1657</v>
      </c>
      <c r="P41" s="390">
        <v>2</v>
      </c>
      <c r="Q41" s="3" t="s">
        <v>1285</v>
      </c>
    </row>
    <row r="42" spans="1:17" ht="60">
      <c r="A42" s="477" t="s">
        <v>786</v>
      </c>
      <c r="B42" s="477" t="s">
        <v>1593</v>
      </c>
      <c r="C42" s="477" t="s">
        <v>631</v>
      </c>
      <c r="D42" s="386" t="s">
        <v>1654</v>
      </c>
      <c r="E42" s="477" t="s">
        <v>1658</v>
      </c>
      <c r="F42" s="477">
        <v>3</v>
      </c>
      <c r="G42" s="3" t="s">
        <v>1283</v>
      </c>
      <c r="H42" s="3">
        <v>7</v>
      </c>
      <c r="K42" s="390" t="s">
        <v>786</v>
      </c>
      <c r="L42" s="390" t="s">
        <v>1595</v>
      </c>
      <c r="M42" s="390" t="s">
        <v>1289</v>
      </c>
      <c r="N42" s="386"/>
      <c r="O42" s="390" t="s">
        <v>1657</v>
      </c>
      <c r="P42" s="390">
        <v>2</v>
      </c>
      <c r="Q42" s="3" t="s">
        <v>1290</v>
      </c>
    </row>
    <row r="43" spans="1:17" ht="45">
      <c r="A43" s="477" t="s">
        <v>786</v>
      </c>
      <c r="B43" s="477" t="s">
        <v>1593</v>
      </c>
      <c r="C43" s="477" t="s">
        <v>632</v>
      </c>
      <c r="D43" s="386" t="s">
        <v>1656</v>
      </c>
      <c r="E43" s="477" t="s">
        <v>1651</v>
      </c>
      <c r="F43" s="477">
        <v>3</v>
      </c>
      <c r="G43" s="3" t="s">
        <v>1288</v>
      </c>
      <c r="H43" s="3">
        <v>7</v>
      </c>
      <c r="K43" s="390" t="s">
        <v>786</v>
      </c>
      <c r="L43" s="390" t="s">
        <v>1595</v>
      </c>
      <c r="M43" s="390" t="s">
        <v>1294</v>
      </c>
      <c r="N43" s="642"/>
      <c r="O43" s="390" t="s">
        <v>1657</v>
      </c>
      <c r="P43" s="390">
        <v>2</v>
      </c>
      <c r="Q43" s="3" t="s">
        <v>1295</v>
      </c>
    </row>
    <row r="44" spans="1:17" ht="60">
      <c r="A44" s="477" t="s">
        <v>786</v>
      </c>
      <c r="B44" s="477" t="s">
        <v>1593</v>
      </c>
      <c r="C44" s="477" t="s">
        <v>633</v>
      </c>
      <c r="D44" s="386" t="s">
        <v>1615</v>
      </c>
      <c r="E44" s="477" t="s">
        <v>1659</v>
      </c>
      <c r="F44" s="477">
        <v>2</v>
      </c>
      <c r="G44" s="3" t="s">
        <v>1293</v>
      </c>
      <c r="H44" s="3">
        <v>5</v>
      </c>
      <c r="K44" s="478" t="s">
        <v>1660</v>
      </c>
      <c r="L44" s="478" t="s">
        <v>1660</v>
      </c>
      <c r="M44" s="478" t="s">
        <v>1660</v>
      </c>
      <c r="N44" s="478" t="s">
        <v>1660</v>
      </c>
      <c r="O44" s="478" t="s">
        <v>1660</v>
      </c>
      <c r="P44" s="478" t="s">
        <v>1660</v>
      </c>
    </row>
    <row r="45" spans="1:17" ht="114.75" customHeight="1">
      <c r="A45" s="478" t="s">
        <v>1660</v>
      </c>
      <c r="B45" s="478" t="s">
        <v>1660</v>
      </c>
      <c r="C45" s="478" t="s">
        <v>1660</v>
      </c>
      <c r="D45" s="478" t="s">
        <v>1660</v>
      </c>
      <c r="E45" s="478" t="s">
        <v>1660</v>
      </c>
      <c r="F45" s="478" t="s">
        <v>1660</v>
      </c>
      <c r="K45" s="391" t="s">
        <v>1660</v>
      </c>
      <c r="L45" s="391" t="s">
        <v>1595</v>
      </c>
      <c r="M45" s="391" t="s">
        <v>1208</v>
      </c>
      <c r="N45" s="483"/>
      <c r="O45" s="391" t="s">
        <v>1661</v>
      </c>
      <c r="P45" s="391">
        <v>2</v>
      </c>
      <c r="Q45" s="3" t="s">
        <v>1209</v>
      </c>
    </row>
    <row r="46" spans="1:17" ht="90">
      <c r="A46" s="479" t="s">
        <v>1660</v>
      </c>
      <c r="B46" s="479" t="s">
        <v>1593</v>
      </c>
      <c r="C46" s="479" t="s">
        <v>686</v>
      </c>
      <c r="D46" s="386" t="s">
        <v>1611</v>
      </c>
      <c r="E46" s="479" t="s">
        <v>1662</v>
      </c>
      <c r="F46" s="479">
        <v>2</v>
      </c>
      <c r="G46" s="3" t="s">
        <v>1202</v>
      </c>
      <c r="H46" s="3">
        <v>5</v>
      </c>
      <c r="K46" s="391" t="s">
        <v>1660</v>
      </c>
      <c r="L46" s="391" t="s">
        <v>1595</v>
      </c>
      <c r="M46" s="391" t="s">
        <v>1219</v>
      </c>
      <c r="N46" s="386"/>
      <c r="O46" s="391" t="s">
        <v>1663</v>
      </c>
      <c r="P46" s="391">
        <v>7</v>
      </c>
      <c r="Q46" s="3" t="s">
        <v>1220</v>
      </c>
    </row>
    <row r="47" spans="1:17" ht="135">
      <c r="A47" s="479" t="s">
        <v>1660</v>
      </c>
      <c r="B47" s="479" t="s">
        <v>1593</v>
      </c>
      <c r="C47" s="479" t="s">
        <v>687</v>
      </c>
      <c r="D47" s="386" t="s">
        <v>1664</v>
      </c>
      <c r="E47" s="479" t="s">
        <v>1663</v>
      </c>
      <c r="F47" s="479" t="s">
        <v>1665</v>
      </c>
      <c r="G47" s="3" t="s">
        <v>1206</v>
      </c>
      <c r="H47" s="3">
        <v>16</v>
      </c>
      <c r="K47" s="391" t="s">
        <v>1660</v>
      </c>
      <c r="L47" s="391" t="s">
        <v>1595</v>
      </c>
      <c r="M47" s="391" t="s">
        <v>1230</v>
      </c>
      <c r="N47" s="386"/>
      <c r="O47" s="391" t="s">
        <v>1666</v>
      </c>
      <c r="P47" s="391">
        <v>3</v>
      </c>
      <c r="Q47" s="3" t="s">
        <v>1231</v>
      </c>
    </row>
    <row r="48" spans="1:17" ht="135">
      <c r="A48" s="479" t="s">
        <v>1660</v>
      </c>
      <c r="B48" s="479" t="s">
        <v>1593</v>
      </c>
      <c r="C48" s="479" t="s">
        <v>688</v>
      </c>
      <c r="D48" s="386" t="s">
        <v>1667</v>
      </c>
      <c r="E48" s="479" t="s">
        <v>1668</v>
      </c>
      <c r="F48" s="479" t="s">
        <v>1669</v>
      </c>
      <c r="G48" s="3" t="s">
        <v>1216</v>
      </c>
      <c r="H48" s="3">
        <v>7</v>
      </c>
      <c r="K48" s="391" t="s">
        <v>1660</v>
      </c>
      <c r="L48" s="391" t="s">
        <v>1595</v>
      </c>
      <c r="M48" s="391" t="s">
        <v>1238</v>
      </c>
      <c r="N48" s="386"/>
      <c r="O48" s="391" t="s">
        <v>1670</v>
      </c>
      <c r="P48" s="391">
        <v>2</v>
      </c>
      <c r="Q48" s="3" t="s">
        <v>1239</v>
      </c>
    </row>
    <row r="49" spans="1:17" ht="75">
      <c r="A49" s="479" t="s">
        <v>1660</v>
      </c>
      <c r="B49" s="479" t="s">
        <v>1593</v>
      </c>
      <c r="C49" s="479" t="s">
        <v>1671</v>
      </c>
      <c r="D49" s="386" t="s">
        <v>1672</v>
      </c>
      <c r="E49" s="479" t="s">
        <v>1673</v>
      </c>
      <c r="F49" s="479">
        <v>2</v>
      </c>
      <c r="G49" s="3" t="s">
        <v>1227</v>
      </c>
      <c r="H49" s="3">
        <v>5</v>
      </c>
      <c r="K49" s="391" t="s">
        <v>1660</v>
      </c>
      <c r="L49" s="391" t="s">
        <v>1595</v>
      </c>
      <c r="M49" s="391" t="s">
        <v>1246</v>
      </c>
      <c r="N49" s="386"/>
      <c r="O49" s="391" t="s">
        <v>1674</v>
      </c>
      <c r="P49" s="391">
        <v>2</v>
      </c>
      <c r="Q49" s="3" t="s">
        <v>1247</v>
      </c>
    </row>
    <row r="50" spans="1:17" ht="105">
      <c r="A50" s="479" t="s">
        <v>1660</v>
      </c>
      <c r="B50" s="479" t="s">
        <v>1593</v>
      </c>
      <c r="C50" s="479" t="s">
        <v>690</v>
      </c>
      <c r="D50" s="386" t="s">
        <v>1672</v>
      </c>
      <c r="E50" s="479" t="s">
        <v>1675</v>
      </c>
      <c r="F50" s="479">
        <v>2</v>
      </c>
      <c r="G50" s="3" t="s">
        <v>1236</v>
      </c>
      <c r="H50" s="3">
        <v>5</v>
      </c>
      <c r="K50" s="391" t="s">
        <v>1660</v>
      </c>
      <c r="L50" s="391" t="s">
        <v>1595</v>
      </c>
      <c r="M50" s="391" t="s">
        <v>632</v>
      </c>
      <c r="N50" s="386"/>
      <c r="O50" s="391" t="s">
        <v>1676</v>
      </c>
      <c r="P50" s="391">
        <v>4</v>
      </c>
      <c r="Q50" s="3" t="s">
        <v>1252</v>
      </c>
    </row>
    <row r="51" spans="1:17" ht="150">
      <c r="A51" s="479" t="s">
        <v>1660</v>
      </c>
      <c r="B51" s="479" t="s">
        <v>1593</v>
      </c>
      <c r="C51" s="479" t="s">
        <v>632</v>
      </c>
      <c r="D51" s="386" t="s">
        <v>1677</v>
      </c>
      <c r="E51" s="479" t="s">
        <v>1676</v>
      </c>
      <c r="F51" s="479">
        <v>4</v>
      </c>
      <c r="G51" s="3" t="s">
        <v>1244</v>
      </c>
      <c r="H51" s="3">
        <v>9</v>
      </c>
      <c r="K51" s="392" t="s">
        <v>1660</v>
      </c>
      <c r="L51" s="392" t="s">
        <v>1602</v>
      </c>
      <c r="M51" s="392" t="s">
        <v>1210</v>
      </c>
      <c r="N51" s="386"/>
      <c r="O51" s="392" t="s">
        <v>1678</v>
      </c>
      <c r="P51" s="392">
        <v>2</v>
      </c>
      <c r="Q51" s="3" t="s">
        <v>1211</v>
      </c>
    </row>
    <row r="52" spans="1:17" ht="90">
      <c r="A52" s="480" t="s">
        <v>1660</v>
      </c>
      <c r="B52" s="480" t="s">
        <v>1600</v>
      </c>
      <c r="C52" s="480" t="s">
        <v>716</v>
      </c>
      <c r="D52" s="386" t="s">
        <v>1606</v>
      </c>
      <c r="E52" s="480" t="s">
        <v>1678</v>
      </c>
      <c r="F52" s="480">
        <v>2</v>
      </c>
      <c r="G52" s="3" t="s">
        <v>1203</v>
      </c>
      <c r="H52" s="3">
        <v>5</v>
      </c>
      <c r="K52" s="392" t="s">
        <v>1660</v>
      </c>
      <c r="L52" s="392" t="s">
        <v>1602</v>
      </c>
      <c r="M52" s="392" t="s">
        <v>1221</v>
      </c>
      <c r="N52" s="386"/>
      <c r="O52" s="392" t="s">
        <v>1679</v>
      </c>
      <c r="P52" s="392">
        <v>5</v>
      </c>
      <c r="Q52" s="3" t="s">
        <v>1222</v>
      </c>
    </row>
    <row r="53" spans="1:17" ht="75" customHeight="1">
      <c r="A53" s="480" t="s">
        <v>1660</v>
      </c>
      <c r="B53" s="480" t="s">
        <v>1600</v>
      </c>
      <c r="C53" s="480" t="s">
        <v>717</v>
      </c>
      <c r="D53" s="386" t="s">
        <v>1677</v>
      </c>
      <c r="E53" s="480" t="s">
        <v>1679</v>
      </c>
      <c r="F53" s="480" t="s">
        <v>1680</v>
      </c>
      <c r="G53" s="3" t="s">
        <v>1207</v>
      </c>
      <c r="H53" s="3">
        <v>11</v>
      </c>
      <c r="K53" s="392" t="s">
        <v>1660</v>
      </c>
      <c r="L53" s="392" t="s">
        <v>1602</v>
      </c>
      <c r="M53" s="392" t="s">
        <v>1232</v>
      </c>
      <c r="N53" s="386"/>
      <c r="O53" s="392" t="s">
        <v>1681</v>
      </c>
      <c r="P53" s="392">
        <v>5</v>
      </c>
      <c r="Q53" s="3" t="s">
        <v>1233</v>
      </c>
    </row>
    <row r="54" spans="1:17" ht="105">
      <c r="A54" s="480" t="s">
        <v>1660</v>
      </c>
      <c r="B54" s="480" t="s">
        <v>1600</v>
      </c>
      <c r="C54" s="480" t="s">
        <v>718</v>
      </c>
      <c r="D54" s="386" t="s">
        <v>1682</v>
      </c>
      <c r="E54" s="480" t="s">
        <v>1683</v>
      </c>
      <c r="F54" s="480">
        <v>2</v>
      </c>
      <c r="G54" s="3" t="s">
        <v>1218</v>
      </c>
      <c r="H54" s="3">
        <v>5</v>
      </c>
      <c r="K54" s="392" t="s">
        <v>1660</v>
      </c>
      <c r="L54" s="392" t="s">
        <v>1602</v>
      </c>
      <c r="M54" s="392" t="s">
        <v>1240</v>
      </c>
      <c r="N54" s="386"/>
      <c r="O54" s="392" t="s">
        <v>1684</v>
      </c>
      <c r="P54" s="392">
        <v>2</v>
      </c>
      <c r="Q54" s="3" t="s">
        <v>1241</v>
      </c>
    </row>
    <row r="55" spans="1:17" ht="135">
      <c r="A55" s="480" t="s">
        <v>1660</v>
      </c>
      <c r="B55" s="480" t="s">
        <v>1600</v>
      </c>
      <c r="C55" s="480" t="s">
        <v>719</v>
      </c>
      <c r="D55" s="386" t="s">
        <v>1685</v>
      </c>
      <c r="E55" s="480" t="s">
        <v>1681</v>
      </c>
      <c r="F55" s="480" t="s">
        <v>1680</v>
      </c>
      <c r="G55" s="3" t="s">
        <v>1229</v>
      </c>
      <c r="H55" s="3">
        <v>11</v>
      </c>
      <c r="K55" s="392" t="s">
        <v>1660</v>
      </c>
      <c r="L55" s="392" t="s">
        <v>1602</v>
      </c>
      <c r="M55" s="392" t="s">
        <v>632</v>
      </c>
      <c r="N55" s="642"/>
      <c r="O55" s="392" t="s">
        <v>1676</v>
      </c>
      <c r="P55" s="392">
        <v>6</v>
      </c>
      <c r="Q55" s="3" t="s">
        <v>1248</v>
      </c>
    </row>
    <row r="56" spans="1:17" ht="105">
      <c r="A56" s="480" t="s">
        <v>1660</v>
      </c>
      <c r="B56" s="480" t="s">
        <v>1600</v>
      </c>
      <c r="C56" s="480" t="s">
        <v>720</v>
      </c>
      <c r="D56" s="386" t="s">
        <v>1682</v>
      </c>
      <c r="E56" s="480" t="s">
        <v>1686</v>
      </c>
      <c r="F56" s="480">
        <v>2</v>
      </c>
      <c r="G56" s="3" t="s">
        <v>1237</v>
      </c>
      <c r="H56" s="3">
        <v>5</v>
      </c>
      <c r="K56" s="481" t="s">
        <v>1687</v>
      </c>
      <c r="L56" s="481" t="s">
        <v>1687</v>
      </c>
      <c r="M56" s="481" t="s">
        <v>1687</v>
      </c>
      <c r="N56" s="481" t="s">
        <v>1687</v>
      </c>
      <c r="O56" s="481" t="s">
        <v>1687</v>
      </c>
      <c r="P56" s="481" t="s">
        <v>1687</v>
      </c>
    </row>
    <row r="57" spans="1:17" ht="150">
      <c r="A57" s="480" t="s">
        <v>1660</v>
      </c>
      <c r="B57" s="480" t="s">
        <v>1600</v>
      </c>
      <c r="C57" s="480" t="s">
        <v>632</v>
      </c>
      <c r="D57" s="386" t="s">
        <v>1677</v>
      </c>
      <c r="E57" s="480" t="s">
        <v>1688</v>
      </c>
      <c r="F57" s="480">
        <v>4</v>
      </c>
      <c r="G57" s="3" t="s">
        <v>1245</v>
      </c>
      <c r="H57" s="3">
        <v>9</v>
      </c>
      <c r="K57" s="393" t="s">
        <v>1687</v>
      </c>
      <c r="L57" s="393" t="s">
        <v>1595</v>
      </c>
      <c r="M57" s="393" t="s">
        <v>1208</v>
      </c>
      <c r="N57" s="483"/>
      <c r="O57" s="393" t="s">
        <v>1689</v>
      </c>
      <c r="P57" s="393">
        <v>2</v>
      </c>
      <c r="Q57" s="3" t="s">
        <v>1690</v>
      </c>
    </row>
    <row r="58" spans="1:17" ht="166.5" customHeight="1">
      <c r="A58" s="481" t="s">
        <v>1687</v>
      </c>
      <c r="B58" s="481" t="s">
        <v>1687</v>
      </c>
      <c r="C58" s="481" t="s">
        <v>1687</v>
      </c>
      <c r="D58" s="481" t="s">
        <v>1687</v>
      </c>
      <c r="E58" s="481" t="s">
        <v>1687</v>
      </c>
      <c r="F58" s="481" t="s">
        <v>1687</v>
      </c>
      <c r="K58" s="393" t="s">
        <v>1687</v>
      </c>
      <c r="L58" s="393" t="s">
        <v>1595</v>
      </c>
      <c r="M58" s="393" t="s">
        <v>1691</v>
      </c>
      <c r="N58" s="386"/>
      <c r="O58" s="393" t="s">
        <v>1692</v>
      </c>
      <c r="P58" s="393">
        <v>7</v>
      </c>
      <c r="Q58" s="3" t="s">
        <v>1693</v>
      </c>
    </row>
    <row r="59" spans="1:17" ht="45">
      <c r="A59" s="482" t="s">
        <v>1687</v>
      </c>
      <c r="B59" s="482" t="s">
        <v>1593</v>
      </c>
      <c r="C59" s="482" t="s">
        <v>686</v>
      </c>
      <c r="D59" s="386" t="s">
        <v>1611</v>
      </c>
      <c r="E59" s="482" t="s">
        <v>1694</v>
      </c>
      <c r="F59" s="482">
        <v>2</v>
      </c>
      <c r="G59" s="3" t="s">
        <v>1258</v>
      </c>
      <c r="H59" s="3">
        <v>5</v>
      </c>
      <c r="K59" s="393" t="s">
        <v>1687</v>
      </c>
      <c r="L59" s="393" t="s">
        <v>1595</v>
      </c>
      <c r="M59" s="393" t="s">
        <v>1695</v>
      </c>
      <c r="N59" s="386"/>
      <c r="O59" s="393" t="s">
        <v>1696</v>
      </c>
      <c r="P59" s="393">
        <v>3</v>
      </c>
      <c r="Q59" s="3" t="s">
        <v>1697</v>
      </c>
    </row>
    <row r="60" spans="1:17" ht="75">
      <c r="A60" s="482" t="s">
        <v>1687</v>
      </c>
      <c r="B60" s="482" t="s">
        <v>1593</v>
      </c>
      <c r="C60" s="482" t="s">
        <v>752</v>
      </c>
      <c r="D60" s="386" t="s">
        <v>1698</v>
      </c>
      <c r="E60" s="482" t="s">
        <v>1692</v>
      </c>
      <c r="F60" s="482" t="s">
        <v>1699</v>
      </c>
      <c r="G60" s="3" t="s">
        <v>1262</v>
      </c>
      <c r="H60" s="3">
        <v>16</v>
      </c>
      <c r="K60" s="393" t="s">
        <v>1687</v>
      </c>
      <c r="L60" s="393" t="s">
        <v>1595</v>
      </c>
      <c r="M60" s="393" t="s">
        <v>1238</v>
      </c>
      <c r="N60" s="386"/>
      <c r="O60" s="393" t="s">
        <v>1700</v>
      </c>
      <c r="P60" s="393">
        <v>2</v>
      </c>
      <c r="Q60" s="3" t="s">
        <v>1701</v>
      </c>
    </row>
    <row r="61" spans="1:17" ht="75">
      <c r="A61" s="482" t="s">
        <v>1687</v>
      </c>
      <c r="B61" s="482" t="s">
        <v>1593</v>
      </c>
      <c r="C61" s="482" t="s">
        <v>753</v>
      </c>
      <c r="D61" s="386" t="s">
        <v>1677</v>
      </c>
      <c r="E61" s="482" t="s">
        <v>1696</v>
      </c>
      <c r="F61" s="482" t="s">
        <v>1669</v>
      </c>
      <c r="G61" s="3" t="s">
        <v>1267</v>
      </c>
      <c r="H61" s="3">
        <v>7</v>
      </c>
      <c r="K61" s="393" t="s">
        <v>1687</v>
      </c>
      <c r="L61" s="393" t="s">
        <v>1595</v>
      </c>
      <c r="M61" s="393" t="s">
        <v>1702</v>
      </c>
      <c r="N61" s="386"/>
      <c r="O61" s="393" t="s">
        <v>1703</v>
      </c>
      <c r="P61" s="393">
        <v>2</v>
      </c>
      <c r="Q61" s="3" t="s">
        <v>1704</v>
      </c>
    </row>
    <row r="62" spans="1:17" ht="60">
      <c r="A62" s="482" t="s">
        <v>1687</v>
      </c>
      <c r="B62" s="482" t="s">
        <v>1593</v>
      </c>
      <c r="C62" s="482" t="s">
        <v>754</v>
      </c>
      <c r="D62" s="386" t="s">
        <v>1672</v>
      </c>
      <c r="E62" s="482" t="s">
        <v>1705</v>
      </c>
      <c r="F62" s="482">
        <v>2</v>
      </c>
      <c r="G62" s="3" t="s">
        <v>1272</v>
      </c>
      <c r="H62" s="3">
        <v>5</v>
      </c>
      <c r="K62" s="393" t="s">
        <v>1687</v>
      </c>
      <c r="L62" s="393" t="s">
        <v>1595</v>
      </c>
      <c r="M62" s="393" t="s">
        <v>1706</v>
      </c>
      <c r="N62" s="386"/>
      <c r="O62" s="393" t="s">
        <v>1692</v>
      </c>
      <c r="P62" s="393">
        <v>4</v>
      </c>
      <c r="Q62" s="3" t="s">
        <v>1707</v>
      </c>
    </row>
    <row r="63" spans="1:17" ht="45">
      <c r="A63" s="482" t="s">
        <v>1687</v>
      </c>
      <c r="B63" s="482" t="s">
        <v>1593</v>
      </c>
      <c r="C63" s="482" t="s">
        <v>690</v>
      </c>
      <c r="D63" s="386" t="s">
        <v>1672</v>
      </c>
      <c r="E63" s="482" t="s">
        <v>1708</v>
      </c>
      <c r="F63" s="482">
        <v>2</v>
      </c>
      <c r="G63" s="3" t="s">
        <v>1277</v>
      </c>
      <c r="H63" s="3">
        <v>5</v>
      </c>
    </row>
    <row r="64" spans="1:17" ht="75">
      <c r="A64" s="482" t="s">
        <v>1687</v>
      </c>
      <c r="B64" s="482" t="s">
        <v>1593</v>
      </c>
      <c r="C64" s="482" t="s">
        <v>755</v>
      </c>
      <c r="D64" s="386" t="s">
        <v>1698</v>
      </c>
      <c r="E64" s="482" t="s">
        <v>1692</v>
      </c>
      <c r="F64" s="482">
        <v>4</v>
      </c>
      <c r="G64" s="3" t="s">
        <v>1282</v>
      </c>
      <c r="H64" s="3">
        <v>9</v>
      </c>
    </row>
  </sheetData>
  <autoFilter ref="A2:E64" xr:uid="{D18B5FF2-09BA-4009-A3C5-9C3539DE70B8}"/>
  <mergeCells count="2">
    <mergeCell ref="A1:H1"/>
    <mergeCell ref="K1:R1"/>
  </mergeCells>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60266-D785-4FF6-A98E-0021993C8A91}">
  <sheetPr>
    <tabColor rgb="FFCC0066"/>
  </sheetPr>
  <dimension ref="A1:AA24"/>
  <sheetViews>
    <sheetView topLeftCell="A9" zoomScale="80" zoomScaleNormal="80" workbookViewId="0">
      <selection activeCell="I15" sqref="I15:K23"/>
    </sheetView>
  </sheetViews>
  <sheetFormatPr defaultRowHeight="15"/>
  <cols>
    <col min="1" max="1" width="18.140625" customWidth="1"/>
    <col min="2" max="2" width="15.85546875" customWidth="1"/>
    <col min="3" max="3" width="17.140625" customWidth="1"/>
    <col min="5" max="5" width="23.42578125" customWidth="1"/>
    <col min="6" max="6" width="15" customWidth="1"/>
    <col min="7" max="7" width="17" customWidth="1"/>
    <col min="9" max="9" width="32.28515625" customWidth="1"/>
    <col min="10" max="10" width="13.140625" customWidth="1"/>
    <col min="11" max="11" width="15.140625" customWidth="1"/>
    <col min="13" max="13" width="25.28515625" customWidth="1"/>
    <col min="14" max="14" width="16" customWidth="1"/>
    <col min="15" max="15" width="18.28515625" customWidth="1"/>
    <col min="17" max="17" width="18.140625" bestFit="1" customWidth="1"/>
    <col min="18" max="18" width="18" bestFit="1" customWidth="1"/>
    <col min="19" max="19" width="16.140625" customWidth="1"/>
    <col min="21" max="21" width="21.7109375" customWidth="1"/>
    <col min="22" max="22" width="12.85546875" customWidth="1"/>
    <col min="23" max="23" width="18.28515625" customWidth="1"/>
    <col min="25" max="25" width="14.28515625" customWidth="1"/>
    <col min="26" max="26" width="16.7109375" customWidth="1"/>
    <col min="27" max="27" width="15.42578125" customWidth="1"/>
  </cols>
  <sheetData>
    <row r="1" spans="1:27" ht="30">
      <c r="A1" s="531" t="s">
        <v>1134</v>
      </c>
      <c r="B1" s="531" t="s">
        <v>1709</v>
      </c>
      <c r="C1" s="531" t="s">
        <v>1710</v>
      </c>
      <c r="E1" s="531" t="s">
        <v>1134</v>
      </c>
      <c r="F1" s="531" t="s">
        <v>1709</v>
      </c>
      <c r="G1" s="531" t="s">
        <v>1710</v>
      </c>
      <c r="I1" s="531" t="s">
        <v>1134</v>
      </c>
      <c r="J1" s="531" t="s">
        <v>1709</v>
      </c>
      <c r="K1" s="531" t="s">
        <v>1710</v>
      </c>
      <c r="M1" s="531" t="s">
        <v>1134</v>
      </c>
      <c r="N1" s="531" t="s">
        <v>1709</v>
      </c>
      <c r="O1" s="531" t="s">
        <v>1710</v>
      </c>
      <c r="Q1" s="531" t="s">
        <v>1134</v>
      </c>
      <c r="R1" s="531" t="s">
        <v>1709</v>
      </c>
      <c r="S1" s="531" t="s">
        <v>1710</v>
      </c>
      <c r="U1" s="531" t="s">
        <v>1134</v>
      </c>
      <c r="V1" s="531" t="s">
        <v>1709</v>
      </c>
      <c r="W1" s="531" t="s">
        <v>1710</v>
      </c>
      <c r="Y1" s="531" t="s">
        <v>1134</v>
      </c>
      <c r="Z1" s="531" t="s">
        <v>1709</v>
      </c>
      <c r="AA1" s="531" t="s">
        <v>1710</v>
      </c>
    </row>
    <row r="2" spans="1:27" ht="45.75" customHeight="1">
      <c r="A2" s="532" t="s">
        <v>430</v>
      </c>
      <c r="B2" s="53">
        <v>30</v>
      </c>
      <c r="C2" s="533">
        <v>5</v>
      </c>
      <c r="E2" s="532" t="s">
        <v>503</v>
      </c>
      <c r="F2" s="53">
        <v>30</v>
      </c>
      <c r="G2" s="533">
        <v>5</v>
      </c>
      <c r="I2" s="532" t="s">
        <v>663</v>
      </c>
      <c r="J2" s="53">
        <v>30</v>
      </c>
      <c r="K2" s="533">
        <v>5</v>
      </c>
      <c r="M2" s="532" t="s">
        <v>1259</v>
      </c>
      <c r="N2" s="53">
        <v>60</v>
      </c>
      <c r="O2" s="533">
        <v>9</v>
      </c>
      <c r="Q2" s="532" t="s">
        <v>1711</v>
      </c>
      <c r="R2" s="53">
        <v>30</v>
      </c>
      <c r="S2" s="533">
        <v>5</v>
      </c>
      <c r="U2" s="532" t="s">
        <v>1712</v>
      </c>
      <c r="V2" s="53">
        <v>30</v>
      </c>
      <c r="W2" s="533">
        <v>5</v>
      </c>
      <c r="Y2" s="532" t="s">
        <v>686</v>
      </c>
      <c r="Z2" s="53">
        <v>30</v>
      </c>
      <c r="AA2" s="533">
        <v>5</v>
      </c>
    </row>
    <row r="3" spans="1:27" ht="53.25" customHeight="1">
      <c r="A3" s="532" t="s">
        <v>431</v>
      </c>
      <c r="B3" s="53">
        <v>30</v>
      </c>
      <c r="C3" s="533">
        <v>5</v>
      </c>
      <c r="E3" s="532" t="s">
        <v>504</v>
      </c>
      <c r="F3" s="53">
        <v>30</v>
      </c>
      <c r="G3" s="533">
        <v>5</v>
      </c>
      <c r="I3" s="532" t="s">
        <v>664</v>
      </c>
      <c r="J3" s="53">
        <v>30</v>
      </c>
      <c r="K3" s="533">
        <v>5</v>
      </c>
      <c r="M3" s="532" t="s">
        <v>627</v>
      </c>
      <c r="N3" s="53">
        <v>30</v>
      </c>
      <c r="O3" s="533">
        <v>5</v>
      </c>
      <c r="Q3" s="532" t="s">
        <v>1713</v>
      </c>
      <c r="R3" s="53">
        <v>105</v>
      </c>
      <c r="S3" s="533">
        <v>16</v>
      </c>
      <c r="U3" s="532" t="s">
        <v>1714</v>
      </c>
      <c r="V3" s="53">
        <v>75</v>
      </c>
      <c r="W3" s="533">
        <v>11</v>
      </c>
      <c r="Y3" s="532" t="s">
        <v>752</v>
      </c>
      <c r="Z3" s="53">
        <v>105</v>
      </c>
      <c r="AA3" s="533">
        <v>16</v>
      </c>
    </row>
    <row r="4" spans="1:27" ht="75">
      <c r="A4" s="532" t="s">
        <v>432</v>
      </c>
      <c r="B4" s="53">
        <v>60</v>
      </c>
      <c r="C4" s="533">
        <v>9</v>
      </c>
      <c r="E4" s="532" t="s">
        <v>505</v>
      </c>
      <c r="F4" s="53">
        <v>60</v>
      </c>
      <c r="G4" s="533">
        <v>9</v>
      </c>
      <c r="I4" s="532" t="s">
        <v>665</v>
      </c>
      <c r="J4" s="53">
        <v>30</v>
      </c>
      <c r="K4" s="533">
        <v>5</v>
      </c>
      <c r="M4" s="532" t="s">
        <v>628</v>
      </c>
      <c r="N4" s="53">
        <v>30</v>
      </c>
      <c r="O4" s="533">
        <v>5</v>
      </c>
      <c r="Q4" s="532" t="s">
        <v>1715</v>
      </c>
      <c r="R4" s="53">
        <v>45</v>
      </c>
      <c r="S4" s="533">
        <v>7</v>
      </c>
      <c r="U4" s="532" t="s">
        <v>1716</v>
      </c>
      <c r="V4" s="53">
        <v>30</v>
      </c>
      <c r="W4" s="533">
        <v>5</v>
      </c>
      <c r="Y4" s="532" t="s">
        <v>753</v>
      </c>
      <c r="Z4" s="53">
        <v>45</v>
      </c>
      <c r="AA4" s="533">
        <v>7</v>
      </c>
    </row>
    <row r="5" spans="1:27" ht="83.25" customHeight="1">
      <c r="A5" s="532" t="s">
        <v>433</v>
      </c>
      <c r="B5" s="53">
        <v>60</v>
      </c>
      <c r="C5" s="533">
        <v>9</v>
      </c>
      <c r="E5" s="532" t="s">
        <v>506</v>
      </c>
      <c r="F5" s="53">
        <v>45</v>
      </c>
      <c r="G5" s="533">
        <v>7</v>
      </c>
      <c r="I5" s="532" t="s">
        <v>666</v>
      </c>
      <c r="J5" s="53">
        <v>30</v>
      </c>
      <c r="K5" s="533">
        <v>5</v>
      </c>
      <c r="M5" s="532" t="s">
        <v>629</v>
      </c>
      <c r="N5" s="53">
        <v>30</v>
      </c>
      <c r="O5" s="533">
        <v>5</v>
      </c>
      <c r="Q5" s="532" t="s">
        <v>1717</v>
      </c>
      <c r="R5" s="53">
        <v>30</v>
      </c>
      <c r="S5" s="533">
        <v>5</v>
      </c>
      <c r="U5" s="532" t="s">
        <v>1718</v>
      </c>
      <c r="V5" s="53">
        <v>75</v>
      </c>
      <c r="W5" s="533">
        <v>11</v>
      </c>
      <c r="Y5" s="532" t="s">
        <v>754</v>
      </c>
      <c r="Z5" s="53">
        <v>30</v>
      </c>
      <c r="AA5" s="533">
        <v>5</v>
      </c>
    </row>
    <row r="6" spans="1:27" ht="45">
      <c r="A6" s="532" t="s">
        <v>434</v>
      </c>
      <c r="B6" s="53">
        <v>60</v>
      </c>
      <c r="C6" s="533">
        <v>9</v>
      </c>
      <c r="E6" s="532" t="s">
        <v>507</v>
      </c>
      <c r="F6" s="53">
        <v>75</v>
      </c>
      <c r="G6" s="533">
        <v>11</v>
      </c>
      <c r="I6" s="532" t="s">
        <v>667</v>
      </c>
      <c r="J6" s="53">
        <v>30</v>
      </c>
      <c r="K6" s="533">
        <v>5</v>
      </c>
      <c r="M6" s="532" t="s">
        <v>630</v>
      </c>
      <c r="N6" s="53">
        <v>30</v>
      </c>
      <c r="O6" s="533">
        <v>5</v>
      </c>
      <c r="Q6" s="532" t="s">
        <v>1719</v>
      </c>
      <c r="R6" s="53">
        <v>30</v>
      </c>
      <c r="S6" s="533">
        <v>5</v>
      </c>
      <c r="U6" s="532" t="s">
        <v>1720</v>
      </c>
      <c r="V6" s="53">
        <v>30</v>
      </c>
      <c r="W6" s="533">
        <v>5</v>
      </c>
      <c r="Y6" s="532" t="s">
        <v>690</v>
      </c>
      <c r="Z6" s="53">
        <v>30</v>
      </c>
      <c r="AA6" s="533">
        <v>5</v>
      </c>
    </row>
    <row r="7" spans="1:27" ht="65.25" customHeight="1">
      <c r="A7" s="532" t="s">
        <v>435</v>
      </c>
      <c r="B7" s="53">
        <v>60</v>
      </c>
      <c r="C7" s="533">
        <v>9</v>
      </c>
      <c r="E7" s="532" t="s">
        <v>508</v>
      </c>
      <c r="F7" s="53">
        <v>60</v>
      </c>
      <c r="G7" s="533">
        <v>9</v>
      </c>
      <c r="I7" s="532" t="s">
        <v>668</v>
      </c>
      <c r="J7" s="53">
        <v>30</v>
      </c>
      <c r="K7" s="533">
        <v>5</v>
      </c>
      <c r="M7" s="532" t="s">
        <v>631</v>
      </c>
      <c r="N7" s="534">
        <v>45</v>
      </c>
      <c r="O7" s="535">
        <v>7</v>
      </c>
      <c r="Q7" s="532" t="s">
        <v>1721</v>
      </c>
      <c r="R7" s="534">
        <v>60</v>
      </c>
      <c r="S7" s="535">
        <v>9</v>
      </c>
      <c r="U7" s="532" t="s">
        <v>1721</v>
      </c>
      <c r="V7" s="534">
        <v>60</v>
      </c>
      <c r="W7" s="535">
        <v>9</v>
      </c>
      <c r="Y7" s="532" t="s">
        <v>755</v>
      </c>
      <c r="Z7" s="534">
        <v>60</v>
      </c>
      <c r="AA7" s="535">
        <v>9</v>
      </c>
    </row>
    <row r="8" spans="1:27" ht="60.75" customHeight="1">
      <c r="I8" s="532" t="s">
        <v>669</v>
      </c>
      <c r="J8" s="534">
        <v>45</v>
      </c>
      <c r="K8" s="535">
        <v>7</v>
      </c>
      <c r="M8" s="532" t="s">
        <v>632</v>
      </c>
      <c r="N8" s="53">
        <v>45</v>
      </c>
      <c r="O8" s="533">
        <v>7</v>
      </c>
    </row>
    <row r="9" spans="1:27" ht="75.75" customHeight="1">
      <c r="I9" s="532" t="s">
        <v>670</v>
      </c>
      <c r="J9" s="53">
        <v>30</v>
      </c>
      <c r="K9" s="533">
        <v>5</v>
      </c>
      <c r="M9" s="532" t="s">
        <v>633</v>
      </c>
      <c r="N9" s="53">
        <v>30</v>
      </c>
      <c r="O9" s="533">
        <v>5</v>
      </c>
    </row>
    <row r="10" spans="1:27" ht="39.75" customHeight="1">
      <c r="I10" s="532" t="s">
        <v>632</v>
      </c>
      <c r="J10" s="53">
        <v>45</v>
      </c>
      <c r="K10" s="533">
        <v>7</v>
      </c>
    </row>
    <row r="15" spans="1:27" ht="30">
      <c r="A15" s="531" t="s">
        <v>1134</v>
      </c>
      <c r="B15" s="531" t="s">
        <v>1709</v>
      </c>
      <c r="C15" s="531" t="s">
        <v>1710</v>
      </c>
      <c r="E15" s="531" t="s">
        <v>1134</v>
      </c>
      <c r="F15" s="531" t="s">
        <v>1709</v>
      </c>
      <c r="G15" s="531" t="s">
        <v>1710</v>
      </c>
      <c r="I15" s="531" t="s">
        <v>1134</v>
      </c>
      <c r="J15" s="531" t="s">
        <v>1709</v>
      </c>
      <c r="K15" s="531" t="s">
        <v>1710</v>
      </c>
      <c r="M15" s="531" t="s">
        <v>1134</v>
      </c>
      <c r="N15" s="531" t="s">
        <v>1709</v>
      </c>
      <c r="O15" s="531" t="s">
        <v>1710</v>
      </c>
      <c r="Q15" s="531" t="s">
        <v>1134</v>
      </c>
      <c r="R15" s="531" t="s">
        <v>1709</v>
      </c>
      <c r="S15" s="531" t="s">
        <v>1710</v>
      </c>
      <c r="U15" s="531" t="s">
        <v>1134</v>
      </c>
      <c r="V15" s="531" t="s">
        <v>1709</v>
      </c>
      <c r="W15" s="531" t="s">
        <v>1710</v>
      </c>
      <c r="Y15" s="531" t="s">
        <v>1134</v>
      </c>
      <c r="Z15" s="531" t="s">
        <v>1709</v>
      </c>
      <c r="AA15" s="531" t="s">
        <v>1710</v>
      </c>
    </row>
    <row r="16" spans="1:27" ht="45">
      <c r="A16" s="532" t="s">
        <v>1154</v>
      </c>
      <c r="B16" s="53">
        <v>30</v>
      </c>
      <c r="C16" s="533">
        <v>6</v>
      </c>
      <c r="E16" s="532" t="s">
        <v>3364</v>
      </c>
      <c r="F16" s="53">
        <v>30</v>
      </c>
      <c r="G16" s="533">
        <v>6</v>
      </c>
      <c r="I16" s="532" t="s">
        <v>1269</v>
      </c>
      <c r="J16" s="53">
        <v>45</v>
      </c>
      <c r="K16" s="533">
        <v>9</v>
      </c>
      <c r="M16" s="532" t="s">
        <v>1311</v>
      </c>
      <c r="N16" s="53">
        <v>30</v>
      </c>
      <c r="O16" s="533">
        <v>6</v>
      </c>
      <c r="Q16" s="532" t="s">
        <v>3366</v>
      </c>
      <c r="R16" s="53">
        <v>105</v>
      </c>
      <c r="S16" s="533">
        <v>21</v>
      </c>
      <c r="U16" s="532" t="s">
        <v>1232</v>
      </c>
      <c r="V16" s="53">
        <v>75</v>
      </c>
      <c r="W16" s="533">
        <v>15</v>
      </c>
      <c r="Y16" s="532" t="s">
        <v>1691</v>
      </c>
      <c r="Z16" s="53">
        <v>30</v>
      </c>
      <c r="AA16" s="533">
        <v>6</v>
      </c>
    </row>
    <row r="17" spans="1:27" ht="75">
      <c r="A17" s="532" t="s">
        <v>1144</v>
      </c>
      <c r="B17" s="53">
        <v>30</v>
      </c>
      <c r="C17" s="533">
        <v>6</v>
      </c>
      <c r="E17" s="532" t="s">
        <v>1163</v>
      </c>
      <c r="F17" s="53">
        <v>60</v>
      </c>
      <c r="G17" s="533">
        <v>12</v>
      </c>
      <c r="I17" s="532" t="s">
        <v>1284</v>
      </c>
      <c r="J17" s="53">
        <v>30</v>
      </c>
      <c r="K17" s="533">
        <v>6</v>
      </c>
      <c r="M17" s="532" t="s">
        <v>3359</v>
      </c>
      <c r="N17" s="53">
        <v>30</v>
      </c>
      <c r="O17" s="533">
        <v>6</v>
      </c>
      <c r="Q17" s="532" t="s">
        <v>1230</v>
      </c>
      <c r="R17" s="53">
        <v>45</v>
      </c>
      <c r="S17" s="533">
        <v>9</v>
      </c>
      <c r="U17" s="532" t="s">
        <v>632</v>
      </c>
      <c r="V17" s="53">
        <v>90</v>
      </c>
      <c r="W17" s="533">
        <v>18</v>
      </c>
      <c r="Y17" s="532" t="s">
        <v>3369</v>
      </c>
      <c r="Z17" s="53">
        <v>45</v>
      </c>
      <c r="AA17" s="533">
        <v>9</v>
      </c>
    </row>
    <row r="18" spans="1:27" ht="45">
      <c r="A18" s="532" t="s">
        <v>1161</v>
      </c>
      <c r="B18" s="53">
        <v>30</v>
      </c>
      <c r="C18" s="533">
        <v>6</v>
      </c>
      <c r="E18" s="532" t="s">
        <v>3365</v>
      </c>
      <c r="F18" s="53">
        <v>60</v>
      </c>
      <c r="G18" s="533">
        <v>12</v>
      </c>
      <c r="I18" s="532" t="s">
        <v>632</v>
      </c>
      <c r="J18" s="53">
        <v>45</v>
      </c>
      <c r="K18" s="533">
        <v>9</v>
      </c>
      <c r="M18" s="532" t="s">
        <v>632</v>
      </c>
      <c r="N18" s="53">
        <v>45</v>
      </c>
      <c r="O18" s="533">
        <v>9</v>
      </c>
      <c r="Q18" s="532" t="s">
        <v>632</v>
      </c>
      <c r="R18" s="53">
        <v>30</v>
      </c>
      <c r="S18" s="533">
        <v>6</v>
      </c>
      <c r="U18" s="532" t="s">
        <v>1210</v>
      </c>
      <c r="V18" s="53">
        <v>30</v>
      </c>
      <c r="W18" s="533">
        <v>6</v>
      </c>
      <c r="Y18" s="532" t="s">
        <v>2656</v>
      </c>
      <c r="Z18" s="53">
        <v>60</v>
      </c>
      <c r="AA18" s="533">
        <v>12</v>
      </c>
    </row>
    <row r="19" spans="1:27" ht="45">
      <c r="A19" s="532" t="s">
        <v>2678</v>
      </c>
      <c r="B19" s="53">
        <v>60</v>
      </c>
      <c r="C19" s="533">
        <v>12</v>
      </c>
      <c r="E19" s="532" t="s">
        <v>1181</v>
      </c>
      <c r="F19" s="53">
        <v>75</v>
      </c>
      <c r="G19" s="533">
        <v>15</v>
      </c>
      <c r="I19" s="532" t="s">
        <v>3355</v>
      </c>
      <c r="J19" s="53">
        <v>30</v>
      </c>
      <c r="K19" s="533">
        <v>6</v>
      </c>
      <c r="M19" s="532" t="s">
        <v>1307</v>
      </c>
      <c r="N19" s="53">
        <v>30</v>
      </c>
      <c r="O19" s="533">
        <v>6</v>
      </c>
      <c r="Q19" s="532" t="s">
        <v>1238</v>
      </c>
      <c r="R19" s="53">
        <v>30</v>
      </c>
      <c r="S19" s="533">
        <v>6</v>
      </c>
      <c r="U19" s="532" t="s">
        <v>1240</v>
      </c>
      <c r="V19" s="53">
        <v>30</v>
      </c>
      <c r="W19" s="533">
        <v>6</v>
      </c>
      <c r="Y19" s="532" t="s">
        <v>2540</v>
      </c>
      <c r="Z19" s="53">
        <v>30</v>
      </c>
      <c r="AA19" s="533">
        <v>6</v>
      </c>
    </row>
    <row r="20" spans="1:27" ht="90">
      <c r="A20" s="532" t="s">
        <v>1169</v>
      </c>
      <c r="B20" s="53">
        <v>45</v>
      </c>
      <c r="C20" s="533">
        <v>9</v>
      </c>
      <c r="E20" s="532" t="s">
        <v>1156</v>
      </c>
      <c r="F20" s="53">
        <v>75</v>
      </c>
      <c r="G20" s="533">
        <v>15</v>
      </c>
      <c r="I20" s="532" t="s">
        <v>1279</v>
      </c>
      <c r="J20" s="53">
        <v>30</v>
      </c>
      <c r="K20" s="533">
        <v>6</v>
      </c>
      <c r="M20" s="532" t="s">
        <v>3360</v>
      </c>
      <c r="N20" s="53">
        <v>45</v>
      </c>
      <c r="O20" s="533">
        <v>9</v>
      </c>
      <c r="Q20" s="532" t="s">
        <v>3367</v>
      </c>
      <c r="R20" s="53">
        <v>30</v>
      </c>
      <c r="S20" s="533">
        <v>6</v>
      </c>
      <c r="U20" s="532" t="s">
        <v>3368</v>
      </c>
      <c r="V20" s="53">
        <v>75</v>
      </c>
      <c r="W20" s="533">
        <v>15</v>
      </c>
      <c r="Y20" s="532" t="s">
        <v>3367</v>
      </c>
      <c r="Z20" s="53">
        <v>30</v>
      </c>
      <c r="AA20" s="533">
        <v>6</v>
      </c>
    </row>
    <row r="21" spans="1:27" ht="65.25" customHeight="1">
      <c r="A21" s="532" t="s">
        <v>1192</v>
      </c>
      <c r="B21" s="53">
        <v>60</v>
      </c>
      <c r="C21" s="533">
        <v>12</v>
      </c>
      <c r="I21" s="532" t="s">
        <v>3356</v>
      </c>
      <c r="J21" s="53">
        <v>30</v>
      </c>
      <c r="K21" s="533">
        <v>6</v>
      </c>
      <c r="M21" s="532" t="s">
        <v>3361</v>
      </c>
      <c r="N21" s="534">
        <v>30</v>
      </c>
      <c r="O21" s="535">
        <v>6</v>
      </c>
      <c r="Q21" s="532" t="s">
        <v>1208</v>
      </c>
      <c r="R21" s="534">
        <v>30</v>
      </c>
      <c r="S21" s="535">
        <v>6</v>
      </c>
      <c r="Y21" s="532" t="s">
        <v>1208</v>
      </c>
      <c r="Z21" s="534">
        <v>30</v>
      </c>
      <c r="AA21" s="535">
        <v>6</v>
      </c>
    </row>
    <row r="22" spans="1:27" ht="75">
      <c r="A22" s="532" t="s">
        <v>1187</v>
      </c>
      <c r="B22" s="53">
        <v>45</v>
      </c>
      <c r="C22" s="533">
        <v>9</v>
      </c>
      <c r="I22" s="532" t="s">
        <v>3357</v>
      </c>
      <c r="J22" s="53">
        <v>60</v>
      </c>
      <c r="K22" s="533">
        <v>12</v>
      </c>
      <c r="M22" s="532" t="s">
        <v>3362</v>
      </c>
      <c r="N22" s="53">
        <v>30</v>
      </c>
      <c r="O22" s="533">
        <v>6</v>
      </c>
    </row>
    <row r="23" spans="1:27" ht="75.75" customHeight="1">
      <c r="I23" s="532" t="s">
        <v>3358</v>
      </c>
      <c r="J23" s="53">
        <v>30</v>
      </c>
      <c r="K23" s="533">
        <v>6</v>
      </c>
      <c r="M23" s="532" t="s">
        <v>3363</v>
      </c>
      <c r="N23" s="53">
        <v>30</v>
      </c>
      <c r="O23" s="533">
        <v>6</v>
      </c>
    </row>
    <row r="24" spans="1:27" ht="39.7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5D4D-F681-4AAA-8D8C-19C4E2303245}">
  <sheetPr codeName="Φύλλο3">
    <tabColor rgb="FFCCCCFF"/>
  </sheetPr>
  <dimension ref="A1:K31"/>
  <sheetViews>
    <sheetView workbookViewId="0">
      <selection activeCell="L9" sqref="L9"/>
    </sheetView>
  </sheetViews>
  <sheetFormatPr defaultRowHeight="15"/>
  <cols>
    <col min="2" max="2" width="12.7109375" style="136" bestFit="1" customWidth="1"/>
    <col min="3" max="3" width="20.85546875" style="136" customWidth="1"/>
    <col min="4" max="4" width="10.5703125" style="136" bestFit="1" customWidth="1"/>
    <col min="9" max="9" width="9.140625" customWidth="1"/>
  </cols>
  <sheetData>
    <row r="1" spans="1:10">
      <c r="A1" s="1158" t="s">
        <v>1722</v>
      </c>
      <c r="B1" s="1158"/>
      <c r="C1" s="1158"/>
      <c r="D1" s="1158"/>
      <c r="E1" s="1158"/>
      <c r="F1" s="1158"/>
      <c r="G1" s="1158"/>
      <c r="H1" s="1158"/>
      <c r="I1" s="1158"/>
    </row>
    <row r="2" spans="1:10">
      <c r="A2" s="1242" t="s">
        <v>1723</v>
      </c>
      <c r="B2" s="1242"/>
      <c r="C2" s="1242"/>
      <c r="D2" s="1242"/>
      <c r="E2" s="1242"/>
      <c r="F2" s="1242"/>
      <c r="G2" s="1242"/>
      <c r="H2" s="1242"/>
      <c r="I2" s="1242"/>
    </row>
    <row r="3" spans="1:10">
      <c r="A3" s="1242" t="s">
        <v>3724</v>
      </c>
      <c r="B3" s="1242"/>
      <c r="C3" s="1242"/>
      <c r="D3" s="1242"/>
      <c r="E3" s="1242"/>
      <c r="F3" s="1242"/>
      <c r="G3" s="1242"/>
      <c r="H3" s="1242"/>
      <c r="I3" s="1242"/>
    </row>
    <row r="4" spans="1:10">
      <c r="A4" s="1242" t="s">
        <v>3607</v>
      </c>
      <c r="B4" s="1242"/>
      <c r="C4" s="1242"/>
      <c r="D4" s="1242"/>
      <c r="E4" s="1242"/>
      <c r="F4" s="1242"/>
      <c r="G4" s="1242"/>
      <c r="H4" s="1242"/>
      <c r="I4" s="1242"/>
      <c r="J4" t="s">
        <v>1725</v>
      </c>
    </row>
    <row r="5" spans="1:10">
      <c r="A5" s="1242" t="s">
        <v>3723</v>
      </c>
      <c r="B5" s="1242"/>
      <c r="C5" s="1242"/>
      <c r="D5" s="1242"/>
      <c r="E5" s="1242"/>
      <c r="F5" s="1242"/>
      <c r="G5" s="1242"/>
      <c r="H5" s="1242"/>
      <c r="I5" s="1242"/>
      <c r="J5" t="s">
        <v>1724</v>
      </c>
    </row>
    <row r="6" spans="1:10">
      <c r="A6" s="1241" t="s">
        <v>3608</v>
      </c>
      <c r="B6" s="1241"/>
      <c r="C6" s="1241"/>
      <c r="D6" s="1241"/>
      <c r="E6" s="1241"/>
      <c r="F6" s="1241"/>
      <c r="G6" s="1241"/>
      <c r="H6" s="1241"/>
      <c r="I6" s="1241"/>
    </row>
    <row r="7" spans="1:10" ht="30.75" customHeight="1">
      <c r="A7" s="1241" t="s">
        <v>3611</v>
      </c>
      <c r="B7" s="1241"/>
      <c r="C7" s="1241"/>
      <c r="D7" s="1241"/>
      <c r="E7" s="1241"/>
      <c r="F7" s="1241"/>
      <c r="G7" s="1241"/>
      <c r="H7" s="1241"/>
      <c r="I7" s="1241"/>
    </row>
    <row r="8" spans="1:10">
      <c r="A8" s="1161" t="s">
        <v>3609</v>
      </c>
      <c r="B8" s="1161"/>
      <c r="C8" s="1161"/>
      <c r="D8" s="1161"/>
      <c r="E8" s="1161"/>
      <c r="F8" s="1161"/>
      <c r="G8" s="1161"/>
      <c r="H8" s="1161"/>
      <c r="I8" s="1161"/>
    </row>
    <row r="9" spans="1:10">
      <c r="A9" s="1161" t="s">
        <v>3610</v>
      </c>
      <c r="B9" s="1161"/>
      <c r="C9" s="1161"/>
      <c r="D9" s="1161"/>
      <c r="E9" s="1161"/>
      <c r="F9" s="1161"/>
      <c r="G9" s="1161"/>
      <c r="H9" s="1161"/>
      <c r="I9" s="1161"/>
    </row>
    <row r="10" spans="1:10">
      <c r="A10" s="1239" t="s">
        <v>1726</v>
      </c>
      <c r="B10" s="1239"/>
      <c r="C10" s="1239"/>
      <c r="D10" s="1240" t="s">
        <v>1727</v>
      </c>
      <c r="E10" s="1240"/>
      <c r="F10" s="1240"/>
      <c r="G10" s="1240"/>
      <c r="H10" s="303"/>
      <c r="I10" s="303"/>
      <c r="J10" s="303"/>
    </row>
    <row r="11" spans="1:10">
      <c r="A11" s="1239"/>
      <c r="B11" s="1239"/>
      <c r="C11" s="1239"/>
      <c r="D11" s="1240"/>
      <c r="E11" s="1240"/>
      <c r="F11" s="1240"/>
      <c r="G11" s="1240"/>
    </row>
    <row r="12" spans="1:10">
      <c r="A12" s="1161"/>
      <c r="B12" s="1161"/>
      <c r="C12" s="1161"/>
    </row>
    <row r="31" spans="11:11">
      <c r="K31" t="s">
        <v>625</v>
      </c>
    </row>
  </sheetData>
  <mergeCells count="12">
    <mergeCell ref="A12:C12"/>
    <mergeCell ref="A10:C11"/>
    <mergeCell ref="D10:G11"/>
    <mergeCell ref="A7:I7"/>
    <mergeCell ref="A1:I1"/>
    <mergeCell ref="A2:I2"/>
    <mergeCell ref="A3:I3"/>
    <mergeCell ref="A4:I4"/>
    <mergeCell ref="A5:I5"/>
    <mergeCell ref="A6:I6"/>
    <mergeCell ref="A8:I8"/>
    <mergeCell ref="A9:I9"/>
  </mergeCells>
  <phoneticPr fontId="8" type="noConversion"/>
  <hyperlinks>
    <hyperlink ref="D10" r:id="rId1" xr:uid="{61651F56-6086-4120-A9C9-34FFE9A72A6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D857-EDE1-4D81-A1C8-E5E63970B1C7}">
  <sheetPr>
    <tabColor rgb="FFFF0066"/>
  </sheetPr>
  <dimension ref="A1:DR334"/>
  <sheetViews>
    <sheetView topLeftCell="CS5" workbookViewId="0">
      <selection activeCell="DE6" sqref="DE6:DF6"/>
    </sheetView>
  </sheetViews>
  <sheetFormatPr defaultRowHeight="15"/>
  <cols>
    <col min="5" max="5" width="17.28515625" customWidth="1"/>
    <col min="6" max="6" width="18.140625" style="136" customWidth="1"/>
    <col min="7" max="7" width="18" style="308" customWidth="1"/>
    <col min="98" max="98" width="17.28515625" customWidth="1"/>
    <col min="99" max="99" width="18.140625" style="136" customWidth="1"/>
    <col min="100" max="100" width="18" style="3" customWidth="1"/>
  </cols>
  <sheetData>
    <row r="1" spans="1:122" ht="30.75" thickBot="1">
      <c r="A1" s="1257" t="s">
        <v>1728</v>
      </c>
      <c r="B1" s="1258"/>
      <c r="C1" s="1258"/>
      <c r="D1" s="1258"/>
      <c r="E1" s="1258"/>
      <c r="F1" s="1258"/>
      <c r="G1" s="1259"/>
      <c r="H1" s="81"/>
      <c r="I1" s="1257" t="s">
        <v>1729</v>
      </c>
      <c r="J1" s="1258"/>
      <c r="K1" s="1258"/>
      <c r="L1" s="1259"/>
      <c r="N1" s="1257" t="s">
        <v>1730</v>
      </c>
      <c r="O1" s="1258"/>
      <c r="P1" s="1258"/>
      <c r="Q1" s="1259"/>
      <c r="T1" s="1298" t="s">
        <v>1731</v>
      </c>
      <c r="U1" s="1298"/>
      <c r="V1" s="1298"/>
      <c r="W1" s="1298"/>
      <c r="Y1" s="1299" t="s">
        <v>1732</v>
      </c>
      <c r="Z1" s="1299"/>
      <c r="AA1" s="1299"/>
      <c r="AB1" s="1299"/>
      <c r="AC1" s="136"/>
      <c r="AD1" s="1300" t="s">
        <v>1732</v>
      </c>
      <c r="AE1" s="1300"/>
      <c r="AF1" s="1300"/>
      <c r="AG1" s="1300"/>
      <c r="AH1" s="1300"/>
      <c r="AI1" s="1300"/>
      <c r="AJ1" s="1300"/>
      <c r="AK1" s="1300"/>
      <c r="AL1" s="1300"/>
      <c r="AM1" s="1300"/>
      <c r="AN1" s="82">
        <v>1200</v>
      </c>
      <c r="AO1" s="136" t="s">
        <v>1733</v>
      </c>
      <c r="AP1" s="1301" t="s">
        <v>1734</v>
      </c>
      <c r="AQ1" s="1301"/>
      <c r="AR1" s="1301"/>
      <c r="AS1" s="1301"/>
      <c r="AT1" s="136"/>
      <c r="AU1" s="1301" t="s">
        <v>1734</v>
      </c>
      <c r="AV1" s="1301"/>
      <c r="AW1" s="1301"/>
      <c r="AX1" s="1301"/>
      <c r="AY1" s="1301"/>
      <c r="AZ1" s="1301"/>
      <c r="BA1" s="1301"/>
      <c r="BB1" s="1301"/>
      <c r="BC1" s="1301"/>
      <c r="BD1" s="1301"/>
      <c r="BE1" s="136">
        <v>218</v>
      </c>
      <c r="BF1" s="136"/>
      <c r="BG1" s="1302" t="s">
        <v>1735</v>
      </c>
      <c r="BH1" s="1302"/>
      <c r="BI1" s="1302"/>
      <c r="BJ1" s="1302"/>
      <c r="BL1" s="1290" t="s">
        <v>1735</v>
      </c>
      <c r="BM1" s="1290"/>
      <c r="BN1" s="1290"/>
      <c r="BO1" s="1290"/>
      <c r="BP1" s="1290"/>
      <c r="BQ1" s="1290"/>
      <c r="BR1" s="1290"/>
      <c r="BS1" s="1290"/>
      <c r="BT1" s="1290"/>
      <c r="BU1" s="1290"/>
      <c r="BV1" s="136">
        <v>34</v>
      </c>
      <c r="BX1" s="1291" t="s">
        <v>1736</v>
      </c>
      <c r="BY1" s="1291"/>
      <c r="BZ1" s="1291"/>
      <c r="CA1" s="1291"/>
      <c r="CC1" s="1292" t="s">
        <v>1736</v>
      </c>
      <c r="CD1" s="1292"/>
      <c r="CE1" s="1292"/>
      <c r="CF1" s="1292"/>
      <c r="CG1" s="1292"/>
      <c r="CH1" s="1292"/>
      <c r="CI1" s="1292"/>
      <c r="CJ1" s="1292"/>
      <c r="CK1" s="1292"/>
      <c r="CL1" s="1292"/>
      <c r="CM1" s="136">
        <v>274</v>
      </c>
      <c r="CP1" s="1257" t="s">
        <v>1728</v>
      </c>
      <c r="CQ1" s="1258"/>
      <c r="CR1" s="1258"/>
      <c r="CS1" s="1258"/>
      <c r="CT1" s="1258"/>
      <c r="CU1" s="1258"/>
      <c r="CV1" s="1259"/>
      <c r="CW1" s="81"/>
      <c r="CX1" s="1257" t="s">
        <v>1729</v>
      </c>
      <c r="CY1" s="1258"/>
      <c r="CZ1" s="1258"/>
      <c r="DA1" s="1259"/>
      <c r="DC1" s="1257" t="s">
        <v>1730</v>
      </c>
      <c r="DD1" s="1258"/>
      <c r="DE1" s="1258"/>
      <c r="DF1" s="1259"/>
      <c r="DH1" s="334" t="s">
        <v>424</v>
      </c>
      <c r="DI1" s="334" t="s">
        <v>1737</v>
      </c>
      <c r="DJ1" s="334" t="s">
        <v>258</v>
      </c>
      <c r="DK1" s="334" t="s">
        <v>1738</v>
      </c>
      <c r="DL1" s="334" t="s">
        <v>1739</v>
      </c>
      <c r="DM1" s="493"/>
    </row>
    <row r="2" spans="1:122" ht="409.6" thickTop="1" thickBot="1">
      <c r="A2" s="1260"/>
      <c r="B2" s="1244"/>
      <c r="C2" s="1244"/>
      <c r="D2" s="1244"/>
      <c r="E2" s="1244"/>
      <c r="F2" s="1244"/>
      <c r="G2" s="1261"/>
      <c r="H2" s="81"/>
      <c r="I2" s="1260"/>
      <c r="J2" s="1244"/>
      <c r="K2" s="1244"/>
      <c r="L2" s="1261"/>
      <c r="N2" s="1260"/>
      <c r="O2" s="1244"/>
      <c r="P2" s="1244"/>
      <c r="Q2" s="1261"/>
      <c r="T2" s="1293" t="s">
        <v>1740</v>
      </c>
      <c r="U2" s="1294"/>
      <c r="V2" s="1294"/>
      <c r="W2" s="1295"/>
      <c r="Y2" s="203" t="s">
        <v>1741</v>
      </c>
      <c r="Z2" s="203" t="s">
        <v>1742</v>
      </c>
      <c r="AA2" s="203" t="s">
        <v>1743</v>
      </c>
      <c r="AB2" s="203" t="s">
        <v>1744</v>
      </c>
      <c r="AC2" s="204"/>
      <c r="AD2" s="205" t="s">
        <v>1745</v>
      </c>
      <c r="AE2" s="205" t="s">
        <v>1746</v>
      </c>
      <c r="AF2" s="205" t="s">
        <v>1747</v>
      </c>
      <c r="AG2" s="205" t="s">
        <v>1748</v>
      </c>
      <c r="AH2" s="205" t="s">
        <v>1749</v>
      </c>
      <c r="AI2" s="205" t="s">
        <v>1750</v>
      </c>
      <c r="AJ2" s="205" t="s">
        <v>1751</v>
      </c>
      <c r="AK2" s="205" t="s">
        <v>1752</v>
      </c>
      <c r="AL2" s="205" t="s">
        <v>1753</v>
      </c>
      <c r="AM2" s="205" t="s">
        <v>1754</v>
      </c>
      <c r="AN2" s="204" t="s">
        <v>1755</v>
      </c>
      <c r="AO2" s="206" t="s">
        <v>1756</v>
      </c>
      <c r="AP2" s="203" t="s">
        <v>1741</v>
      </c>
      <c r="AQ2" s="203" t="s">
        <v>1742</v>
      </c>
      <c r="AR2" s="203" t="s">
        <v>1743</v>
      </c>
      <c r="AS2" s="203" t="s">
        <v>1744</v>
      </c>
      <c r="AT2" s="204"/>
      <c r="AU2" s="205" t="s">
        <v>1745</v>
      </c>
      <c r="AV2" s="205" t="s">
        <v>1746</v>
      </c>
      <c r="AW2" s="205" t="s">
        <v>1747</v>
      </c>
      <c r="AX2" s="205" t="s">
        <v>1748</v>
      </c>
      <c r="AY2" s="205" t="s">
        <v>1749</v>
      </c>
      <c r="AZ2" s="205" t="s">
        <v>1750</v>
      </c>
      <c r="BA2" s="205" t="s">
        <v>1757</v>
      </c>
      <c r="BB2" s="205" t="s">
        <v>1752</v>
      </c>
      <c r="BC2" s="205" t="s">
        <v>1753</v>
      </c>
      <c r="BD2" s="205" t="s">
        <v>1754</v>
      </c>
      <c r="BE2" s="207" t="s">
        <v>1733</v>
      </c>
      <c r="BF2" s="208" t="s">
        <v>1756</v>
      </c>
      <c r="BG2" s="203" t="s">
        <v>1741</v>
      </c>
      <c r="BH2" s="203" t="s">
        <v>1742</v>
      </c>
      <c r="BI2" s="203" t="s">
        <v>1743</v>
      </c>
      <c r="BJ2" s="203" t="s">
        <v>1744</v>
      </c>
      <c r="BK2" s="204"/>
      <c r="BL2" s="205" t="s">
        <v>1745</v>
      </c>
      <c r="BM2" s="205" t="s">
        <v>1746</v>
      </c>
      <c r="BN2" s="205" t="s">
        <v>1747</v>
      </c>
      <c r="BO2" s="205" t="s">
        <v>1748</v>
      </c>
      <c r="BP2" s="205" t="s">
        <v>1749</v>
      </c>
      <c r="BQ2" s="205" t="s">
        <v>1750</v>
      </c>
      <c r="BR2" s="205" t="s">
        <v>1757</v>
      </c>
      <c r="BS2" s="205" t="s">
        <v>1752</v>
      </c>
      <c r="BT2" s="205" t="s">
        <v>1753</v>
      </c>
      <c r="BU2" s="205" t="s">
        <v>1754</v>
      </c>
      <c r="BV2" s="207" t="s">
        <v>1758</v>
      </c>
      <c r="BX2" s="203" t="s">
        <v>1741</v>
      </c>
      <c r="BY2" s="203" t="s">
        <v>1742</v>
      </c>
      <c r="BZ2" s="203" t="s">
        <v>1743</v>
      </c>
      <c r="CA2" s="203" t="s">
        <v>1744</v>
      </c>
      <c r="CB2" s="204"/>
      <c r="CC2" s="205" t="s">
        <v>1745</v>
      </c>
      <c r="CD2" s="205" t="s">
        <v>1746</v>
      </c>
      <c r="CE2" s="205" t="s">
        <v>1747</v>
      </c>
      <c r="CF2" s="205" t="s">
        <v>1748</v>
      </c>
      <c r="CG2" s="205" t="s">
        <v>1749</v>
      </c>
      <c r="CH2" s="205" t="s">
        <v>1750</v>
      </c>
      <c r="CI2" s="205" t="s">
        <v>1757</v>
      </c>
      <c r="CJ2" s="205" t="s">
        <v>1752</v>
      </c>
      <c r="CK2" s="205" t="s">
        <v>1753</v>
      </c>
      <c r="CL2" s="205" t="s">
        <v>1754</v>
      </c>
      <c r="CM2" s="207" t="s">
        <v>1733</v>
      </c>
      <c r="CN2" s="208" t="s">
        <v>1756</v>
      </c>
      <c r="CP2" s="1260"/>
      <c r="CQ2" s="1244"/>
      <c r="CR2" s="1244"/>
      <c r="CS2" s="1244"/>
      <c r="CT2" s="1244"/>
      <c r="CU2" s="1244"/>
      <c r="CV2" s="1261"/>
      <c r="CW2" s="81"/>
      <c r="CX2" s="1260"/>
      <c r="CY2" s="1244"/>
      <c r="CZ2" s="1244"/>
      <c r="DA2" s="1261"/>
      <c r="DC2" s="1260"/>
      <c r="DD2" s="1244"/>
      <c r="DE2" s="1244"/>
      <c r="DF2" s="1261"/>
      <c r="DH2" s="511">
        <v>1</v>
      </c>
      <c r="DI2" s="2" t="s">
        <v>1759</v>
      </c>
      <c r="DJ2" s="2">
        <v>2104133810</v>
      </c>
      <c r="DK2" s="2" t="s">
        <v>1760</v>
      </c>
      <c r="DL2" s="443" t="s">
        <v>1761</v>
      </c>
      <c r="DM2" s="493"/>
      <c r="DN2" s="1243" t="s">
        <v>1762</v>
      </c>
      <c r="DO2" s="1244"/>
      <c r="DP2" s="1244"/>
      <c r="DR2" s="450" t="s">
        <v>1763</v>
      </c>
    </row>
    <row r="3" spans="1:122" ht="121.5" thickTop="1" thickBot="1">
      <c r="A3" s="1262"/>
      <c r="B3" s="1263"/>
      <c r="C3" s="1263"/>
      <c r="D3" s="1263"/>
      <c r="E3" s="1263"/>
      <c r="F3" s="1263"/>
      <c r="G3" s="1264"/>
      <c r="H3" s="81"/>
      <c r="I3" s="1262"/>
      <c r="J3" s="1263"/>
      <c r="K3" s="1263"/>
      <c r="L3" s="1264"/>
      <c r="N3" s="1262"/>
      <c r="O3" s="1263"/>
      <c r="P3" s="1263"/>
      <c r="Q3" s="1264"/>
      <c r="T3" s="1296" t="s">
        <v>1764</v>
      </c>
      <c r="U3" s="1296"/>
      <c r="V3" s="209"/>
      <c r="W3" s="209"/>
      <c r="Y3" s="203" t="s">
        <v>1765</v>
      </c>
      <c r="Z3" s="210">
        <f ca="1">COUNTIF($K$3:AD88,Y3)</f>
        <v>8</v>
      </c>
      <c r="AA3" s="210">
        <f>SUM(AK3:AM7)</f>
        <v>75</v>
      </c>
      <c r="AB3" s="210" t="e">
        <f>SUMIF($K$3:$K$88,"Ιαν",$U$3:$U$88)/(COUNTIF($K$3:$K$88,"Ιαν"))</f>
        <v>#DIV/0!</v>
      </c>
      <c r="AC3" s="211"/>
      <c r="AD3" s="212" t="s">
        <v>1765</v>
      </c>
      <c r="AE3" s="213">
        <v>45356</v>
      </c>
      <c r="AF3" s="212" t="s">
        <v>1766</v>
      </c>
      <c r="AG3" s="212" cm="1">
        <f t="array" ref="AG3">_xlfn.IFS(AH3=1,$B$4,AH3=2,$B$5,AH3=3,$B$6,AH3=4,$B$7,AH3=5,$B$8,AH3=6,$B$9,AH3=7,$B$10)</f>
        <v>0</v>
      </c>
      <c r="AH3" s="216">
        <v>1</v>
      </c>
      <c r="AI3" s="212" t="s">
        <v>1767</v>
      </c>
      <c r="AJ3" s="216" t="s">
        <v>771</v>
      </c>
      <c r="AK3" s="216">
        <v>5</v>
      </c>
      <c r="AL3" s="216">
        <v>0</v>
      </c>
      <c r="AM3" s="216">
        <v>0</v>
      </c>
      <c r="AN3" s="214" t="e">
        <f t="shared" ref="AN3:AN30" si="0">((SUM(AK3:AM3)/$U$1)*100)</f>
        <v>#DIV/0!</v>
      </c>
      <c r="AP3" s="203" t="s">
        <v>1765</v>
      </c>
      <c r="AQ3" s="210">
        <f>COUNT(BB3)</f>
        <v>0</v>
      </c>
      <c r="AR3" s="210">
        <f>SUM(BB3:BD3)</f>
        <v>0</v>
      </c>
      <c r="AS3" s="210" t="e">
        <f ca="1">SUMIF($AB$3:$AB$47,"Ιαν",$AL$3:$AL$47)/(COUNTIF($AB$3:$AB$47,"Ιαν"))</f>
        <v>#DIV/0!</v>
      </c>
      <c r="AT3" s="215"/>
      <c r="AU3" s="216"/>
      <c r="AV3" s="217"/>
      <c r="AW3" s="216"/>
      <c r="AX3" s="212"/>
      <c r="AY3" s="216"/>
      <c r="AZ3" s="212"/>
      <c r="BA3" s="216"/>
      <c r="BB3" s="216"/>
      <c r="BC3" s="216"/>
      <c r="BD3" s="212"/>
      <c r="BE3" s="214"/>
      <c r="BF3" s="218"/>
      <c r="BG3" s="203" t="s">
        <v>1765</v>
      </c>
      <c r="BH3" s="210">
        <v>0</v>
      </c>
      <c r="BI3" s="210">
        <v>0</v>
      </c>
      <c r="BJ3" s="210">
        <v>0</v>
      </c>
      <c r="BK3" s="215"/>
      <c r="BL3" s="212"/>
      <c r="BM3" s="213"/>
      <c r="BN3" s="212"/>
      <c r="BO3" s="212"/>
      <c r="BP3" s="212"/>
      <c r="BQ3" s="212"/>
      <c r="BR3" s="212"/>
      <c r="BS3" s="212"/>
      <c r="BT3" s="212"/>
      <c r="BU3" s="212"/>
      <c r="BV3" s="214" t="e">
        <f>((SUM(BS3:BU3)/$BC$1)*100)</f>
        <v>#DIV/0!</v>
      </c>
      <c r="BX3" s="203" t="s">
        <v>1765</v>
      </c>
      <c r="BY3" s="210">
        <v>0</v>
      </c>
      <c r="BZ3" s="210">
        <v>0</v>
      </c>
      <c r="CA3" s="210">
        <v>0</v>
      </c>
      <c r="CB3" s="215"/>
      <c r="CC3" s="219"/>
      <c r="CD3" s="217"/>
      <c r="CE3" s="216"/>
      <c r="CF3" s="212"/>
      <c r="CG3" s="216"/>
      <c r="CH3" s="212"/>
      <c r="CI3" s="216"/>
      <c r="CJ3" s="216"/>
      <c r="CK3" s="216"/>
      <c r="CL3" s="216"/>
      <c r="CM3" s="214" t="e">
        <f>((SUM(CJ3:CL3)/$BT$1)*100)</f>
        <v>#DIV/0!</v>
      </c>
      <c r="CP3" s="1262"/>
      <c r="CQ3" s="1263"/>
      <c r="CR3" s="1263"/>
      <c r="CS3" s="1263"/>
      <c r="CT3" s="1263"/>
      <c r="CU3" s="1263"/>
      <c r="CV3" s="1264"/>
      <c r="CW3" s="81"/>
      <c r="CX3" s="1262"/>
      <c r="CY3" s="1263"/>
      <c r="CZ3" s="1263"/>
      <c r="DA3" s="1264"/>
      <c r="DC3" s="1262"/>
      <c r="DD3" s="1263"/>
      <c r="DE3" s="1263"/>
      <c r="DF3" s="1264"/>
      <c r="DH3" s="511">
        <v>2</v>
      </c>
      <c r="DI3" s="2" t="s">
        <v>1768</v>
      </c>
      <c r="DJ3" s="2" t="s">
        <v>1769</v>
      </c>
      <c r="DK3" s="2" t="s">
        <v>1770</v>
      </c>
      <c r="DL3" s="443" t="s">
        <v>1771</v>
      </c>
      <c r="DM3" s="493"/>
    </row>
    <row r="4" spans="1:122" ht="150.75" thickBot="1">
      <c r="A4" s="1269" t="s">
        <v>1772</v>
      </c>
      <c r="B4" s="1270"/>
      <c r="C4" s="1270"/>
      <c r="D4" s="1271"/>
      <c r="E4" s="249" t="s">
        <v>39</v>
      </c>
      <c r="F4" s="250" t="s">
        <v>1773</v>
      </c>
      <c r="G4" s="306" t="s">
        <v>1774</v>
      </c>
      <c r="I4" s="1272" t="s">
        <v>1732</v>
      </c>
      <c r="J4" s="1273"/>
      <c r="K4" s="1274" t="e">
        <f>F5+F9+F13+F17+F21+F25+F29</f>
        <v>#REF!</v>
      </c>
      <c r="L4" s="1250"/>
      <c r="N4" s="1272" t="s">
        <v>1732</v>
      </c>
      <c r="O4" s="1273"/>
      <c r="P4" s="1245" t="e">
        <f>(G5+G9+G13+G17+G21+G25+G29)/7</f>
        <v>#REF!</v>
      </c>
      <c r="Q4" s="1246"/>
      <c r="T4" s="2">
        <v>1</v>
      </c>
      <c r="U4" s="2" t="s">
        <v>1775</v>
      </c>
      <c r="V4" s="2"/>
      <c r="W4" s="2"/>
      <c r="Y4" s="203" t="s">
        <v>1776</v>
      </c>
      <c r="Z4" s="210">
        <f ca="1">COUNTIF($K$3:AD89,Y4)</f>
        <v>14</v>
      </c>
      <c r="AA4" s="210">
        <f>SUM(AK8:AM13)</f>
        <v>80</v>
      </c>
      <c r="AB4" s="210" t="e">
        <f>SUMIF($K$3:$K$88,"Φεβ",$U$3:$U$88)/(COUNTIF($K$3:$K$88,"Φεβ"))</f>
        <v>#DIV/0!</v>
      </c>
      <c r="AC4" s="215"/>
      <c r="AD4" s="212" t="s">
        <v>1765</v>
      </c>
      <c r="AE4" s="213">
        <v>45358</v>
      </c>
      <c r="AF4" s="212" t="s">
        <v>1777</v>
      </c>
      <c r="AG4" s="212" cm="1">
        <f t="array" ref="AG4">_xlfn.IFS(AH4=1,$B$4,AH4=2,$B$5,AH4=3,$B$6,AH4=4,$B$7,AH4=5,$B$8,AH4=6,$B$9,AH4=7,$B$10)</f>
        <v>0</v>
      </c>
      <c r="AH4" s="216">
        <v>5</v>
      </c>
      <c r="AI4" s="212" t="s">
        <v>1778</v>
      </c>
      <c r="AJ4" s="216" t="s">
        <v>771</v>
      </c>
      <c r="AK4" s="216">
        <v>10</v>
      </c>
      <c r="AL4" s="216">
        <v>0</v>
      </c>
      <c r="AM4" s="216">
        <v>0</v>
      </c>
      <c r="AN4" s="214" t="e">
        <f t="shared" si="0"/>
        <v>#DIV/0!</v>
      </c>
      <c r="AO4" s="220"/>
      <c r="AP4" s="203" t="s">
        <v>1776</v>
      </c>
      <c r="AQ4" s="210"/>
      <c r="AR4" s="210"/>
      <c r="AS4" s="210">
        <v>0</v>
      </c>
      <c r="AT4" s="221"/>
      <c r="AU4" s="216"/>
      <c r="AV4" s="217"/>
      <c r="AW4" s="212"/>
      <c r="AX4" s="212"/>
      <c r="AY4" s="212"/>
      <c r="AZ4" s="212"/>
      <c r="BA4" s="212"/>
      <c r="BB4" s="216"/>
      <c r="BC4" s="216"/>
      <c r="BD4" s="212"/>
      <c r="BE4" s="214"/>
      <c r="BF4" s="136"/>
      <c r="BG4" s="203" t="s">
        <v>1776</v>
      </c>
      <c r="BH4" s="210">
        <v>0</v>
      </c>
      <c r="BI4" s="210">
        <v>0</v>
      </c>
      <c r="BJ4" s="210">
        <v>0</v>
      </c>
      <c r="BK4" s="215"/>
      <c r="BL4" s="212"/>
      <c r="BM4" s="213"/>
      <c r="BN4" s="212"/>
      <c r="BO4" s="212"/>
      <c r="BP4" s="212"/>
      <c r="BQ4" s="212"/>
      <c r="BR4" s="212"/>
      <c r="BS4" s="212"/>
      <c r="BT4" s="212"/>
      <c r="BU4" s="212"/>
      <c r="BV4" s="214" t="e">
        <f>((SUM(BS4:BU4)/$BC$1)*100)</f>
        <v>#DIV/0!</v>
      </c>
      <c r="BX4" s="203" t="s">
        <v>1776</v>
      </c>
      <c r="BY4" s="210">
        <v>0</v>
      </c>
      <c r="BZ4" s="210">
        <v>0</v>
      </c>
      <c r="CA4" s="210">
        <v>0</v>
      </c>
      <c r="CB4" s="215"/>
      <c r="CC4" s="219"/>
      <c r="CD4" s="213"/>
      <c r="CE4" s="212"/>
      <c r="CF4" s="212"/>
      <c r="CG4" s="212"/>
      <c r="CH4" s="212"/>
      <c r="CI4" s="212"/>
      <c r="CJ4" s="216"/>
      <c r="CK4" s="216"/>
      <c r="CL4" s="216"/>
      <c r="CM4" s="214" t="e">
        <f t="shared" ref="CM4:CM11" si="1">((SUM(CJ4:CL4)/$BT$1)*100)</f>
        <v>#DIV/0!</v>
      </c>
      <c r="CN4" s="218">
        <v>2</v>
      </c>
      <c r="CP4" s="1269" t="s">
        <v>1772</v>
      </c>
      <c r="CQ4" s="1270"/>
      <c r="CR4" s="1270"/>
      <c r="CS4" s="1271"/>
      <c r="CT4" s="249" t="s">
        <v>39</v>
      </c>
      <c r="CU4" s="250" t="s">
        <v>1773</v>
      </c>
      <c r="CV4" s="249" t="s">
        <v>1774</v>
      </c>
      <c r="CX4" s="1272" t="s">
        <v>1732</v>
      </c>
      <c r="CY4" s="1273"/>
      <c r="CZ4" s="1274" t="e">
        <f>CU5+CU9+CU13+CU17+CU21+CU25+CU29</f>
        <v>#REF!</v>
      </c>
      <c r="DA4" s="1250"/>
      <c r="DC4" s="1272" t="s">
        <v>1732</v>
      </c>
      <c r="DD4" s="1273"/>
      <c r="DE4" s="1245" t="e">
        <f>(CV5+CV9+CV13+CV17+CV21+CV25+CV29)/7</f>
        <v>#REF!</v>
      </c>
      <c r="DF4" s="1246"/>
      <c r="DH4" s="511">
        <v>3</v>
      </c>
      <c r="DI4" s="2" t="s">
        <v>1779</v>
      </c>
      <c r="DJ4" s="2" t="s">
        <v>1780</v>
      </c>
      <c r="DK4" s="2" t="s">
        <v>1781</v>
      </c>
      <c r="DL4" s="443" t="s">
        <v>1782</v>
      </c>
      <c r="DM4" s="493"/>
    </row>
    <row r="5" spans="1:122" ht="165.75" thickBot="1">
      <c r="A5" s="1257" t="s">
        <v>1783</v>
      </c>
      <c r="B5" s="1258"/>
      <c r="C5" s="1258"/>
      <c r="D5" s="1259"/>
      <c r="E5" s="258" t="s">
        <v>1732</v>
      </c>
      <c r="F5" s="256" t="e">
        <f>COUNTIF(#REF!,1)</f>
        <v>#REF!</v>
      </c>
      <c r="G5" s="307" t="e">
        <f>(SUMIF(#REF!,1,#REF!))/(COUNTIF(#REF!,1))</f>
        <v>#REF!</v>
      </c>
      <c r="I5" s="1265" t="s">
        <v>1734</v>
      </c>
      <c r="J5" s="1266"/>
      <c r="K5" s="1249" t="e">
        <f>F6+F10+F14+F18+F22+F26+F30</f>
        <v>#REF!</v>
      </c>
      <c r="L5" s="1250"/>
      <c r="N5" s="1265" t="s">
        <v>1734</v>
      </c>
      <c r="O5" s="1266"/>
      <c r="P5" s="1245" t="e">
        <f>(G6+G10+G14+G18+G22+G26+G30)/7</f>
        <v>#REF!</v>
      </c>
      <c r="Q5" s="1246"/>
      <c r="T5" s="2">
        <v>2</v>
      </c>
      <c r="U5" s="2" t="s">
        <v>1784</v>
      </c>
      <c r="V5" s="81"/>
      <c r="W5" s="81"/>
      <c r="Y5" s="203" t="s">
        <v>1785</v>
      </c>
      <c r="Z5" s="210">
        <f ca="1">COUNTIF($K$3:AD90,Y5)</f>
        <v>1</v>
      </c>
      <c r="AA5" s="210">
        <f>SUM(AK14:AM19)</f>
        <v>296</v>
      </c>
      <c r="AB5" s="210" t="e">
        <f>SUMIF($K$3:$K$88,"Μάρ",$U$3:$U$88)/(COUNTIF($K$3:$K$88,"Μάρ"))</f>
        <v>#DIV/0!</v>
      </c>
      <c r="AC5" s="215"/>
      <c r="AD5" s="222" t="s">
        <v>1765</v>
      </c>
      <c r="AE5" s="213">
        <v>45366</v>
      </c>
      <c r="AF5" s="212" t="s">
        <v>1786</v>
      </c>
      <c r="AG5" s="212" cm="1">
        <f t="array" ref="AG5">_xlfn.IFS(AH5=1,$B$4,AH5=2,$B$5,AH5=3,$B$6,AH5=4,$B$7,AH5=5,$B$8,AH5=6,$B$9,AH5=7,$B$10)</f>
        <v>0</v>
      </c>
      <c r="AH5" s="216">
        <v>5</v>
      </c>
      <c r="AI5" s="212" t="s">
        <v>1787</v>
      </c>
      <c r="AJ5" s="216" t="s">
        <v>771</v>
      </c>
      <c r="AK5" s="216">
        <v>19</v>
      </c>
      <c r="AL5" s="216">
        <v>1</v>
      </c>
      <c r="AM5" s="216">
        <v>1</v>
      </c>
      <c r="AN5" s="214" t="e">
        <f t="shared" si="0"/>
        <v>#DIV/0!</v>
      </c>
      <c r="AP5" s="203" t="s">
        <v>1785</v>
      </c>
      <c r="AQ5" s="210">
        <f>COUNT(BB4:BB5)</f>
        <v>0</v>
      </c>
      <c r="AR5" s="210">
        <f>SUM(BB4:BD5)</f>
        <v>0</v>
      </c>
      <c r="AS5" s="210" t="e">
        <f ca="1">SUMIF($AB$3:$AB$47,"Μάρ",$AL$3:$AL$47)/(COUNTIF($AB$3:$AB$47,"Μάρ"))</f>
        <v>#DIV/0!</v>
      </c>
      <c r="AT5" s="221"/>
      <c r="AU5" s="223"/>
      <c r="AV5" s="217"/>
      <c r="AW5" s="216"/>
      <c r="AX5" s="212"/>
      <c r="AY5" s="216"/>
      <c r="AZ5" s="212"/>
      <c r="BA5" s="216"/>
      <c r="BB5" s="216"/>
      <c r="BC5" s="216"/>
      <c r="BD5" s="212"/>
      <c r="BE5" s="214"/>
      <c r="BF5" s="218"/>
      <c r="BG5" s="203" t="s">
        <v>1785</v>
      </c>
      <c r="BH5" s="210">
        <v>0</v>
      </c>
      <c r="BI5" s="210">
        <v>0</v>
      </c>
      <c r="BJ5" s="210">
        <v>0</v>
      </c>
      <c r="BK5" s="215"/>
      <c r="BL5" s="224"/>
      <c r="BM5" s="224"/>
      <c r="BN5" s="225"/>
      <c r="BO5" s="225"/>
      <c r="BP5" s="225"/>
      <c r="BQ5" s="225"/>
      <c r="BR5" s="225"/>
      <c r="BS5" s="225"/>
      <c r="BT5" s="225"/>
      <c r="BU5" s="225"/>
      <c r="BV5" s="136"/>
      <c r="BX5" s="203" t="s">
        <v>1785</v>
      </c>
      <c r="BY5" s="210">
        <v>0</v>
      </c>
      <c r="BZ5" s="210">
        <v>0</v>
      </c>
      <c r="CA5" s="210">
        <v>0</v>
      </c>
      <c r="CB5" s="221"/>
      <c r="CC5" s="223"/>
      <c r="CD5" s="217"/>
      <c r="CE5" s="212"/>
      <c r="CF5" s="212"/>
      <c r="CG5" s="212"/>
      <c r="CH5" s="212"/>
      <c r="CI5" s="212"/>
      <c r="CJ5" s="216"/>
      <c r="CK5" s="216"/>
      <c r="CL5" s="216"/>
      <c r="CM5" s="214" t="e">
        <f t="shared" si="1"/>
        <v>#DIV/0!</v>
      </c>
      <c r="CP5" s="1257" t="s">
        <v>1783</v>
      </c>
      <c r="CQ5" s="1258"/>
      <c r="CR5" s="1258"/>
      <c r="CS5" s="1259"/>
      <c r="CT5" s="258" t="s">
        <v>1732</v>
      </c>
      <c r="CU5" s="256" t="e">
        <f>COUNTIF(#REF!,1)</f>
        <v>#REF!</v>
      </c>
      <c r="CV5" s="307" t="e">
        <f>AVERAGEIF(#REF!,1,#REF!)</f>
        <v>#REF!</v>
      </c>
      <c r="CX5" s="1265" t="s">
        <v>1734</v>
      </c>
      <c r="CY5" s="1266"/>
      <c r="CZ5" s="1249" t="e">
        <f>CU6+CU10+CU14+CU18+CU22+CU26+CU30</f>
        <v>#REF!</v>
      </c>
      <c r="DA5" s="1250"/>
      <c r="DC5" s="1265" t="s">
        <v>1734</v>
      </c>
      <c r="DD5" s="1266"/>
      <c r="DE5" s="1245" t="e">
        <f>(CV6+CV10+CV14+CV18+CV22+CV26+CV30)/7</f>
        <v>#REF!</v>
      </c>
      <c r="DF5" s="1246"/>
      <c r="DH5" s="511">
        <v>4</v>
      </c>
      <c r="DI5" s="2" t="s">
        <v>1788</v>
      </c>
      <c r="DJ5" s="2" t="s">
        <v>1789</v>
      </c>
      <c r="DK5" s="2" t="s">
        <v>1790</v>
      </c>
      <c r="DL5" s="443" t="s">
        <v>1791</v>
      </c>
      <c r="DM5" s="493"/>
    </row>
    <row r="6" spans="1:122" ht="129" thickBot="1">
      <c r="A6" s="1260"/>
      <c r="B6" s="1244"/>
      <c r="C6" s="1244"/>
      <c r="D6" s="1261"/>
      <c r="E6" s="251" t="s">
        <v>1734</v>
      </c>
      <c r="F6" s="257" t="e">
        <f>COUNTIF(#REF!,1)</f>
        <v>#REF!</v>
      </c>
      <c r="G6" s="307" t="e">
        <f>AVERAGEIF(#REF!,1,#REF!)</f>
        <v>#REF!</v>
      </c>
      <c r="I6" s="1247" t="s">
        <v>1735</v>
      </c>
      <c r="J6" s="1248"/>
      <c r="K6" s="1249" t="e">
        <f>F7+F11+F15+F19+F23+F27+F31</f>
        <v>#REF!</v>
      </c>
      <c r="L6" s="1250"/>
      <c r="N6" s="1247" t="s">
        <v>1735</v>
      </c>
      <c r="O6" s="1248"/>
      <c r="P6" s="1245" t="e">
        <f>(G23+G31)/2</f>
        <v>#REF!</v>
      </c>
      <c r="Q6" s="1246"/>
      <c r="T6" s="2">
        <v>3</v>
      </c>
      <c r="U6" s="2" t="s">
        <v>1792</v>
      </c>
      <c r="Y6" s="203" t="s">
        <v>1793</v>
      </c>
      <c r="Z6" s="210">
        <f ca="1">COUNTIF($K$3:AD91,Y6)</f>
        <v>1</v>
      </c>
      <c r="AA6" s="210">
        <f>SUM(AK20:AM30)</f>
        <v>38</v>
      </c>
      <c r="AB6" s="210" t="e">
        <f>SUMIF($K$3:$K$88,"Απρ",$U$3:$U$88)/(COUNTIF($K$3:$K$88,"Απρ"))</f>
        <v>#DIV/0!</v>
      </c>
      <c r="AC6" s="215"/>
      <c r="AD6" s="222" t="s">
        <v>1765</v>
      </c>
      <c r="AE6" s="213">
        <v>45367</v>
      </c>
      <c r="AF6" s="212" t="s">
        <v>1794</v>
      </c>
      <c r="AG6" s="212" cm="1">
        <f t="array" ref="AG6">_xlfn.IFS(AH6=1,$B$4,AH6=2,$B$5,AH6=3,$B$6,AH6=4,$B$7,AH6=5,$B$8,AH6=6,$B$9,AH6=7,$B$10)</f>
        <v>0</v>
      </c>
      <c r="AH6" s="216">
        <v>5</v>
      </c>
      <c r="AI6" s="212" t="s">
        <v>1795</v>
      </c>
      <c r="AJ6" s="216" t="s">
        <v>771</v>
      </c>
      <c r="AK6" s="216">
        <v>11</v>
      </c>
      <c r="AL6" s="216">
        <v>0</v>
      </c>
      <c r="AM6" s="216">
        <v>1</v>
      </c>
      <c r="AN6" s="214" t="e">
        <f t="shared" si="0"/>
        <v>#DIV/0!</v>
      </c>
      <c r="AO6" s="220"/>
      <c r="AP6" s="203" t="s">
        <v>1793</v>
      </c>
      <c r="AQ6" s="210">
        <f>COUNT(BB6:BB10)</f>
        <v>0</v>
      </c>
      <c r="AR6" s="210">
        <f>SUM(BB6:BD10)</f>
        <v>0</v>
      </c>
      <c r="AS6" s="210" t="e">
        <f ca="1">SUMIF($AB$3:$AB$47,"Απρ",$AL$3:$AL$47)/(COUNTIF($AB$3:$AB$47,"Απρ"))</f>
        <v>#DIV/0!</v>
      </c>
      <c r="AT6" s="215"/>
      <c r="AU6" s="223"/>
      <c r="AV6" s="217"/>
      <c r="AW6" s="216"/>
      <c r="AX6" s="212"/>
      <c r="AY6" s="216"/>
      <c r="AZ6" s="212"/>
      <c r="BA6" s="216"/>
      <c r="BB6" s="216"/>
      <c r="BC6" s="216"/>
      <c r="BD6" s="212"/>
      <c r="BE6" s="214"/>
      <c r="BF6" s="136"/>
      <c r="BG6" s="203" t="s">
        <v>1793</v>
      </c>
      <c r="BH6" s="210">
        <v>0</v>
      </c>
      <c r="BI6" s="210">
        <v>0</v>
      </c>
      <c r="BJ6" s="210">
        <v>0</v>
      </c>
      <c r="BL6" s="226"/>
      <c r="BM6" s="226"/>
      <c r="BN6" s="227"/>
      <c r="BO6" s="227"/>
      <c r="BP6" s="227"/>
      <c r="BQ6" s="227"/>
      <c r="BR6" s="227"/>
      <c r="BS6" s="227"/>
      <c r="BT6" s="227"/>
      <c r="BU6" s="227"/>
      <c r="BV6" s="136"/>
      <c r="BX6" s="203" t="s">
        <v>1793</v>
      </c>
      <c r="BY6" s="210">
        <f>COUNT(CJ3:CJ4)</f>
        <v>0</v>
      </c>
      <c r="BZ6" s="210">
        <f>SUM(CJ3:CL4)</f>
        <v>0</v>
      </c>
      <c r="CA6" s="210" t="e">
        <f ca="1">SUMIF($BJ$3:$BJ$11,"Απρ",$BT$3:$BT$11)/(COUNTIF($BJ$3:$BJ$11,"Απρ"))</f>
        <v>#DIV/0!</v>
      </c>
      <c r="CB6" s="221"/>
      <c r="CC6" s="223"/>
      <c r="CD6" s="217"/>
      <c r="CE6" s="212"/>
      <c r="CF6" s="212"/>
      <c r="CG6" s="212"/>
      <c r="CH6" s="212"/>
      <c r="CI6" s="212"/>
      <c r="CJ6" s="216"/>
      <c r="CK6" s="216"/>
      <c r="CL6" s="216"/>
      <c r="CM6" s="214" t="e">
        <f t="shared" si="1"/>
        <v>#DIV/0!</v>
      </c>
      <c r="CP6" s="1260"/>
      <c r="CQ6" s="1244"/>
      <c r="CR6" s="1244"/>
      <c r="CS6" s="1261"/>
      <c r="CT6" s="251" t="s">
        <v>1734</v>
      </c>
      <c r="CU6" s="257" t="e">
        <f>COUNTIF(#REF!,1)</f>
        <v>#REF!</v>
      </c>
      <c r="CV6" s="307" t="e">
        <f>AVERAGEIF(#REF!,1,#REF!)</f>
        <v>#REF!</v>
      </c>
      <c r="CX6" s="1247" t="s">
        <v>1735</v>
      </c>
      <c r="CY6" s="1248"/>
      <c r="CZ6" s="1249" t="e">
        <f>CU7+CU11+CU15+CU19+CU23+CU27+CU31</f>
        <v>#REF!</v>
      </c>
      <c r="DA6" s="1250"/>
      <c r="DC6" s="1247" t="s">
        <v>1735</v>
      </c>
      <c r="DD6" s="1248"/>
      <c r="DE6" s="1245" t="e">
        <f>(CV23+CV31)/2</f>
        <v>#REF!</v>
      </c>
      <c r="DF6" s="1246"/>
      <c r="DH6" s="2">
        <v>5</v>
      </c>
      <c r="DI6" s="2" t="s">
        <v>1796</v>
      </c>
      <c r="DJ6" s="2">
        <v>6937812545</v>
      </c>
      <c r="DK6" s="2" t="s">
        <v>1797</v>
      </c>
      <c r="DL6" s="443" t="s">
        <v>1798</v>
      </c>
      <c r="DM6" s="493"/>
    </row>
    <row r="7" spans="1:122" ht="150.75" thickBot="1">
      <c r="A7" s="1260"/>
      <c r="B7" s="1244"/>
      <c r="C7" s="1244"/>
      <c r="D7" s="1261"/>
      <c r="E7" s="252" t="s">
        <v>1735</v>
      </c>
      <c r="F7" s="257" t="e">
        <f>COUNTIF(#REF!,1)</f>
        <v>#REF!</v>
      </c>
      <c r="G7" s="307" t="e">
        <f>AVERAGEIF(#REF!,1,#REF!)</f>
        <v>#REF!</v>
      </c>
      <c r="I7" s="1267" t="s">
        <v>1736</v>
      </c>
      <c r="J7" s="1268"/>
      <c r="K7" s="1249" t="e">
        <f>F8+F12+F16+F20+F24+F28+F32</f>
        <v>#REF!</v>
      </c>
      <c r="L7" s="1250"/>
      <c r="N7" s="1267" t="s">
        <v>1736</v>
      </c>
      <c r="O7" s="1268"/>
      <c r="P7" s="1245" t="e">
        <f>(G8+G12+G20+G24)/4</f>
        <v>#REF!</v>
      </c>
      <c r="Q7" s="1246"/>
      <c r="T7" s="2">
        <v>4</v>
      </c>
      <c r="U7" s="2" t="s">
        <v>1799</v>
      </c>
      <c r="Y7" s="203" t="s">
        <v>1800</v>
      </c>
      <c r="Z7" s="210">
        <f ca="1">COUNTIF($K$3:AD92,Y7)</f>
        <v>1</v>
      </c>
      <c r="AA7" s="210">
        <f>SUM(AK31:AM45)</f>
        <v>0</v>
      </c>
      <c r="AB7" s="210" t="e">
        <f>SUMIF($K$3:$K$88,"Μαϊ",$U$3:$U$88)/(COUNTIF($K$3:$K$88,"Μαϊ"))</f>
        <v>#DIV/0!</v>
      </c>
      <c r="AC7" s="221"/>
      <c r="AD7" s="222" t="s">
        <v>1765</v>
      </c>
      <c r="AE7" s="213">
        <v>45373</v>
      </c>
      <c r="AF7" s="212" t="s">
        <v>1801</v>
      </c>
      <c r="AG7" s="212" cm="1">
        <f t="array" ref="AG7">_xlfn.IFS(AH7=1,$B$4,AH7=2,$B$5,AH7=3,$B$6,AH7=4,$B$7,AH7=5,$B$8,AH7=6,$B$9,AH7=7,$B$10)</f>
        <v>0</v>
      </c>
      <c r="AH7" s="216">
        <v>5</v>
      </c>
      <c r="AI7" s="212" t="s">
        <v>1795</v>
      </c>
      <c r="AJ7" s="216" t="s">
        <v>771</v>
      </c>
      <c r="AK7" s="216">
        <v>18</v>
      </c>
      <c r="AL7" s="216">
        <v>0</v>
      </c>
      <c r="AM7" s="216">
        <v>9</v>
      </c>
      <c r="AN7" s="214" t="e">
        <f t="shared" si="0"/>
        <v>#DIV/0!</v>
      </c>
      <c r="AP7" s="203" t="s">
        <v>1800</v>
      </c>
      <c r="AQ7" s="210">
        <f>COUNT(BB11:BB19)</f>
        <v>0</v>
      </c>
      <c r="AR7" s="210">
        <f>SUM(BB11:BD19)</f>
        <v>0</v>
      </c>
      <c r="AS7" s="210" t="e">
        <f ca="1">SUMIF($AB$3:$AB$47,"Μάϊ",$AL$3:$AL$47)/(COUNTIF($AB$3:$AB$47,"Μάϊ"))</f>
        <v>#DIV/0!</v>
      </c>
      <c r="AT7" s="215"/>
      <c r="AU7" s="216"/>
      <c r="AV7" s="217"/>
      <c r="AW7" s="216"/>
      <c r="AX7" s="212"/>
      <c r="AY7" s="216"/>
      <c r="AZ7" s="212"/>
      <c r="BA7" s="216"/>
      <c r="BB7" s="216"/>
      <c r="BC7" s="216"/>
      <c r="BD7" s="212"/>
      <c r="BE7" s="214"/>
      <c r="BF7" s="136"/>
      <c r="BG7" s="203" t="s">
        <v>1800</v>
      </c>
      <c r="BH7" s="210">
        <v>1</v>
      </c>
      <c r="BI7" s="210">
        <v>4</v>
      </c>
      <c r="BJ7" s="210" t="e">
        <f ca="1">SUMIF($AS$3:$AS$4,"Μάϊ",$BC$3:$BC$4)/(COUNTIF($AS$3:$AS$4,"Μάϊ"))</f>
        <v>#DIV/0!</v>
      </c>
      <c r="BL7" s="228"/>
      <c r="BM7" s="228"/>
      <c r="BN7" s="227"/>
      <c r="BO7" s="227"/>
      <c r="BP7" s="227"/>
      <c r="BQ7" s="227"/>
      <c r="BR7" s="227"/>
      <c r="BS7" s="227"/>
      <c r="BT7" s="227"/>
      <c r="BU7" s="227"/>
      <c r="BV7" s="136"/>
      <c r="BX7" s="203" t="s">
        <v>1800</v>
      </c>
      <c r="BY7" s="210">
        <f>COUNT(CJ5:CJ8)</f>
        <v>0</v>
      </c>
      <c r="BZ7" s="210">
        <f>SUM(CJ5:CL8)</f>
        <v>0</v>
      </c>
      <c r="CA7" s="210" t="e">
        <f ca="1">SUMIF($BJ$3:$BJ$11,"Μαϊ",$BT$3:$BT$11)/(COUNTIF($BJ$3:$BJ$11,"Μαϊ"))</f>
        <v>#DIV/0!</v>
      </c>
      <c r="CB7" s="221"/>
      <c r="CC7" s="223"/>
      <c r="CD7" s="217"/>
      <c r="CE7" s="212"/>
      <c r="CF7" s="212"/>
      <c r="CG7" s="212"/>
      <c r="CH7" s="212"/>
      <c r="CI7" s="212"/>
      <c r="CJ7" s="216"/>
      <c r="CK7" s="216"/>
      <c r="CL7" s="216"/>
      <c r="CM7" s="214" t="e">
        <f t="shared" si="1"/>
        <v>#DIV/0!</v>
      </c>
      <c r="CN7" s="218">
        <v>3</v>
      </c>
      <c r="CP7" s="1260"/>
      <c r="CQ7" s="1244"/>
      <c r="CR7" s="1244"/>
      <c r="CS7" s="1261"/>
      <c r="CT7" s="252" t="s">
        <v>1735</v>
      </c>
      <c r="CU7" s="257" t="e">
        <f>COUNTIF(#REF!,1)</f>
        <v>#REF!</v>
      </c>
      <c r="CV7" s="307" t="e">
        <f>AVERAGEIF(#REF!,1,#REF!)</f>
        <v>#REF!</v>
      </c>
      <c r="CX7" s="1267" t="s">
        <v>1736</v>
      </c>
      <c r="CY7" s="1268"/>
      <c r="CZ7" s="1249" t="e">
        <f>CU8+CU12+CU16+CU20+CU24+CU28+CU32</f>
        <v>#REF!</v>
      </c>
      <c r="DA7" s="1250"/>
      <c r="DC7" s="1267" t="s">
        <v>1736</v>
      </c>
      <c r="DD7" s="1268"/>
      <c r="DE7" s="1245" t="e">
        <f>(CV8+CV12+CV20+CV24)/4</f>
        <v>#REF!</v>
      </c>
      <c r="DF7" s="1246"/>
      <c r="DH7" s="2">
        <v>6</v>
      </c>
      <c r="DI7" s="2" t="s">
        <v>1802</v>
      </c>
      <c r="DJ7" s="2">
        <v>2810283253</v>
      </c>
      <c r="DK7" s="2" t="s">
        <v>1803</v>
      </c>
      <c r="DL7" s="443" t="s">
        <v>1804</v>
      </c>
      <c r="DM7" s="493"/>
    </row>
    <row r="8" spans="1:122" ht="192.75" thickBot="1">
      <c r="A8" s="1262"/>
      <c r="B8" s="1263"/>
      <c r="C8" s="1263"/>
      <c r="D8" s="1264"/>
      <c r="E8" s="253" t="s">
        <v>1736</v>
      </c>
      <c r="F8" s="257" t="e">
        <f>COUNTIF(#REF!,1)</f>
        <v>#REF!</v>
      </c>
      <c r="G8" s="307" t="e">
        <f>AVERAGEIF(#REF!,1,#REF!)</f>
        <v>#REF!</v>
      </c>
      <c r="T8" s="2">
        <v>5</v>
      </c>
      <c r="U8" s="2" t="s">
        <v>1805</v>
      </c>
      <c r="Y8" s="203" t="s">
        <v>1806</v>
      </c>
      <c r="Z8" s="210">
        <f ca="1">COUNTIF($K$3:AD93,Y8)</f>
        <v>1</v>
      </c>
      <c r="AA8" s="210">
        <f>SUM(AK46:AM56)</f>
        <v>0</v>
      </c>
      <c r="AB8" s="210" t="e">
        <f>SUMIF($K$3:$K$88,"Ιουν",$U$3:$U$88)/(COUNTIF($K$3:$K$88,"Ιουν"))</f>
        <v>#DIV/0!</v>
      </c>
      <c r="AC8" s="229"/>
      <c r="AD8" s="222" t="s">
        <v>1765</v>
      </c>
      <c r="AE8" s="213">
        <v>45373</v>
      </c>
      <c r="AF8" s="212" t="s">
        <v>1807</v>
      </c>
      <c r="AG8" s="212" cm="1">
        <f t="array" ref="AG8">_xlfn.IFS(AH8=1,$B$4,AH8=2,$B$5,AH8=3,$B$6,AH8=4,$B$7,AH8=5,$B$8,AH8=6,$B$9,AH8=7,$B$10)</f>
        <v>0</v>
      </c>
      <c r="AH8" s="216">
        <v>1</v>
      </c>
      <c r="AI8" s="212" t="s">
        <v>1808</v>
      </c>
      <c r="AJ8" s="216" t="s">
        <v>1809</v>
      </c>
      <c r="AK8" s="216">
        <v>2</v>
      </c>
      <c r="AL8" s="216">
        <v>0</v>
      </c>
      <c r="AM8" s="216">
        <v>0</v>
      </c>
      <c r="AN8" s="214" t="e">
        <f t="shared" si="0"/>
        <v>#DIV/0!</v>
      </c>
      <c r="AP8" s="203" t="s">
        <v>1806</v>
      </c>
      <c r="AQ8" s="210">
        <f>COUNT(BB20:BB26)</f>
        <v>0</v>
      </c>
      <c r="AR8" s="210">
        <f>SUM(BB20:BD26)</f>
        <v>0</v>
      </c>
      <c r="AS8" s="210" t="e">
        <f ca="1">SUMIF($AB$3:$AB$47,"Ιούν",$AL$3:$AL$47)/(COUNTIF($AB$3:$AB$47,"Ιούν"))</f>
        <v>#DIV/0!</v>
      </c>
      <c r="AT8" s="215"/>
      <c r="AU8" s="223"/>
      <c r="AV8" s="217"/>
      <c r="AW8" s="216"/>
      <c r="AX8" s="212"/>
      <c r="AY8" s="216"/>
      <c r="AZ8" s="212"/>
      <c r="BA8" s="216"/>
      <c r="BB8" s="216"/>
      <c r="BC8" s="216"/>
      <c r="BD8" s="212"/>
      <c r="BE8" s="214"/>
      <c r="BF8" s="136"/>
      <c r="BG8" s="203" t="s">
        <v>1806</v>
      </c>
      <c r="BH8" s="210">
        <v>1</v>
      </c>
      <c r="BI8" s="210">
        <v>18</v>
      </c>
      <c r="BJ8" s="210" t="e">
        <f ca="1">SUMIF($AS$3:$AS$4,"Ιούν",$BC$3:$BC$4)/(COUNTIF($AS$3:$AS$4,"Ιούν"))</f>
        <v>#DIV/0!</v>
      </c>
      <c r="BL8" s="228"/>
      <c r="BM8" s="228"/>
      <c r="BN8" s="227"/>
      <c r="BO8" s="227"/>
      <c r="BP8" s="227"/>
      <c r="BQ8" s="227"/>
      <c r="BR8" s="227"/>
      <c r="BS8" s="227"/>
      <c r="BT8" s="227"/>
      <c r="BU8" s="227"/>
      <c r="BV8" s="136"/>
      <c r="BX8" s="203" t="s">
        <v>1806</v>
      </c>
      <c r="BY8" s="210">
        <v>0</v>
      </c>
      <c r="BZ8" s="210">
        <v>0</v>
      </c>
      <c r="CA8" s="210">
        <v>0</v>
      </c>
      <c r="CB8" s="215"/>
      <c r="CC8" s="222"/>
      <c r="CD8" s="213"/>
      <c r="CE8" s="216"/>
      <c r="CF8" s="212"/>
      <c r="CG8" s="216"/>
      <c r="CH8" s="212"/>
      <c r="CI8" s="216"/>
      <c r="CJ8" s="216"/>
      <c r="CK8" s="216"/>
      <c r="CL8" s="216"/>
      <c r="CM8" s="214" t="e">
        <f t="shared" si="1"/>
        <v>#DIV/0!</v>
      </c>
      <c r="CN8" s="218">
        <v>4</v>
      </c>
      <c r="CP8" s="1262"/>
      <c r="CQ8" s="1263"/>
      <c r="CR8" s="1263"/>
      <c r="CS8" s="1264"/>
      <c r="CT8" s="253" t="s">
        <v>1736</v>
      </c>
      <c r="CU8" s="257" t="e">
        <f>COUNTIF(#REF!,1)</f>
        <v>#REF!</v>
      </c>
      <c r="CV8" s="307" t="e">
        <f>AVERAGEIF(#REF!,1,#REF!)</f>
        <v>#REF!</v>
      </c>
      <c r="DH8" s="2">
        <v>7</v>
      </c>
      <c r="DI8" s="2" t="s">
        <v>1810</v>
      </c>
      <c r="DJ8" s="2" t="s">
        <v>1811</v>
      </c>
      <c r="DK8" s="2" t="s">
        <v>1812</v>
      </c>
      <c r="DL8" s="2" t="s">
        <v>771</v>
      </c>
      <c r="DM8" s="493"/>
    </row>
    <row r="9" spans="1:122" ht="141.75" thickBot="1">
      <c r="A9" s="1257" t="s">
        <v>1813</v>
      </c>
      <c r="B9" s="1258"/>
      <c r="C9" s="1258"/>
      <c r="D9" s="1259"/>
      <c r="E9" s="258" t="s">
        <v>1732</v>
      </c>
      <c r="F9" s="256" t="e">
        <f>COUNTIF(#REF!,2)</f>
        <v>#REF!</v>
      </c>
      <c r="G9" s="307" t="e">
        <f>(SUMIF(#REF!,2,#REF!))/(COUNTIF(#REF!,2))</f>
        <v>#REF!</v>
      </c>
      <c r="N9" s="1251" t="s">
        <v>1814</v>
      </c>
      <c r="O9" s="1252"/>
      <c r="P9" s="1252"/>
      <c r="Q9" s="1253"/>
      <c r="T9" s="2">
        <v>6</v>
      </c>
      <c r="U9" s="2" t="s">
        <v>1815</v>
      </c>
      <c r="Y9" s="203" t="s">
        <v>1816</v>
      </c>
      <c r="Z9" s="210">
        <f ca="1">COUNTIF($K$3:AD94,Y9)</f>
        <v>1</v>
      </c>
      <c r="AA9" s="210">
        <f>SUM(AK57:AM62)</f>
        <v>0</v>
      </c>
      <c r="AB9" s="210" t="e">
        <f>SUMIF($K$3:$K$88,"Ιουλ",$U$3:$U$88)/(COUNTIF($K$3:$K$88,"Ιουλ"))</f>
        <v>#DIV/0!</v>
      </c>
      <c r="AC9" s="211"/>
      <c r="AD9" s="222" t="s">
        <v>1765</v>
      </c>
      <c r="AE9" s="213">
        <v>45381</v>
      </c>
      <c r="AF9" s="212" t="s">
        <v>1817</v>
      </c>
      <c r="AG9" s="212" cm="1">
        <f t="array" ref="AG9">_xlfn.IFS(AH9=1,$B$4,AH9=2,$B$5,AH9=3,$B$6,AH9=4,$B$7,AH9=5,$B$8,AH9=6,$B$9,AH9=7,$B$10)</f>
        <v>0</v>
      </c>
      <c r="AH9" s="216">
        <v>1</v>
      </c>
      <c r="AI9" s="212" t="s">
        <v>1818</v>
      </c>
      <c r="AJ9" s="216" t="s">
        <v>771</v>
      </c>
      <c r="AK9" s="216">
        <v>2</v>
      </c>
      <c r="AL9" s="216">
        <v>0</v>
      </c>
      <c r="AM9" s="216">
        <v>0</v>
      </c>
      <c r="AN9" s="214" t="e">
        <f t="shared" si="0"/>
        <v>#DIV/0!</v>
      </c>
      <c r="AP9" s="203" t="s">
        <v>1816</v>
      </c>
      <c r="AQ9" s="210">
        <f>COUNT(BB27:BB29)</f>
        <v>0</v>
      </c>
      <c r="AR9" s="210">
        <f>SUM(BB27:BD29)</f>
        <v>0</v>
      </c>
      <c r="AS9" s="210" t="e">
        <f ca="1">SUMIF($AB$3:$AB$47,"Ιούλ",$AL$3:$AL$47)/(COUNTIF($AB$3:$AB$47,"Ιούλ"))</f>
        <v>#DIV/0!</v>
      </c>
      <c r="AT9" s="215"/>
      <c r="AU9" s="223"/>
      <c r="AV9" s="217"/>
      <c r="AW9" s="216"/>
      <c r="AX9" s="212"/>
      <c r="AY9" s="216"/>
      <c r="AZ9" s="212"/>
      <c r="BA9" s="216"/>
      <c r="BB9" s="216"/>
      <c r="BC9" s="216"/>
      <c r="BD9" s="212"/>
      <c r="BE9" s="214"/>
      <c r="BF9" s="136"/>
      <c r="BG9" s="203" t="s">
        <v>1816</v>
      </c>
      <c r="BH9" s="210">
        <v>0</v>
      </c>
      <c r="BI9" s="210">
        <v>0</v>
      </c>
      <c r="BJ9" s="210">
        <v>0</v>
      </c>
      <c r="BL9" s="226"/>
      <c r="BM9" s="226"/>
      <c r="BN9" s="227"/>
      <c r="BO9" s="227"/>
      <c r="BP9" s="227"/>
      <c r="BQ9" s="227"/>
      <c r="BR9" s="227"/>
      <c r="BS9" s="227"/>
      <c r="BT9" s="227"/>
      <c r="BU9" s="227"/>
      <c r="BV9" s="136"/>
      <c r="BX9" s="203" t="s">
        <v>1816</v>
      </c>
      <c r="BY9" s="210">
        <f>COUNT(CJ9:CJ10)</f>
        <v>0</v>
      </c>
      <c r="BZ9" s="210">
        <f>SUM(CJ9:CL10)</f>
        <v>0</v>
      </c>
      <c r="CA9" s="210" t="e">
        <f ca="1">SUMIF($BJ$3:$BJ$11,"Ιουλ",$BT$3:$BT$11)/(COUNTIF($BJ$3:$BJ$11,"Ιουλ"))</f>
        <v>#DIV/0!</v>
      </c>
      <c r="CB9" s="221"/>
      <c r="CC9" s="222"/>
      <c r="CD9" s="213"/>
      <c r="CE9" s="212"/>
      <c r="CF9" s="212"/>
      <c r="CG9" s="212"/>
      <c r="CH9" s="212"/>
      <c r="CI9" s="212"/>
      <c r="CJ9" s="216"/>
      <c r="CK9" s="216"/>
      <c r="CL9" s="216"/>
      <c r="CM9" s="214" t="e">
        <f t="shared" si="1"/>
        <v>#DIV/0!</v>
      </c>
      <c r="CN9" s="230">
        <v>4</v>
      </c>
      <c r="CP9" s="1257" t="s">
        <v>1813</v>
      </c>
      <c r="CQ9" s="1258"/>
      <c r="CR9" s="1258"/>
      <c r="CS9" s="1259"/>
      <c r="CT9" s="258" t="s">
        <v>1732</v>
      </c>
      <c r="CU9" s="256" t="e">
        <f>COUNTIF(#REF!,2)</f>
        <v>#REF!</v>
      </c>
      <c r="CV9" s="307" t="e">
        <f>AVERAGEIF(#REF!,2,#REF!)</f>
        <v>#REF!</v>
      </c>
      <c r="DC9" s="1251" t="s">
        <v>1814</v>
      </c>
      <c r="DD9" s="1252"/>
      <c r="DE9" s="1252"/>
      <c r="DF9" s="1253"/>
      <c r="DH9" s="2">
        <v>8</v>
      </c>
      <c r="DI9" s="2" t="s">
        <v>1819</v>
      </c>
      <c r="DJ9" s="2" t="s">
        <v>1820</v>
      </c>
      <c r="DK9" s="2" t="s">
        <v>1821</v>
      </c>
      <c r="DL9" s="2" t="s">
        <v>771</v>
      </c>
      <c r="DM9" s="493"/>
    </row>
    <row r="10" spans="1:122" ht="218.25" thickBot="1">
      <c r="A10" s="1260"/>
      <c r="B10" s="1244"/>
      <c r="C10" s="1244"/>
      <c r="D10" s="1261"/>
      <c r="E10" s="251" t="s">
        <v>1734</v>
      </c>
      <c r="F10" s="257" t="e">
        <f>COUNTIF(#REF!,2)</f>
        <v>#REF!</v>
      </c>
      <c r="G10" s="307" t="e">
        <f>AVERAGEIF(#REF!,2,#REF!)</f>
        <v>#REF!</v>
      </c>
      <c r="N10" s="1254"/>
      <c r="O10" s="1255"/>
      <c r="P10" s="1255"/>
      <c r="Q10" s="1256"/>
      <c r="T10" s="2">
        <v>7</v>
      </c>
      <c r="U10" s="2" t="s">
        <v>1822</v>
      </c>
      <c r="Y10" s="203" t="s">
        <v>1823</v>
      </c>
      <c r="Z10" s="210">
        <f ca="1">COUNTIF($K$3:AD95,Y10)</f>
        <v>1</v>
      </c>
      <c r="AA10" s="210">
        <v>0</v>
      </c>
      <c r="AB10" s="210">
        <v>0</v>
      </c>
      <c r="AC10" s="211"/>
      <c r="AD10" s="212" t="s">
        <v>1776</v>
      </c>
      <c r="AE10" s="213">
        <v>45383</v>
      </c>
      <c r="AF10" s="212" t="s">
        <v>1824</v>
      </c>
      <c r="AG10" s="212" cm="1">
        <f t="array" ref="AG10">_xlfn.IFS(AH10=1,$B$4,AH10=2,$B$5,AH10=3,$B$6,AH10=4,$B$7,AH10=5,$B$8,AH10=6,$B$9,AH10=7,$B$10)</f>
        <v>0</v>
      </c>
      <c r="AH10" s="216">
        <v>5</v>
      </c>
      <c r="AI10" s="212" t="s">
        <v>1808</v>
      </c>
      <c r="AJ10" s="216" t="s">
        <v>1825</v>
      </c>
      <c r="AK10" s="216">
        <v>31</v>
      </c>
      <c r="AL10" s="216">
        <v>1</v>
      </c>
      <c r="AM10" s="216">
        <v>10</v>
      </c>
      <c r="AN10" s="214" t="e">
        <f t="shared" si="0"/>
        <v>#DIV/0!</v>
      </c>
      <c r="AO10" s="220"/>
      <c r="AP10" s="203" t="s">
        <v>1823</v>
      </c>
      <c r="AQ10" s="210">
        <v>0</v>
      </c>
      <c r="AR10" s="210">
        <v>0</v>
      </c>
      <c r="AS10" s="210">
        <v>0</v>
      </c>
      <c r="AT10" s="215"/>
      <c r="AU10" s="216"/>
      <c r="AV10" s="217"/>
      <c r="AW10" s="216"/>
      <c r="AX10" s="212"/>
      <c r="AY10" s="216"/>
      <c r="AZ10" s="212"/>
      <c r="BA10" s="216"/>
      <c r="BB10" s="216"/>
      <c r="BC10" s="216"/>
      <c r="BD10" s="212"/>
      <c r="BE10" s="214"/>
      <c r="BF10" s="136"/>
      <c r="BG10" s="203" t="s">
        <v>1823</v>
      </c>
      <c r="BH10" s="210">
        <v>0</v>
      </c>
      <c r="BI10" s="210">
        <v>0</v>
      </c>
      <c r="BJ10" s="210">
        <v>0</v>
      </c>
      <c r="BL10" s="228"/>
      <c r="BM10" s="228"/>
      <c r="BN10" s="227"/>
      <c r="BO10" s="227"/>
      <c r="BP10" s="227"/>
      <c r="BQ10" s="227"/>
      <c r="BR10" s="227"/>
      <c r="BS10" s="227"/>
      <c r="BT10" s="227"/>
      <c r="BU10" s="227"/>
      <c r="BV10" s="136"/>
      <c r="BX10" s="203" t="s">
        <v>1823</v>
      </c>
      <c r="BY10" s="210">
        <v>0</v>
      </c>
      <c r="BZ10" s="210">
        <v>0</v>
      </c>
      <c r="CA10" s="210">
        <v>0</v>
      </c>
      <c r="CB10" s="215"/>
      <c r="CC10" s="212"/>
      <c r="CD10" s="213"/>
      <c r="CE10" s="212"/>
      <c r="CF10" s="212"/>
      <c r="CG10" s="212"/>
      <c r="CH10" s="212"/>
      <c r="CI10" s="212"/>
      <c r="CJ10" s="216"/>
      <c r="CK10" s="216"/>
      <c r="CL10" s="216"/>
      <c r="CM10" s="214" t="e">
        <f t="shared" si="1"/>
        <v>#DIV/0!</v>
      </c>
      <c r="CN10" s="230">
        <v>4</v>
      </c>
      <c r="CP10" s="1260"/>
      <c r="CQ10" s="1244"/>
      <c r="CR10" s="1244"/>
      <c r="CS10" s="1261"/>
      <c r="CT10" s="251" t="s">
        <v>1734</v>
      </c>
      <c r="CU10" s="257" t="e">
        <f>COUNTIF(#REF!,2)</f>
        <v>#REF!</v>
      </c>
      <c r="CV10" s="307" t="e">
        <f>AVERAGEIF(#REF!,2,#REF!)</f>
        <v>#REF!</v>
      </c>
      <c r="DC10" s="1254"/>
      <c r="DD10" s="1255"/>
      <c r="DE10" s="1255"/>
      <c r="DF10" s="1256"/>
      <c r="DH10" s="511">
        <v>9</v>
      </c>
      <c r="DI10" s="2" t="s">
        <v>1826</v>
      </c>
      <c r="DJ10" s="2" t="s">
        <v>1827</v>
      </c>
      <c r="DK10" s="2" t="s">
        <v>1828</v>
      </c>
      <c r="DL10" s="443" t="s">
        <v>1829</v>
      </c>
      <c r="DM10" s="493"/>
    </row>
    <row r="11" spans="1:122" ht="129" thickBot="1">
      <c r="A11" s="1260"/>
      <c r="B11" s="1244"/>
      <c r="C11" s="1244"/>
      <c r="D11" s="1261"/>
      <c r="E11" s="252" t="s">
        <v>1735</v>
      </c>
      <c r="F11" s="257" t="e">
        <f>COUNTIF(#REF!,2)</f>
        <v>#REF!</v>
      </c>
      <c r="G11" s="307" t="e">
        <f>AVERAGEIF(#REF!,2,#REF!)</f>
        <v>#REF!</v>
      </c>
      <c r="N11" s="1254" t="s">
        <v>1830</v>
      </c>
      <c r="O11" s="1255"/>
      <c r="P11" s="1255"/>
      <c r="Q11" s="1256"/>
      <c r="T11" s="1297" t="s">
        <v>1831</v>
      </c>
      <c r="U11" s="1297"/>
      <c r="V11" s="1297"/>
      <c r="W11" s="1297"/>
      <c r="Y11" s="203" t="s">
        <v>1832</v>
      </c>
      <c r="Z11" s="210">
        <f ca="1">COUNTIF($K$3:AD96,Y11)</f>
        <v>1</v>
      </c>
      <c r="AA11" s="210">
        <f>SUM(AK63:AM64)</f>
        <v>0</v>
      </c>
      <c r="AB11" s="210" t="e">
        <f>SUMIF($K$3:$K$88,"Σεπ",$U$3:$U$88)/(COUNTIF($K$3:$K$88,"Σεπ"))</f>
        <v>#DIV/0!</v>
      </c>
      <c r="AC11" s="229"/>
      <c r="AD11" s="222" t="s">
        <v>1776</v>
      </c>
      <c r="AE11" s="213">
        <v>45386</v>
      </c>
      <c r="AF11" s="212" t="s">
        <v>1833</v>
      </c>
      <c r="AG11" s="212" cm="1">
        <f t="array" ref="AG11">_xlfn.IFS(AH11=1,$B$4,AH11=2,$B$5,AH11=3,$B$6,AH11=4,$B$7,AH11=5,$B$8,AH11=6,$B$9,AH11=7,$B$10)</f>
        <v>0</v>
      </c>
      <c r="AH11" s="216">
        <v>5</v>
      </c>
      <c r="AI11" s="212" t="s">
        <v>1808</v>
      </c>
      <c r="AJ11" s="216" t="s">
        <v>1834</v>
      </c>
      <c r="AK11" s="216">
        <v>9</v>
      </c>
      <c r="AL11" s="216">
        <v>0</v>
      </c>
      <c r="AM11" s="216">
        <v>9</v>
      </c>
      <c r="AN11" s="214" t="e">
        <f t="shared" si="0"/>
        <v>#DIV/0!</v>
      </c>
      <c r="AP11" s="203" t="s">
        <v>1832</v>
      </c>
      <c r="AQ11" s="210">
        <v>0</v>
      </c>
      <c r="AR11" s="210">
        <v>0</v>
      </c>
      <c r="AS11" s="210">
        <v>0</v>
      </c>
      <c r="AT11" s="221"/>
      <c r="AU11" s="223"/>
      <c r="AV11" s="217"/>
      <c r="AW11" s="212"/>
      <c r="AX11" s="212"/>
      <c r="AY11" s="212"/>
      <c r="AZ11" s="212"/>
      <c r="BA11" s="212"/>
      <c r="BB11" s="216"/>
      <c r="BC11" s="216"/>
      <c r="BD11" s="212"/>
      <c r="BE11" s="214"/>
      <c r="BF11" s="136"/>
      <c r="BG11" s="203" t="s">
        <v>1832</v>
      </c>
      <c r="BH11" s="210">
        <v>0</v>
      </c>
      <c r="BI11" s="210">
        <v>0</v>
      </c>
      <c r="BJ11" s="210">
        <v>0</v>
      </c>
      <c r="BL11" s="226"/>
      <c r="BM11" s="226"/>
      <c r="BN11" s="227"/>
      <c r="BO11" s="227"/>
      <c r="BP11" s="227"/>
      <c r="BQ11" s="227"/>
      <c r="BR11" s="227"/>
      <c r="BS11" s="227"/>
      <c r="BT11" s="227"/>
      <c r="BU11" s="227"/>
      <c r="BV11" s="136"/>
      <c r="BX11" s="203" t="s">
        <v>1832</v>
      </c>
      <c r="BY11" s="210">
        <v>0</v>
      </c>
      <c r="BZ11" s="210">
        <v>0</v>
      </c>
      <c r="CA11" s="210">
        <v>0</v>
      </c>
      <c r="CB11" s="221"/>
      <c r="CC11" s="212"/>
      <c r="CD11" s="213"/>
      <c r="CE11" s="212"/>
      <c r="CF11" s="212"/>
      <c r="CG11" s="212"/>
      <c r="CH11" s="212"/>
      <c r="CI11" s="212"/>
      <c r="CJ11" s="216"/>
      <c r="CK11" s="216"/>
      <c r="CL11" s="216"/>
      <c r="CM11" s="214" t="e">
        <f t="shared" si="1"/>
        <v>#DIV/0!</v>
      </c>
      <c r="CP11" s="1260"/>
      <c r="CQ11" s="1244"/>
      <c r="CR11" s="1244"/>
      <c r="CS11" s="1261"/>
      <c r="CT11" s="252" t="s">
        <v>1735</v>
      </c>
      <c r="CU11" s="257" t="e">
        <f>COUNTIF(#REF!,2)</f>
        <v>#REF!</v>
      </c>
      <c r="CV11" s="307" t="e">
        <f>AVERAGEIF(#REF!,2,#REF!)</f>
        <v>#REF!</v>
      </c>
      <c r="DC11" s="1254" t="s">
        <v>1830</v>
      </c>
      <c r="DD11" s="1255"/>
      <c r="DE11" s="1255"/>
      <c r="DF11" s="1256"/>
      <c r="DH11" s="2">
        <v>10</v>
      </c>
      <c r="DI11" s="2" t="s">
        <v>1835</v>
      </c>
      <c r="DJ11" s="2" t="s">
        <v>1836</v>
      </c>
      <c r="DK11" s="2" t="s">
        <v>1837</v>
      </c>
      <c r="DL11" s="2" t="s">
        <v>771</v>
      </c>
      <c r="DM11" s="493"/>
    </row>
    <row r="12" spans="1:122" ht="78" thickBot="1">
      <c r="A12" s="1262"/>
      <c r="B12" s="1263"/>
      <c r="C12" s="1263"/>
      <c r="D12" s="1264"/>
      <c r="E12" s="253" t="s">
        <v>1736</v>
      </c>
      <c r="F12" s="257" t="e">
        <f>COUNTIF(#REF!,2)</f>
        <v>#REF!</v>
      </c>
      <c r="G12" s="307" t="e">
        <f>AVERAGEIF(#REF!,2,#REF!)</f>
        <v>#REF!</v>
      </c>
      <c r="N12" s="1254"/>
      <c r="O12" s="1255"/>
      <c r="P12" s="1255"/>
      <c r="Q12" s="1256"/>
      <c r="T12" s="232" t="s">
        <v>1838</v>
      </c>
      <c r="U12" s="1147"/>
      <c r="V12" s="1147"/>
      <c r="W12" s="1147"/>
      <c r="Y12" s="203" t="s">
        <v>1839</v>
      </c>
      <c r="Z12" s="210">
        <f ca="1">COUNTIF($K$3:AD97,Y12)</f>
        <v>1</v>
      </c>
      <c r="AA12" s="210">
        <f>SUM(AK65:AM69)</f>
        <v>0</v>
      </c>
      <c r="AB12" s="210" t="e">
        <f>SUMIF($K$3:$K$88,"Οκτ",$U$3:$U$88)/(COUNTIF($K$3:$K$88,"Οκτ"))</f>
        <v>#DIV/0!</v>
      </c>
      <c r="AC12" s="215"/>
      <c r="AD12" s="212" t="s">
        <v>1776</v>
      </c>
      <c r="AE12" s="213">
        <v>45386</v>
      </c>
      <c r="AF12" s="212" t="s">
        <v>1840</v>
      </c>
      <c r="AG12" s="212" cm="1">
        <f t="array" ref="AG12">_xlfn.IFS(AH12=1,$B$4,AH12=2,$B$5,AH12=3,$B$6,AH12=4,$B$7,AH12=5,$B$8,AH12=6,$B$9,AH12=7,$B$10)</f>
        <v>0</v>
      </c>
      <c r="AH12" s="216">
        <v>5</v>
      </c>
      <c r="AI12" s="212" t="s">
        <v>1841</v>
      </c>
      <c r="AJ12" s="216" t="s">
        <v>771</v>
      </c>
      <c r="AK12" s="216">
        <v>4</v>
      </c>
      <c r="AL12" s="216">
        <v>0</v>
      </c>
      <c r="AM12" s="216">
        <v>0</v>
      </c>
      <c r="AN12" s="214" t="e">
        <f t="shared" si="0"/>
        <v>#DIV/0!</v>
      </c>
      <c r="AP12" s="203" t="s">
        <v>1839</v>
      </c>
      <c r="AQ12" s="210">
        <f>COUNT(BB30:BB33)</f>
        <v>0</v>
      </c>
      <c r="AR12" s="210">
        <f>SUM(BB30:BD33)</f>
        <v>0</v>
      </c>
      <c r="AS12" s="210" t="e">
        <f ca="1">SUMIF($AB$3:$AB$47,"Οκτ",$AL$3:$AL$47)/(COUNTIF($AB$3:$AB$47,"Οκτ"))</f>
        <v>#DIV/0!</v>
      </c>
      <c r="AT12" s="221"/>
      <c r="AU12" s="223"/>
      <c r="AV12" s="217"/>
      <c r="AW12" s="212"/>
      <c r="AX12" s="212"/>
      <c r="AY12" s="212"/>
      <c r="AZ12" s="212"/>
      <c r="BA12" s="212"/>
      <c r="BB12" s="216"/>
      <c r="BC12" s="216"/>
      <c r="BD12" s="212"/>
      <c r="BE12" s="214"/>
      <c r="BF12" s="136"/>
      <c r="BG12" s="203" t="s">
        <v>1839</v>
      </c>
      <c r="BH12" s="210">
        <v>0</v>
      </c>
      <c r="BI12" s="210">
        <v>0</v>
      </c>
      <c r="BJ12" s="210">
        <v>0</v>
      </c>
      <c r="BL12" s="228"/>
      <c r="BM12" s="228"/>
      <c r="BN12" s="227"/>
      <c r="BO12" s="227"/>
      <c r="BP12" s="227"/>
      <c r="BQ12" s="227"/>
      <c r="BR12" s="227"/>
      <c r="BS12" s="227"/>
      <c r="BT12" s="227"/>
      <c r="BU12" s="227"/>
      <c r="BV12" s="136"/>
      <c r="BX12" s="203" t="s">
        <v>1839</v>
      </c>
      <c r="BY12" s="210">
        <f>COUNT(CJ11)</f>
        <v>0</v>
      </c>
      <c r="BZ12" s="210">
        <f>SUM(CJ11:CL11)</f>
        <v>0</v>
      </c>
      <c r="CA12" s="210" t="e">
        <f ca="1">SUMIF($BJ$3:$BJ$11,"Οκτ",$BT$3:$BT$11)/(COUNTIF($BJ$3:$BJ$11,"Οκτ"))</f>
        <v>#DIV/0!</v>
      </c>
      <c r="CB12" s="221"/>
      <c r="CC12" s="233"/>
      <c r="CD12" s="233"/>
      <c r="CE12" s="234"/>
      <c r="CF12" s="234"/>
      <c r="CG12" s="234"/>
      <c r="CH12" s="234"/>
      <c r="CI12" s="234"/>
      <c r="CJ12" s="234"/>
      <c r="CK12" s="234"/>
      <c r="CL12" s="234"/>
      <c r="CM12" s="136"/>
      <c r="CN12" s="235">
        <f>AVERAGE(CN3:CN11)</f>
        <v>3.4</v>
      </c>
      <c r="CP12" s="1262"/>
      <c r="CQ12" s="1263"/>
      <c r="CR12" s="1263"/>
      <c r="CS12" s="1264"/>
      <c r="CT12" s="253" t="s">
        <v>1736</v>
      </c>
      <c r="CU12" s="257" t="e">
        <f>COUNTIF(#REF!,2)</f>
        <v>#REF!</v>
      </c>
      <c r="CV12" s="307" t="e">
        <f>AVERAGEIF(#REF!,2,#REF!)</f>
        <v>#REF!</v>
      </c>
      <c r="DC12" s="1254"/>
      <c r="DD12" s="1255"/>
      <c r="DE12" s="1255"/>
      <c r="DF12" s="1256"/>
      <c r="DH12" s="511">
        <v>11</v>
      </c>
      <c r="DI12" s="2" t="s">
        <v>1842</v>
      </c>
      <c r="DJ12" s="2" t="s">
        <v>1843</v>
      </c>
      <c r="DK12" s="2" t="s">
        <v>1844</v>
      </c>
      <c r="DL12" s="443" t="s">
        <v>1845</v>
      </c>
      <c r="DM12" s="493"/>
    </row>
    <row r="13" spans="1:122" ht="154.5" thickBot="1">
      <c r="A13" s="1257" t="s">
        <v>1846</v>
      </c>
      <c r="B13" s="1258"/>
      <c r="C13" s="1258"/>
      <c r="D13" s="1259"/>
      <c r="E13" s="258" t="s">
        <v>1732</v>
      </c>
      <c r="F13" s="256" t="e">
        <f>COUNTIF(#REF!,3)</f>
        <v>#REF!</v>
      </c>
      <c r="G13" s="307" t="e">
        <f>(SUMIF(#REF!,3,#REF!))/(COUNTIF(#REF!,3))</f>
        <v>#REF!</v>
      </c>
      <c r="N13" s="1254" t="s">
        <v>1847</v>
      </c>
      <c r="O13" s="1255"/>
      <c r="P13" s="1255"/>
      <c r="Q13" s="1256"/>
      <c r="T13" s="232" t="s">
        <v>1848</v>
      </c>
      <c r="U13" s="1147"/>
      <c r="V13" s="1147"/>
      <c r="W13" s="1147"/>
      <c r="Y13" s="203" t="s">
        <v>1849</v>
      </c>
      <c r="Z13" s="210">
        <f ca="1">COUNTIF($K$3:AD98,Y13)</f>
        <v>1</v>
      </c>
      <c r="AA13" s="210">
        <f>SUM(AK70:AM80)</f>
        <v>0</v>
      </c>
      <c r="AB13" s="210" t="e">
        <f>SUMIF($K$3:$K$88,"Νοε",$U$3:$U$88)/(COUNTIF($K$3:$K$88,"Νοε"))</f>
        <v>#DIV/0!</v>
      </c>
      <c r="AC13" s="215"/>
      <c r="AD13" s="222" t="s">
        <v>1776</v>
      </c>
      <c r="AE13" s="213">
        <v>45390</v>
      </c>
      <c r="AF13" s="212" t="s">
        <v>1850</v>
      </c>
      <c r="AG13" s="212" cm="1">
        <f t="array" ref="AG13">_xlfn.IFS(AH13=1,$B$4,AH13=2,$B$5,AH13=3,$B$6,AH13=4,$B$7,AH13=5,$B$8,AH13=6,$B$9,AH13=7,$B$10)</f>
        <v>0</v>
      </c>
      <c r="AH13" s="216">
        <v>5</v>
      </c>
      <c r="AI13" s="212" t="s">
        <v>1808</v>
      </c>
      <c r="AJ13" s="216" t="s">
        <v>1851</v>
      </c>
      <c r="AK13" s="216">
        <v>9</v>
      </c>
      <c r="AL13" s="216">
        <v>0</v>
      </c>
      <c r="AM13" s="216">
        <v>3</v>
      </c>
      <c r="AN13" s="214" t="e">
        <f t="shared" si="0"/>
        <v>#DIV/0!</v>
      </c>
      <c r="AO13" s="220"/>
      <c r="AP13" s="203" t="s">
        <v>1849</v>
      </c>
      <c r="AQ13" s="210">
        <f>COUNT(BB34:BB40)</f>
        <v>0</v>
      </c>
      <c r="AR13" s="210">
        <f>SUM(BB34:BD40)</f>
        <v>0</v>
      </c>
      <c r="AS13" s="210" t="e">
        <f ca="1">SUMIF($AB$3:$AB$47,"Νοέ",$AL$3:$AL$47)/(COUNTIF($AB$3:$AB$47,"Νοέ"))</f>
        <v>#DIV/0!</v>
      </c>
      <c r="AT13" s="215"/>
      <c r="AU13" s="223"/>
      <c r="AV13" s="217"/>
      <c r="AW13" s="212"/>
      <c r="AX13" s="212"/>
      <c r="AY13" s="212"/>
      <c r="AZ13" s="212"/>
      <c r="BA13" s="212"/>
      <c r="BB13" s="216"/>
      <c r="BC13" s="216"/>
      <c r="BD13" s="212"/>
      <c r="BE13" s="214"/>
      <c r="BF13" s="136"/>
      <c r="BG13" s="203" t="s">
        <v>1849</v>
      </c>
      <c r="BH13" s="210">
        <v>0</v>
      </c>
      <c r="BI13" s="210">
        <v>0</v>
      </c>
      <c r="BJ13" s="210">
        <v>0</v>
      </c>
      <c r="BL13" s="228"/>
      <c r="BM13" s="228"/>
      <c r="BN13" s="227"/>
      <c r="BO13" s="227"/>
      <c r="BP13" s="227"/>
      <c r="BQ13" s="227"/>
      <c r="BR13" s="227"/>
      <c r="BS13" s="227"/>
      <c r="BT13" s="227"/>
      <c r="BU13" s="227"/>
      <c r="BV13" s="136"/>
      <c r="BX13" s="203" t="s">
        <v>1849</v>
      </c>
      <c r="BY13" s="210">
        <v>0</v>
      </c>
      <c r="BZ13" s="210">
        <v>0</v>
      </c>
      <c r="CA13" s="210">
        <v>0</v>
      </c>
      <c r="CB13" s="215"/>
      <c r="CC13" s="228"/>
      <c r="CD13" s="228"/>
      <c r="CE13" s="227"/>
      <c r="CF13" s="227"/>
      <c r="CG13" s="227"/>
      <c r="CH13" s="227"/>
      <c r="CI13" s="227"/>
      <c r="CJ13" s="227"/>
      <c r="CK13" s="227"/>
      <c r="CL13" s="227"/>
      <c r="CM13" s="136"/>
      <c r="CP13" s="1257" t="s">
        <v>1852</v>
      </c>
      <c r="CQ13" s="1258"/>
      <c r="CR13" s="1258"/>
      <c r="CS13" s="1259"/>
      <c r="CT13" s="258" t="s">
        <v>1732</v>
      </c>
      <c r="CU13" s="256" t="e">
        <f>COUNTIF(#REF!,3)</f>
        <v>#REF!</v>
      </c>
      <c r="CV13" s="307" t="e">
        <f>AVERAGEIF(#REF!,3,#REF!)</f>
        <v>#REF!</v>
      </c>
      <c r="DC13" s="1254" t="s">
        <v>1847</v>
      </c>
      <c r="DD13" s="1255"/>
      <c r="DE13" s="1255"/>
      <c r="DF13" s="1256"/>
      <c r="DH13" s="511">
        <v>12</v>
      </c>
      <c r="DI13" s="2" t="s">
        <v>1853</v>
      </c>
      <c r="DJ13" s="2" t="s">
        <v>1854</v>
      </c>
      <c r="DK13" s="2" t="s">
        <v>1855</v>
      </c>
      <c r="DL13" s="443" t="s">
        <v>1856</v>
      </c>
      <c r="DM13" s="493"/>
    </row>
    <row r="14" spans="1:122" ht="120.75" thickBot="1">
      <c r="A14" s="1260"/>
      <c r="B14" s="1244"/>
      <c r="C14" s="1244"/>
      <c r="D14" s="1261"/>
      <c r="E14" s="251" t="s">
        <v>1734</v>
      </c>
      <c r="F14" s="257" t="e">
        <f>COUNTIF(#REF!,23)</f>
        <v>#REF!</v>
      </c>
      <c r="G14" s="307" t="e">
        <f>AVERAGEIF(#REF!,3,#REF!)</f>
        <v>#REF!</v>
      </c>
      <c r="N14" s="1275"/>
      <c r="O14" s="1276"/>
      <c r="P14" s="1276"/>
      <c r="Q14" s="1277"/>
      <c r="T14" s="232" t="s">
        <v>1857</v>
      </c>
      <c r="U14" s="1147"/>
      <c r="V14" s="1147"/>
      <c r="W14" s="1147"/>
      <c r="Y14" s="203" t="s">
        <v>1858</v>
      </c>
      <c r="Z14" s="210">
        <f ca="1">COUNTIF($K$3:AD99,Y14)</f>
        <v>1</v>
      </c>
      <c r="AA14" s="210">
        <f>SUM(AK81:AM88)</f>
        <v>0</v>
      </c>
      <c r="AB14" s="210" t="e">
        <f>SUMIF($K$3:$K$88,"Δεκ",$U$3:$U$88)/(COUNTIF($K$3:$K$88,"Δεκ"))</f>
        <v>#DIV/0!</v>
      </c>
      <c r="AC14" s="215"/>
      <c r="AD14" s="222" t="s">
        <v>1776</v>
      </c>
      <c r="AE14" s="213">
        <v>45391</v>
      </c>
      <c r="AF14" s="212" t="s">
        <v>1859</v>
      </c>
      <c r="AG14" s="212" cm="1">
        <f t="array" ref="AG14">_xlfn.IFS(AH14=1,$B$4,AH14=2,$B$5,AH14=3,$B$6,AH14=4,$B$7,AH14=5,$B$8,AH14=6,$B$9,AH14=7,$B$10)</f>
        <v>0</v>
      </c>
      <c r="AH14" s="216">
        <v>5</v>
      </c>
      <c r="AI14" s="212" t="s">
        <v>1808</v>
      </c>
      <c r="AJ14" s="216" t="s">
        <v>1860</v>
      </c>
      <c r="AK14" s="216">
        <v>5</v>
      </c>
      <c r="AL14" s="216">
        <v>0</v>
      </c>
      <c r="AM14" s="216">
        <v>1</v>
      </c>
      <c r="AN14" s="214" t="e">
        <f t="shared" si="0"/>
        <v>#DIV/0!</v>
      </c>
      <c r="AP14" s="203" t="s">
        <v>1858</v>
      </c>
      <c r="AQ14" s="210">
        <f>COUNT(BB41:BB47)</f>
        <v>0</v>
      </c>
      <c r="AR14" s="210">
        <f>SUM(BB41:BD47)</f>
        <v>0</v>
      </c>
      <c r="AS14" s="210" t="e">
        <f ca="1">SUMIF($AB$3:$AB$47,"Δεκ",$AL$3:$AL$47)/(COUNTIF($AB$3:$AB$47,"Δεκ"))</f>
        <v>#DIV/0!</v>
      </c>
      <c r="AT14" s="215"/>
      <c r="AU14" s="223"/>
      <c r="AV14" s="217"/>
      <c r="AW14" s="216"/>
      <c r="AX14" s="212"/>
      <c r="AY14" s="216"/>
      <c r="AZ14" s="212"/>
      <c r="BA14" s="216"/>
      <c r="BB14" s="216"/>
      <c r="BC14" s="216"/>
      <c r="BD14" s="212"/>
      <c r="BE14" s="214"/>
      <c r="BF14" s="136"/>
      <c r="BG14" s="203" t="s">
        <v>1858</v>
      </c>
      <c r="BH14" s="210">
        <v>0</v>
      </c>
      <c r="BI14" s="210">
        <v>0</v>
      </c>
      <c r="BJ14" s="210">
        <v>0</v>
      </c>
      <c r="BL14" s="228"/>
      <c r="BM14" s="228"/>
      <c r="BN14" s="227"/>
      <c r="BO14" s="227"/>
      <c r="BP14" s="227"/>
      <c r="BQ14" s="227"/>
      <c r="BR14" s="227"/>
      <c r="BS14" s="227"/>
      <c r="BT14" s="227"/>
      <c r="BU14" s="227"/>
      <c r="BV14" s="136"/>
      <c r="BX14" s="203" t="s">
        <v>1858</v>
      </c>
      <c r="BY14" s="210">
        <v>0</v>
      </c>
      <c r="BZ14" s="210">
        <v>0</v>
      </c>
      <c r="CA14" s="210">
        <v>0</v>
      </c>
      <c r="CB14" s="215"/>
      <c r="CC14" s="226"/>
      <c r="CD14" s="226"/>
      <c r="CE14" s="227"/>
      <c r="CF14" s="227"/>
      <c r="CG14" s="227"/>
      <c r="CH14" s="227"/>
      <c r="CI14" s="227"/>
      <c r="CJ14" s="227"/>
      <c r="CK14" s="227"/>
      <c r="CL14" s="227"/>
      <c r="CM14" s="136"/>
      <c r="CP14" s="1260"/>
      <c r="CQ14" s="1244"/>
      <c r="CR14" s="1244"/>
      <c r="CS14" s="1261"/>
      <c r="CT14" s="251" t="s">
        <v>1734</v>
      </c>
      <c r="CU14" s="257" t="e">
        <f>COUNTIF(#REF!,3)</f>
        <v>#REF!</v>
      </c>
      <c r="CV14" s="307" t="e">
        <f>AVERAGEIF(#REF!,3,#REF!)</f>
        <v>#REF!</v>
      </c>
      <c r="DC14" s="1275"/>
      <c r="DD14" s="1276"/>
      <c r="DE14" s="1276"/>
      <c r="DF14" s="1277"/>
      <c r="DH14" s="511">
        <v>13</v>
      </c>
      <c r="DI14" s="2" t="s">
        <v>1861</v>
      </c>
      <c r="DJ14" s="2" t="s">
        <v>1862</v>
      </c>
      <c r="DK14" s="2" t="s">
        <v>1863</v>
      </c>
      <c r="DL14" s="443" t="s">
        <v>1864</v>
      </c>
      <c r="DM14" s="493"/>
    </row>
    <row r="15" spans="1:122" ht="205.5" thickBot="1">
      <c r="A15" s="1260"/>
      <c r="B15" s="1244"/>
      <c r="C15" s="1244"/>
      <c r="D15" s="1261"/>
      <c r="E15" s="252" t="s">
        <v>1735</v>
      </c>
      <c r="F15" s="257" t="e">
        <f>COUNTIF(#REF!,3)</f>
        <v>#REF!</v>
      </c>
      <c r="G15" s="307" t="e">
        <f>AVERAGEIF(#REF!,3,#REF!)</f>
        <v>#REF!</v>
      </c>
      <c r="T15" s="232" t="s">
        <v>1865</v>
      </c>
      <c r="U15" s="1147"/>
      <c r="V15" s="1147"/>
      <c r="W15" s="1147"/>
      <c r="Y15" s="236" t="s">
        <v>1866</v>
      </c>
      <c r="Z15" s="237">
        <f ca="1">AVERAGE(Z3:Z14)</f>
        <v>2.6666666666666665</v>
      </c>
      <c r="AA15" s="232" t="s">
        <v>1774</v>
      </c>
      <c r="AB15" s="238" t="e">
        <f ca="1">SUM(AB3:AB14)/COUNTIF(Z3:Z14,"&gt;0")</f>
        <v>#DIV/0!</v>
      </c>
      <c r="AC15" s="221"/>
      <c r="AD15" s="222" t="s">
        <v>1776</v>
      </c>
      <c r="AE15" s="213">
        <v>45392</v>
      </c>
      <c r="AF15" s="212" t="s">
        <v>1867</v>
      </c>
      <c r="AG15" s="212" cm="1">
        <f t="array" ref="AG15">_xlfn.IFS(AH15=1,$B$4,AH15=2,$B$5,AH15=3,$B$6,AH15=4,$B$7,AH15=5,$B$8,AH15=6,$B$9,AH15=7,$B$10)</f>
        <v>0</v>
      </c>
      <c r="AH15" s="216">
        <v>5</v>
      </c>
      <c r="AI15" s="212" t="s">
        <v>1795</v>
      </c>
      <c r="AJ15" s="216" t="s">
        <v>771</v>
      </c>
      <c r="AK15" s="216">
        <v>7</v>
      </c>
      <c r="AL15" s="216">
        <v>0</v>
      </c>
      <c r="AM15" s="216">
        <v>1</v>
      </c>
      <c r="AN15" s="214" t="e">
        <f t="shared" si="0"/>
        <v>#DIV/0!</v>
      </c>
      <c r="AP15" s="236" t="s">
        <v>1866</v>
      </c>
      <c r="AQ15" s="237">
        <f>AVERAGE(AQ3:AQ14)</f>
        <v>0</v>
      </c>
      <c r="AR15" s="239" t="s">
        <v>1774</v>
      </c>
      <c r="AS15" s="240" t="e">
        <f ca="1">SUM(AS3:AS14)/COUNTIF(AQ3:AQ14,"&gt;0")</f>
        <v>#DIV/0!</v>
      </c>
      <c r="AT15" s="215"/>
      <c r="AU15" s="223"/>
      <c r="AV15" s="217"/>
      <c r="AW15" s="212"/>
      <c r="AX15" s="212"/>
      <c r="AY15" s="212"/>
      <c r="AZ15" s="212"/>
      <c r="BA15" s="212"/>
      <c r="BB15" s="216"/>
      <c r="BC15" s="216"/>
      <c r="BD15" s="212"/>
      <c r="BE15" s="214"/>
      <c r="BF15" s="136"/>
      <c r="BG15" s="236" t="s">
        <v>1866</v>
      </c>
      <c r="BH15" s="237">
        <f>AVERAGE(BH3:BH14)</f>
        <v>0.16666666666666666</v>
      </c>
      <c r="BI15" s="241" t="s">
        <v>1774</v>
      </c>
      <c r="BJ15" s="242" t="e">
        <f ca="1">SUM(BJ3:BJ14)/COUNTIF(BH3:BH14,"&gt;0")</f>
        <v>#DIV/0!</v>
      </c>
      <c r="BL15" s="233"/>
      <c r="BM15" s="233"/>
      <c r="BN15" s="234"/>
      <c r="BO15" s="234"/>
      <c r="BP15" s="234"/>
      <c r="BQ15" s="234"/>
      <c r="BR15" s="234"/>
      <c r="BS15" s="234"/>
      <c r="BT15" s="234"/>
      <c r="BU15" s="234"/>
      <c r="BV15" s="136"/>
      <c r="BX15" s="236" t="s">
        <v>1866</v>
      </c>
      <c r="BY15" s="237">
        <f>AVERAGE(BY3:BY14)</f>
        <v>0</v>
      </c>
      <c r="BZ15" s="243" t="s">
        <v>1774</v>
      </c>
      <c r="CA15" s="244" t="e">
        <f ca="1">SUM(CA3:CA14)/COUNTIF(BY3:BY14,"&gt;0")</f>
        <v>#DIV/0!</v>
      </c>
      <c r="CB15" s="221"/>
      <c r="CC15" s="228"/>
      <c r="CD15" s="228"/>
      <c r="CE15" s="227"/>
      <c r="CF15" s="227"/>
      <c r="CG15" s="227"/>
      <c r="CH15" s="227"/>
      <c r="CI15" s="227"/>
      <c r="CJ15" s="227"/>
      <c r="CK15" s="227"/>
      <c r="CL15" s="227"/>
      <c r="CM15" s="136"/>
      <c r="CP15" s="1260"/>
      <c r="CQ15" s="1244"/>
      <c r="CR15" s="1244"/>
      <c r="CS15" s="1261"/>
      <c r="CT15" s="252" t="s">
        <v>1735</v>
      </c>
      <c r="CU15" s="257" t="e">
        <f>COUNTIF(#REF!,3)</f>
        <v>#REF!</v>
      </c>
      <c r="CV15" s="307" t="e">
        <f>AVERAGEIF(#REF!,3,#REF!)</f>
        <v>#REF!</v>
      </c>
      <c r="DH15" s="511">
        <v>14</v>
      </c>
      <c r="DI15" s="2" t="s">
        <v>1868</v>
      </c>
      <c r="DJ15" s="2" t="s">
        <v>1869</v>
      </c>
      <c r="DK15" s="2" t="s">
        <v>1870</v>
      </c>
      <c r="DL15" s="443" t="s">
        <v>1871</v>
      </c>
      <c r="DM15" s="493"/>
    </row>
    <row r="16" spans="1:122" ht="120.75" thickBot="1">
      <c r="A16" s="1262"/>
      <c r="B16" s="1263"/>
      <c r="C16" s="1263"/>
      <c r="D16" s="1264"/>
      <c r="E16" s="253" t="s">
        <v>1736</v>
      </c>
      <c r="F16" s="257" t="e">
        <f>COUNTIF(#REF!,3)</f>
        <v>#REF!</v>
      </c>
      <c r="G16" s="307" t="e">
        <f>AVERAGEIF(#REF!,3,#REF!)</f>
        <v>#REF!</v>
      </c>
      <c r="T16" s="232" t="s">
        <v>1872</v>
      </c>
      <c r="U16" s="1147"/>
      <c r="V16" s="1147"/>
      <c r="W16" s="1147"/>
      <c r="Y16" s="236" t="s">
        <v>1873</v>
      </c>
      <c r="Z16" s="245">
        <f ca="1">_xlfn.STDEV.P(Z3:Z14)</f>
        <v>3.9228674319799399</v>
      </c>
      <c r="AC16" s="211"/>
      <c r="AD16" s="223" t="s">
        <v>1776</v>
      </c>
      <c r="AE16" s="213">
        <v>45392</v>
      </c>
      <c r="AF16" s="216" t="s">
        <v>1874</v>
      </c>
      <c r="AG16" s="212" cm="1">
        <f t="array" ref="AG16">_xlfn.IFS(AH16=1,$B$4,AH16=2,$B$5,AH16=3,$B$6,AH16=4,$B$7,AH16=5,$B$8,AH16=6,$B$9,AH16=7,$B$10)</f>
        <v>0</v>
      </c>
      <c r="AH16" s="216">
        <v>1</v>
      </c>
      <c r="AI16" s="212" t="s">
        <v>1818</v>
      </c>
      <c r="AJ16" s="217" t="s">
        <v>771</v>
      </c>
      <c r="AK16" s="216">
        <v>1</v>
      </c>
      <c r="AL16" s="216">
        <v>0</v>
      </c>
      <c r="AM16" s="216">
        <v>0</v>
      </c>
      <c r="AN16" s="214" t="e">
        <f t="shared" si="0"/>
        <v>#DIV/0!</v>
      </c>
      <c r="AP16" s="236" t="s">
        <v>1873</v>
      </c>
      <c r="AQ16" s="245">
        <f>_xlfn.STDEV.P(AQ3:AQ14)</f>
        <v>0</v>
      </c>
      <c r="AT16" s="215"/>
      <c r="AU16" s="223"/>
      <c r="AV16" s="217"/>
      <c r="AW16" s="216"/>
      <c r="AX16" s="212"/>
      <c r="AY16" s="216"/>
      <c r="AZ16" s="212"/>
      <c r="BA16" s="216"/>
      <c r="BB16" s="216"/>
      <c r="BC16" s="216"/>
      <c r="BD16" s="216"/>
      <c r="BE16" s="214"/>
      <c r="BF16" s="136"/>
      <c r="BG16" s="236" t="s">
        <v>1873</v>
      </c>
      <c r="BH16" s="245">
        <f>_xlfn.STDEV.P(BH3:BH14)</f>
        <v>0.37267799624996495</v>
      </c>
      <c r="BL16" s="228"/>
      <c r="BM16" s="228"/>
      <c r="BN16" s="227"/>
      <c r="BO16" s="227"/>
      <c r="BP16" s="227"/>
      <c r="BQ16" s="227"/>
      <c r="BR16" s="227"/>
      <c r="BS16" s="227"/>
      <c r="BT16" s="227"/>
      <c r="BU16" s="227"/>
      <c r="BV16" s="136"/>
      <c r="BX16" s="236" t="s">
        <v>1873</v>
      </c>
      <c r="BY16" s="245">
        <f>_xlfn.STDEV.P(BY3:BY14)</f>
        <v>0</v>
      </c>
      <c r="CC16" s="228"/>
      <c r="CD16" s="228"/>
      <c r="CE16" s="227"/>
      <c r="CF16" s="227"/>
      <c r="CG16" s="227"/>
      <c r="CH16" s="227"/>
      <c r="CI16" s="227"/>
      <c r="CJ16" s="227"/>
      <c r="CK16" s="227"/>
      <c r="CL16" s="227"/>
      <c r="CM16" s="136"/>
      <c r="CP16" s="1262"/>
      <c r="CQ16" s="1263"/>
      <c r="CR16" s="1263"/>
      <c r="CS16" s="1264"/>
      <c r="CT16" s="253" t="s">
        <v>1736</v>
      </c>
      <c r="CU16" s="257" t="e">
        <f>COUNTIF(#REF!,3)</f>
        <v>#REF!</v>
      </c>
      <c r="CV16" s="307" t="e">
        <f>AVERAGEIF(#REF!,3,#REF!)</f>
        <v>#REF!</v>
      </c>
      <c r="DH16" s="2">
        <v>15</v>
      </c>
      <c r="DI16" s="2" t="s">
        <v>1875</v>
      </c>
      <c r="DJ16" s="2" t="s">
        <v>1876</v>
      </c>
      <c r="DK16" s="2" t="s">
        <v>1877</v>
      </c>
      <c r="DL16" s="443" t="s">
        <v>1878</v>
      </c>
      <c r="DM16" s="493"/>
    </row>
    <row r="17" spans="1:117" ht="255.75" thickBot="1">
      <c r="A17" s="1279" t="s">
        <v>1879</v>
      </c>
      <c r="B17" s="1280"/>
      <c r="C17" s="1280"/>
      <c r="D17" s="1281"/>
      <c r="E17" s="258" t="s">
        <v>1732</v>
      </c>
      <c r="F17" s="256" t="e">
        <f>COUNTIF(#REF!,4)</f>
        <v>#REF!</v>
      </c>
      <c r="G17" s="307" t="e">
        <f>(SUMIF(#REF!,4,#REF!))/(COUNTIF(#REF!,4))</f>
        <v>#REF!</v>
      </c>
      <c r="T17" s="232" t="s">
        <v>1880</v>
      </c>
      <c r="U17" s="1147"/>
      <c r="V17" s="1147"/>
      <c r="W17" s="1147"/>
      <c r="Y17" s="246" t="s">
        <v>1881</v>
      </c>
      <c r="Z17" s="3">
        <f ca="1">SUM(Z3:Z14)</f>
        <v>32</v>
      </c>
      <c r="AC17" s="221"/>
      <c r="AD17" s="222" t="s">
        <v>1776</v>
      </c>
      <c r="AE17" s="213">
        <v>45392</v>
      </c>
      <c r="AF17" s="212" t="s">
        <v>1777</v>
      </c>
      <c r="AG17" s="212" cm="1">
        <f t="array" ref="AG17">_xlfn.IFS(AH17=1,$B$4,AH17=2,$B$5,AH17=3,$B$6,AH17=4,$B$7,AH17=5,$B$8,AH17=6,$B$9,AH17=7,$B$10)</f>
        <v>0</v>
      </c>
      <c r="AH17" s="216">
        <v>5</v>
      </c>
      <c r="AI17" s="212" t="s">
        <v>1795</v>
      </c>
      <c r="AJ17" s="216" t="s">
        <v>771</v>
      </c>
      <c r="AK17" s="216">
        <v>8</v>
      </c>
      <c r="AL17" s="216">
        <v>0</v>
      </c>
      <c r="AM17" s="216">
        <v>0</v>
      </c>
      <c r="AN17" s="214" t="e">
        <f t="shared" si="0"/>
        <v>#DIV/0!</v>
      </c>
      <c r="AO17" s="220"/>
      <c r="AP17" s="246" t="s">
        <v>1881</v>
      </c>
      <c r="AQ17" s="3">
        <f>SUM(AQ3:AQ14)</f>
        <v>0</v>
      </c>
      <c r="AT17" s="215"/>
      <c r="AU17" s="223"/>
      <c r="AV17" s="217"/>
      <c r="AW17" s="212"/>
      <c r="AX17" s="212"/>
      <c r="AY17" s="212"/>
      <c r="AZ17" s="212"/>
      <c r="BA17" s="212"/>
      <c r="BB17" s="216"/>
      <c r="BC17" s="216"/>
      <c r="BD17" s="216"/>
      <c r="BE17" s="214"/>
      <c r="BF17" s="136"/>
      <c r="BG17" s="246" t="s">
        <v>1881</v>
      </c>
      <c r="BH17" s="3">
        <f>SUM(BH3:BH14)</f>
        <v>2</v>
      </c>
      <c r="BL17" s="226"/>
      <c r="BM17" s="226"/>
      <c r="BN17" s="227"/>
      <c r="BO17" s="227"/>
      <c r="BP17" s="227"/>
      <c r="BQ17" s="227"/>
      <c r="BR17" s="227"/>
      <c r="BS17" s="227"/>
      <c r="BT17" s="227"/>
      <c r="BU17" s="227"/>
      <c r="BV17" s="136"/>
      <c r="BX17" s="246" t="s">
        <v>1881</v>
      </c>
      <c r="BY17" s="3">
        <f>SUM(BY3:BY14)</f>
        <v>0</v>
      </c>
      <c r="CC17" s="228"/>
      <c r="CD17" s="228"/>
      <c r="CE17" s="227"/>
      <c r="CF17" s="227"/>
      <c r="CG17" s="227"/>
      <c r="CH17" s="227"/>
      <c r="CI17" s="227"/>
      <c r="CJ17" s="227"/>
      <c r="CK17" s="227"/>
      <c r="CL17" s="227"/>
      <c r="CM17" s="136"/>
      <c r="CP17" s="1279" t="s">
        <v>1879</v>
      </c>
      <c r="CQ17" s="1280"/>
      <c r="CR17" s="1280"/>
      <c r="CS17" s="1281"/>
      <c r="CT17" s="258" t="s">
        <v>1732</v>
      </c>
      <c r="CU17" s="256" t="e">
        <f>COUNTIF(#REF!,4)</f>
        <v>#REF!</v>
      </c>
      <c r="CV17" s="307" t="e">
        <f>AVERAGEIF(#REF!,4,#REF!)</f>
        <v>#REF!</v>
      </c>
      <c r="DH17" s="511">
        <v>16</v>
      </c>
      <c r="DI17" s="2" t="s">
        <v>1882</v>
      </c>
      <c r="DJ17" s="2" t="s">
        <v>1883</v>
      </c>
      <c r="DK17" s="2" t="s">
        <v>1884</v>
      </c>
      <c r="DL17" s="443" t="s">
        <v>1885</v>
      </c>
      <c r="DM17" s="493"/>
    </row>
    <row r="18" spans="1:117" ht="75.75" thickBot="1">
      <c r="A18" s="1282"/>
      <c r="B18" s="1283"/>
      <c r="C18" s="1283"/>
      <c r="D18" s="1284"/>
      <c r="E18" s="251" t="s">
        <v>1734</v>
      </c>
      <c r="F18" s="257" t="e">
        <f>COUNTIF(#REF!,4)</f>
        <v>#REF!</v>
      </c>
      <c r="G18" s="307" t="e">
        <f>AVERAGEIF(#REF!,4,#REF!)</f>
        <v>#REF!</v>
      </c>
      <c r="T18" s="232" t="s">
        <v>1886</v>
      </c>
      <c r="U18" s="1147"/>
      <c r="V18" s="1147"/>
      <c r="W18" s="1147"/>
      <c r="Y18" s="136"/>
      <c r="AC18" s="211"/>
      <c r="AD18" s="212" t="s">
        <v>1776</v>
      </c>
      <c r="AE18" s="213">
        <v>45394</v>
      </c>
      <c r="AF18" s="212" t="s">
        <v>1887</v>
      </c>
      <c r="AG18" s="212" cm="1">
        <f t="array" ref="AG18">_xlfn.IFS(AH18=1,$B$4,AH18=2,$B$5,AH18=3,$B$6,AH18=4,$B$7,AH18=5,$B$8,AH18=6,$B$9,AH18=7,$B$10)</f>
        <v>0</v>
      </c>
      <c r="AH18" s="216">
        <v>1</v>
      </c>
      <c r="AI18" s="212" t="s">
        <v>1841</v>
      </c>
      <c r="AJ18" s="216" t="s">
        <v>771</v>
      </c>
      <c r="AK18" s="216">
        <v>102</v>
      </c>
      <c r="AL18" s="216">
        <v>0</v>
      </c>
      <c r="AM18" s="216">
        <v>7</v>
      </c>
      <c r="AN18" s="214" t="e">
        <f t="shared" si="0"/>
        <v>#DIV/0!</v>
      </c>
      <c r="AP18" s="136"/>
      <c r="AT18" s="221"/>
      <c r="AU18" s="223"/>
      <c r="AV18" s="217"/>
      <c r="AW18" s="212"/>
      <c r="AX18" s="212"/>
      <c r="AY18" s="212"/>
      <c r="AZ18" s="212"/>
      <c r="BA18" s="212"/>
      <c r="BB18" s="216"/>
      <c r="BC18" s="216"/>
      <c r="BD18" s="216"/>
      <c r="BE18" s="214"/>
      <c r="BF18" s="136"/>
      <c r="BG18" s="136"/>
      <c r="BL18" s="228"/>
      <c r="BM18" s="228"/>
      <c r="BN18" s="227"/>
      <c r="BO18" s="227"/>
      <c r="BP18" s="227"/>
      <c r="BQ18" s="227"/>
      <c r="BR18" s="227"/>
      <c r="BS18" s="227"/>
      <c r="BT18" s="227"/>
      <c r="BU18" s="227"/>
      <c r="BV18" s="136"/>
      <c r="BX18" s="136"/>
      <c r="CC18" s="228"/>
      <c r="CD18" s="228"/>
      <c r="CE18" s="227"/>
      <c r="CF18" s="227"/>
      <c r="CG18" s="227"/>
      <c r="CH18" s="227"/>
      <c r="CI18" s="227"/>
      <c r="CJ18" s="227"/>
      <c r="CK18" s="227"/>
      <c r="CL18" s="227"/>
      <c r="CM18" s="136"/>
      <c r="CP18" s="1282"/>
      <c r="CQ18" s="1283"/>
      <c r="CR18" s="1283"/>
      <c r="CS18" s="1284"/>
      <c r="CT18" s="251" t="s">
        <v>1734</v>
      </c>
      <c r="CU18" s="257" t="e">
        <f>COUNTIF(#REF!,4)</f>
        <v>#REF!</v>
      </c>
      <c r="CV18" s="307" t="e">
        <f>AVERAGEIF(#REF!,4,#REF!)</f>
        <v>#REF!</v>
      </c>
      <c r="DH18" s="2">
        <v>17</v>
      </c>
      <c r="DI18" s="2" t="s">
        <v>1888</v>
      </c>
      <c r="DJ18" s="2" t="s">
        <v>1889</v>
      </c>
      <c r="DK18" s="2" t="s">
        <v>1890</v>
      </c>
      <c r="DL18" s="443" t="s">
        <v>1891</v>
      </c>
      <c r="DM18" s="493"/>
    </row>
    <row r="19" spans="1:117" ht="75.75" thickBot="1">
      <c r="A19" s="1282"/>
      <c r="B19" s="1283"/>
      <c r="C19" s="1283"/>
      <c r="D19" s="1284"/>
      <c r="E19" s="252" t="s">
        <v>1735</v>
      </c>
      <c r="F19" s="257" t="e">
        <f>COUNTIF(#REF!,4)</f>
        <v>#REF!</v>
      </c>
      <c r="G19" s="307" t="e">
        <f>AVERAGEIF(#REF!,4,#REF!)</f>
        <v>#REF!</v>
      </c>
      <c r="T19" s="232" t="s">
        <v>1892</v>
      </c>
      <c r="U19" s="1145"/>
      <c r="V19" s="1145"/>
      <c r="W19" s="1145"/>
      <c r="Y19" s="136"/>
      <c r="AC19" s="221"/>
      <c r="AD19" s="222" t="s">
        <v>1776</v>
      </c>
      <c r="AE19" s="213">
        <v>45398</v>
      </c>
      <c r="AF19" s="212" t="s">
        <v>1887</v>
      </c>
      <c r="AG19" s="212" cm="1">
        <f t="array" ref="AG19">_xlfn.IFS(AH19=1,$B$4,AH19=2,$B$5,AH19=3,$B$6,AH19=4,$B$7,AH19=5,$B$8,AH19=6,$B$9,AH19=7,$B$10)</f>
        <v>0</v>
      </c>
      <c r="AH19" s="216">
        <v>1</v>
      </c>
      <c r="AI19" s="212" t="s">
        <v>1841</v>
      </c>
      <c r="AJ19" s="216" t="s">
        <v>771</v>
      </c>
      <c r="AK19" s="216">
        <v>164</v>
      </c>
      <c r="AL19" s="216">
        <v>0</v>
      </c>
      <c r="AM19" s="216">
        <v>0</v>
      </c>
      <c r="AN19" s="214" t="e">
        <f t="shared" si="0"/>
        <v>#DIV/0!</v>
      </c>
      <c r="AO19" s="220"/>
      <c r="AP19" s="136"/>
      <c r="AT19" s="215"/>
      <c r="AU19" s="223"/>
      <c r="AV19" s="217"/>
      <c r="AW19" s="216"/>
      <c r="AX19" s="212"/>
      <c r="AY19" s="216"/>
      <c r="AZ19" s="212"/>
      <c r="BA19" s="216"/>
      <c r="BB19" s="216"/>
      <c r="BC19" s="216"/>
      <c r="BD19" s="212"/>
      <c r="BE19" s="214"/>
      <c r="BF19" s="136"/>
      <c r="BG19" s="136"/>
      <c r="BL19" s="228"/>
      <c r="BM19" s="228"/>
      <c r="BN19" s="227"/>
      <c r="BO19" s="227"/>
      <c r="BP19" s="227"/>
      <c r="BQ19" s="227"/>
      <c r="BR19" s="227"/>
      <c r="BS19" s="227"/>
      <c r="BT19" s="227"/>
      <c r="BU19" s="227"/>
      <c r="BV19" s="136"/>
      <c r="BX19" s="136"/>
      <c r="CC19" s="228"/>
      <c r="CD19" s="228"/>
      <c r="CE19" s="227"/>
      <c r="CF19" s="227"/>
      <c r="CG19" s="227"/>
      <c r="CH19" s="227"/>
      <c r="CI19" s="227"/>
      <c r="CJ19" s="227"/>
      <c r="CK19" s="227"/>
      <c r="CL19" s="227"/>
      <c r="CM19" s="136"/>
      <c r="CP19" s="1282"/>
      <c r="CQ19" s="1283"/>
      <c r="CR19" s="1283"/>
      <c r="CS19" s="1284"/>
      <c r="CT19" s="252" t="s">
        <v>1735</v>
      </c>
      <c r="CU19" s="257" t="e">
        <f>COUNTIF(#REF!,4)</f>
        <v>#REF!</v>
      </c>
      <c r="CV19" s="307" t="e">
        <f>AVERAGEIF(#REF!,4,#REF!)</f>
        <v>#REF!</v>
      </c>
      <c r="DH19" s="511">
        <v>18</v>
      </c>
      <c r="DI19" s="2" t="s">
        <v>1893</v>
      </c>
      <c r="DJ19" s="2" t="s">
        <v>1894</v>
      </c>
      <c r="DK19" s="2" t="s">
        <v>1895</v>
      </c>
      <c r="DL19" s="443" t="s">
        <v>1896</v>
      </c>
      <c r="DM19" s="493"/>
    </row>
    <row r="20" spans="1:117" ht="116.25" thickBot="1">
      <c r="A20" s="1285"/>
      <c r="B20" s="1286"/>
      <c r="C20" s="1286"/>
      <c r="D20" s="1287"/>
      <c r="E20" s="253" t="s">
        <v>1736</v>
      </c>
      <c r="F20" s="257" t="e">
        <f>COUNTIF(#REF!,4)</f>
        <v>#REF!</v>
      </c>
      <c r="G20" s="307" t="e">
        <f>AVERAGEIF(#REF!,4,#REF!)</f>
        <v>#REF!</v>
      </c>
      <c r="T20" s="1289" t="s">
        <v>1897</v>
      </c>
      <c r="U20" s="1289"/>
      <c r="V20" s="1289"/>
      <c r="W20" s="1289"/>
      <c r="Y20" s="136"/>
      <c r="AC20" s="221"/>
      <c r="AD20" s="222" t="s">
        <v>1776</v>
      </c>
      <c r="AE20" s="213">
        <v>45399</v>
      </c>
      <c r="AF20" s="212" t="s">
        <v>1777</v>
      </c>
      <c r="AG20" s="212" cm="1">
        <f t="array" ref="AG20">_xlfn.IFS(AH20=1,$B$4,AH20=2,$B$5,AH20=3,$B$6,AH20=4,$B$7,AH20=5,$B$8,AH20=6,$B$9,AH20=7,$B$10)</f>
        <v>0</v>
      </c>
      <c r="AH20" s="216">
        <v>5</v>
      </c>
      <c r="AI20" s="212" t="s">
        <v>1795</v>
      </c>
      <c r="AJ20" s="216" t="s">
        <v>771</v>
      </c>
      <c r="AK20" s="216">
        <v>7</v>
      </c>
      <c r="AL20" s="216">
        <v>0</v>
      </c>
      <c r="AM20" s="216">
        <v>0</v>
      </c>
      <c r="AN20" s="214" t="e">
        <f t="shared" si="0"/>
        <v>#DIV/0!</v>
      </c>
      <c r="AO20" s="220"/>
      <c r="AP20" s="136"/>
      <c r="AT20" s="215"/>
      <c r="AU20" s="223"/>
      <c r="AV20" s="217"/>
      <c r="AW20" s="216"/>
      <c r="AX20" s="212"/>
      <c r="AY20" s="216"/>
      <c r="AZ20" s="212"/>
      <c r="BA20" s="216"/>
      <c r="BB20" s="216"/>
      <c r="BC20" s="216"/>
      <c r="BD20" s="212"/>
      <c r="BE20" s="214"/>
      <c r="BF20" s="136"/>
      <c r="BG20" s="136"/>
      <c r="BL20" s="228"/>
      <c r="BM20" s="228"/>
      <c r="BN20" s="227"/>
      <c r="BO20" s="227"/>
      <c r="BP20" s="227"/>
      <c r="BQ20" s="227"/>
      <c r="BR20" s="227"/>
      <c r="BS20" s="227"/>
      <c r="BT20" s="227"/>
      <c r="BU20" s="227"/>
      <c r="BV20" s="136"/>
      <c r="BX20" s="136"/>
      <c r="CC20" s="228"/>
      <c r="CD20" s="228"/>
      <c r="CE20" s="227"/>
      <c r="CF20" s="227"/>
      <c r="CG20" s="227"/>
      <c r="CH20" s="227"/>
      <c r="CI20" s="227"/>
      <c r="CJ20" s="227"/>
      <c r="CK20" s="227"/>
      <c r="CL20" s="227"/>
      <c r="CM20" s="136"/>
      <c r="CP20" s="1285"/>
      <c r="CQ20" s="1286"/>
      <c r="CR20" s="1286"/>
      <c r="CS20" s="1287"/>
      <c r="CT20" s="253" t="s">
        <v>1736</v>
      </c>
      <c r="CU20" s="257" t="e">
        <f>COUNTIF(#REF!,4)</f>
        <v>#REF!</v>
      </c>
      <c r="CV20" s="307" t="e">
        <f>AVERAGEIF(#REF!,4,#REF!)</f>
        <v>#REF!</v>
      </c>
      <c r="DH20" s="511">
        <v>19</v>
      </c>
      <c r="DI20" s="2" t="s">
        <v>1898</v>
      </c>
      <c r="DJ20" s="2" t="s">
        <v>1899</v>
      </c>
      <c r="DK20" s="2" t="s">
        <v>1900</v>
      </c>
      <c r="DL20" s="443" t="s">
        <v>1901</v>
      </c>
      <c r="DM20" s="493"/>
    </row>
    <row r="21" spans="1:117" ht="192.75" thickBot="1">
      <c r="A21" s="1257" t="s">
        <v>1902</v>
      </c>
      <c r="B21" s="1258"/>
      <c r="C21" s="1258"/>
      <c r="D21" s="1259"/>
      <c r="E21" s="258" t="s">
        <v>1732</v>
      </c>
      <c r="F21" s="256" t="e">
        <f>COUNTIF(#REF!,5)</f>
        <v>#REF!</v>
      </c>
      <c r="G21" s="307" t="e">
        <f>(SUMIF(#REF!,5,#REF!))/(COUNTIF(#REF!,5))</f>
        <v>#REF!</v>
      </c>
      <c r="T21" s="239" t="s">
        <v>1838</v>
      </c>
      <c r="U21" s="1145"/>
      <c r="V21" s="1145"/>
      <c r="W21" s="1145"/>
      <c r="Y21" s="136"/>
      <c r="AC21" s="215"/>
      <c r="AD21" s="222" t="s">
        <v>1776</v>
      </c>
      <c r="AE21" s="213">
        <v>45400</v>
      </c>
      <c r="AF21" s="212" t="s">
        <v>1903</v>
      </c>
      <c r="AG21" s="212" cm="1">
        <f t="array" ref="AG21">_xlfn.IFS(AH21=1,$B$4,AH21=2,$B$5,AH21=3,$B$6,AH21=4,$B$7,AH21=5,$B$8,AH21=6,$B$9,AH21=7,$B$10)</f>
        <v>0</v>
      </c>
      <c r="AH21" s="216">
        <v>5</v>
      </c>
      <c r="AI21" s="212" t="s">
        <v>1904</v>
      </c>
      <c r="AJ21" s="216" t="s">
        <v>1905</v>
      </c>
      <c r="AK21" s="216">
        <v>22</v>
      </c>
      <c r="AL21" s="216">
        <v>2</v>
      </c>
      <c r="AM21" s="216">
        <v>1</v>
      </c>
      <c r="AN21" s="214" t="e">
        <f t="shared" si="0"/>
        <v>#DIV/0!</v>
      </c>
      <c r="AO21" s="227"/>
      <c r="AP21" s="136"/>
      <c r="AT21" s="215"/>
      <c r="AU21" s="223"/>
      <c r="AV21" s="217"/>
      <c r="AW21" s="212"/>
      <c r="AX21" s="212"/>
      <c r="AY21" s="212"/>
      <c r="AZ21" s="212"/>
      <c r="BA21" s="212"/>
      <c r="BB21" s="216"/>
      <c r="BC21" s="216"/>
      <c r="BD21" s="212"/>
      <c r="BE21" s="214"/>
      <c r="BF21" s="136"/>
      <c r="BG21" s="136"/>
      <c r="BL21" s="228"/>
      <c r="BM21" s="228"/>
      <c r="BN21" s="227"/>
      <c r="BO21" s="227"/>
      <c r="BP21" s="227"/>
      <c r="BQ21" s="227"/>
      <c r="BR21" s="227"/>
      <c r="BS21" s="227"/>
      <c r="BT21" s="227"/>
      <c r="BU21" s="227"/>
      <c r="BV21" s="136"/>
      <c r="BX21" s="136"/>
      <c r="CC21" s="228"/>
      <c r="CD21" s="228"/>
      <c r="CE21" s="227"/>
      <c r="CF21" s="227"/>
      <c r="CG21" s="227"/>
      <c r="CH21" s="227"/>
      <c r="CI21" s="227"/>
      <c r="CJ21" s="227"/>
      <c r="CK21" s="227"/>
      <c r="CL21" s="227"/>
      <c r="CM21" s="136"/>
      <c r="CP21" s="1257" t="s">
        <v>1902</v>
      </c>
      <c r="CQ21" s="1258"/>
      <c r="CR21" s="1258"/>
      <c r="CS21" s="1259"/>
      <c r="CT21" s="258" t="s">
        <v>1732</v>
      </c>
      <c r="CU21" s="256" t="e">
        <f>COUNTIF(#REF!,5)</f>
        <v>#REF!</v>
      </c>
      <c r="CV21" s="307" t="e">
        <f>AVERAGEIF(#REF!,5,#REF!)</f>
        <v>#REF!</v>
      </c>
      <c r="DH21" s="511">
        <v>20</v>
      </c>
      <c r="DI21" s="2" t="s">
        <v>1906</v>
      </c>
      <c r="DJ21" s="2" t="s">
        <v>1907</v>
      </c>
      <c r="DK21" s="2" t="s">
        <v>1908</v>
      </c>
      <c r="DL21" s="443" t="s">
        <v>1909</v>
      </c>
      <c r="DM21" s="493"/>
    </row>
    <row r="22" spans="1:117" ht="90.75" thickBot="1">
      <c r="A22" s="1260"/>
      <c r="B22" s="1244"/>
      <c r="C22" s="1244"/>
      <c r="D22" s="1261"/>
      <c r="E22" s="251" t="s">
        <v>1734</v>
      </c>
      <c r="F22" s="257" t="e">
        <f>COUNTIF(#REF!,5)</f>
        <v>#REF!</v>
      </c>
      <c r="G22" s="307" t="e">
        <f>AVERAGEIF(#REF!,5,#REF!)</f>
        <v>#REF!</v>
      </c>
      <c r="T22" s="239" t="s">
        <v>1910</v>
      </c>
      <c r="U22" s="1145"/>
      <c r="V22" s="1145"/>
      <c r="W22" s="1145"/>
      <c r="Y22" s="136"/>
      <c r="AC22" s="215"/>
      <c r="AD22" s="222" t="s">
        <v>1776</v>
      </c>
      <c r="AE22" s="213">
        <v>45400</v>
      </c>
      <c r="AF22" s="212" t="s">
        <v>1903</v>
      </c>
      <c r="AG22" s="212" cm="1">
        <f t="array" ref="AG22">_xlfn.IFS(AH22=1,$B$4,AH22=2,$B$5,AH22=3,$B$6,AH22=4,$B$7,AH22=5,$B$8,AH22=6,$B$9,AH22=7,$B$10)</f>
        <v>0</v>
      </c>
      <c r="AH22" s="212">
        <v>6</v>
      </c>
      <c r="AI22" s="212" t="s">
        <v>1911</v>
      </c>
      <c r="AJ22" s="216" t="s">
        <v>771</v>
      </c>
      <c r="AK22" s="216">
        <v>6</v>
      </c>
      <c r="AL22" s="216">
        <v>0</v>
      </c>
      <c r="AM22" s="216">
        <v>0</v>
      </c>
      <c r="AN22" s="214" t="e">
        <f t="shared" si="0"/>
        <v>#DIV/0!</v>
      </c>
      <c r="AO22" s="227"/>
      <c r="AP22" s="136"/>
      <c r="AT22" s="215"/>
      <c r="AU22" s="223"/>
      <c r="AV22" s="217"/>
      <c r="AW22" s="212"/>
      <c r="AX22" s="212"/>
      <c r="AY22" s="212"/>
      <c r="AZ22" s="212"/>
      <c r="BA22" s="212"/>
      <c r="BB22" s="216"/>
      <c r="BC22" s="216"/>
      <c r="BD22" s="212"/>
      <c r="BE22" s="214"/>
      <c r="BF22" s="136"/>
      <c r="BG22" s="136"/>
      <c r="BL22" s="228"/>
      <c r="BM22" s="228"/>
      <c r="BN22" s="227"/>
      <c r="BO22" s="227"/>
      <c r="BP22" s="227"/>
      <c r="BQ22" s="227"/>
      <c r="BR22" s="227"/>
      <c r="BS22" s="227"/>
      <c r="BT22" s="227"/>
      <c r="BU22" s="227"/>
      <c r="BV22" s="136"/>
      <c r="BX22" s="136"/>
      <c r="CC22" s="228"/>
      <c r="CD22" s="228"/>
      <c r="CE22" s="227"/>
      <c r="CF22" s="227"/>
      <c r="CG22" s="227"/>
      <c r="CH22" s="227"/>
      <c r="CI22" s="227"/>
      <c r="CJ22" s="227"/>
      <c r="CK22" s="227"/>
      <c r="CL22" s="227"/>
      <c r="CM22" s="136"/>
      <c r="CP22" s="1260"/>
      <c r="CQ22" s="1244"/>
      <c r="CR22" s="1244"/>
      <c r="CS22" s="1261"/>
      <c r="CT22" s="251" t="s">
        <v>1734</v>
      </c>
      <c r="CU22" s="257" t="e">
        <f>COUNTIF(#REF!,5)</f>
        <v>#REF!</v>
      </c>
      <c r="CV22" s="307" t="e">
        <f>AVERAGEIF(#REF!,5,#REF!)</f>
        <v>#REF!</v>
      </c>
      <c r="DH22" s="511">
        <v>21</v>
      </c>
      <c r="DI22" s="2" t="s">
        <v>1912</v>
      </c>
      <c r="DJ22" s="2" t="s">
        <v>1913</v>
      </c>
      <c r="DK22" s="2" t="s">
        <v>1914</v>
      </c>
      <c r="DL22" s="443" t="s">
        <v>1915</v>
      </c>
      <c r="DM22" s="493"/>
    </row>
    <row r="23" spans="1:117" ht="120.75" thickBot="1">
      <c r="A23" s="1260"/>
      <c r="B23" s="1244"/>
      <c r="C23" s="1244"/>
      <c r="D23" s="1261"/>
      <c r="E23" s="252" t="s">
        <v>1735</v>
      </c>
      <c r="F23" s="257" t="e">
        <f>COUNTIF(#REF!,5)</f>
        <v>#REF!</v>
      </c>
      <c r="G23" s="307" t="e">
        <f>AVERAGEIF(#REF!,5,#REF!)</f>
        <v>#REF!</v>
      </c>
      <c r="T23" s="239" t="s">
        <v>1916</v>
      </c>
      <c r="U23" s="1145"/>
      <c r="V23" s="1145"/>
      <c r="W23" s="1145"/>
      <c r="Y23" s="136"/>
      <c r="AC23" s="215"/>
      <c r="AD23" s="222"/>
      <c r="AE23" s="213"/>
      <c r="AF23" s="212"/>
      <c r="AG23" s="212" t="e" cm="1">
        <f t="array" ref="AG23">_xlfn.IFS(AH23=1,$B$4,AH23=2,$B$5,AH23=3,$B$6,AH23=4,$B$7,AH23=5,$B$8,AH23=6,$B$9,AH23=7,$B$10)</f>
        <v>#N/A</v>
      </c>
      <c r="AH23" s="212"/>
      <c r="AI23" s="212"/>
      <c r="AJ23" s="212"/>
      <c r="AK23" s="212"/>
      <c r="AL23" s="212"/>
      <c r="AM23" s="212"/>
      <c r="AN23" s="214" t="e">
        <f t="shared" si="0"/>
        <v>#DIV/0!</v>
      </c>
      <c r="AO23" s="227"/>
      <c r="AP23" s="136"/>
      <c r="AT23" s="215"/>
      <c r="AU23" s="223"/>
      <c r="AV23" s="217"/>
      <c r="AW23" s="212"/>
      <c r="AX23" s="212"/>
      <c r="AY23" s="212"/>
      <c r="AZ23" s="212"/>
      <c r="BA23" s="212"/>
      <c r="BB23" s="216"/>
      <c r="BC23" s="216"/>
      <c r="BD23" s="212"/>
      <c r="BE23" s="214"/>
      <c r="BF23" s="136"/>
      <c r="BG23" s="136"/>
      <c r="BL23" s="228"/>
      <c r="BM23" s="228"/>
      <c r="BN23" s="227"/>
      <c r="BO23" s="227"/>
      <c r="BP23" s="227"/>
      <c r="BQ23" s="227"/>
      <c r="BR23" s="227"/>
      <c r="BS23" s="227"/>
      <c r="BT23" s="227"/>
      <c r="BU23" s="227"/>
      <c r="BV23" s="136"/>
      <c r="BX23" s="136"/>
      <c r="CC23" s="228"/>
      <c r="CD23" s="228"/>
      <c r="CE23" s="227"/>
      <c r="CF23" s="227"/>
      <c r="CG23" s="227"/>
      <c r="CH23" s="227"/>
      <c r="CI23" s="227"/>
      <c r="CJ23" s="227"/>
      <c r="CK23" s="227"/>
      <c r="CL23" s="227"/>
      <c r="CM23" s="136"/>
      <c r="CP23" s="1260"/>
      <c r="CQ23" s="1244"/>
      <c r="CR23" s="1244"/>
      <c r="CS23" s="1261"/>
      <c r="CT23" s="252" t="s">
        <v>1735</v>
      </c>
      <c r="CU23" s="257" t="e">
        <f>COUNTIF(#REF!,5)</f>
        <v>#REF!</v>
      </c>
      <c r="CV23" s="307" t="e">
        <f>AVERAGEIF(#REF!,5,#REF!)</f>
        <v>#REF!</v>
      </c>
      <c r="DH23" s="511">
        <v>22</v>
      </c>
      <c r="DI23" s="2" t="s">
        <v>1917</v>
      </c>
      <c r="DJ23" s="2" t="s">
        <v>1918</v>
      </c>
      <c r="DK23" s="2" t="s">
        <v>1919</v>
      </c>
      <c r="DL23" s="443" t="s">
        <v>1920</v>
      </c>
      <c r="DM23" s="493"/>
    </row>
    <row r="24" spans="1:117" ht="120.75" thickBot="1">
      <c r="A24" s="1262"/>
      <c r="B24" s="1263"/>
      <c r="C24" s="1263"/>
      <c r="D24" s="1264"/>
      <c r="E24" s="253" t="s">
        <v>1736</v>
      </c>
      <c r="F24" s="257" t="e">
        <f>COUNTIF(#REF!,5)</f>
        <v>#REF!</v>
      </c>
      <c r="G24" s="307" t="e">
        <f>AVERAGEIF(#REF!,5,#REF!)</f>
        <v>#REF!</v>
      </c>
      <c r="T24" s="239" t="s">
        <v>1921</v>
      </c>
      <c r="U24" s="1145"/>
      <c r="V24" s="1145"/>
      <c r="W24" s="1145"/>
      <c r="Y24" s="136"/>
      <c r="AC24" s="215"/>
      <c r="AD24" s="222"/>
      <c r="AE24" s="213"/>
      <c r="AF24" s="212"/>
      <c r="AG24" s="212" t="e" cm="1">
        <f t="array" ref="AG24">_xlfn.IFS(AH24=1,$B$4,AH24=2,$B$5,AH24=3,$B$6,AH24=4,$B$7,AH24=5,$B$8,AH24=6,$B$9,AH24=7,$B$10)</f>
        <v>#N/A</v>
      </c>
      <c r="AH24" s="212"/>
      <c r="AI24" s="212"/>
      <c r="AJ24" s="212"/>
      <c r="AK24" s="212"/>
      <c r="AL24" s="212"/>
      <c r="AM24" s="212"/>
      <c r="AN24" s="214" t="e">
        <f t="shared" si="0"/>
        <v>#DIV/0!</v>
      </c>
      <c r="AO24" s="227"/>
      <c r="AP24" s="136"/>
      <c r="AT24" s="221"/>
      <c r="AU24" s="223"/>
      <c r="AV24" s="217"/>
      <c r="AW24" s="212"/>
      <c r="AX24" s="212"/>
      <c r="AY24" s="212"/>
      <c r="AZ24" s="212"/>
      <c r="BA24" s="212"/>
      <c r="BB24" s="216"/>
      <c r="BC24" s="216"/>
      <c r="BD24" s="212"/>
      <c r="BE24" s="214"/>
      <c r="BF24" s="136"/>
      <c r="BG24" s="136"/>
      <c r="BL24" s="228"/>
      <c r="BM24" s="228"/>
      <c r="BN24" s="227"/>
      <c r="BO24" s="227"/>
      <c r="BP24" s="227"/>
      <c r="BQ24" s="227"/>
      <c r="BR24" s="227"/>
      <c r="BS24" s="227"/>
      <c r="BT24" s="227"/>
      <c r="BU24" s="227"/>
      <c r="BV24" s="136"/>
      <c r="BX24" s="136"/>
      <c r="CC24" s="228"/>
      <c r="CD24" s="228"/>
      <c r="CE24" s="227"/>
      <c r="CF24" s="227"/>
      <c r="CG24" s="227"/>
      <c r="CH24" s="227"/>
      <c r="CI24" s="227"/>
      <c r="CJ24" s="227"/>
      <c r="CK24" s="227"/>
      <c r="CL24" s="227"/>
      <c r="CM24" s="136"/>
      <c r="CP24" s="1262"/>
      <c r="CQ24" s="1263"/>
      <c r="CR24" s="1263"/>
      <c r="CS24" s="1264"/>
      <c r="CT24" s="253" t="s">
        <v>1736</v>
      </c>
      <c r="CU24" s="257" t="e">
        <f>COUNTIF(#REF!,5)</f>
        <v>#REF!</v>
      </c>
      <c r="CV24" s="307" t="e">
        <f>AVERAGEIF(#REF!,5,#REF!)</f>
        <v>#REF!</v>
      </c>
      <c r="DH24" s="511">
        <v>23</v>
      </c>
      <c r="DI24" s="2" t="s">
        <v>1922</v>
      </c>
      <c r="DJ24" s="2" t="s">
        <v>1923</v>
      </c>
      <c r="DK24" s="2" t="s">
        <v>1924</v>
      </c>
      <c r="DL24" s="443" t="s">
        <v>1925</v>
      </c>
      <c r="DM24" s="493"/>
    </row>
    <row r="25" spans="1:117" ht="45.75" thickBot="1">
      <c r="A25" s="1257" t="s">
        <v>1926</v>
      </c>
      <c r="B25" s="1258"/>
      <c r="C25" s="1258"/>
      <c r="D25" s="1259"/>
      <c r="E25" s="258" t="s">
        <v>1732</v>
      </c>
      <c r="F25" s="256" t="e">
        <f>COUNTIF(#REF!,6)</f>
        <v>#REF!</v>
      </c>
      <c r="G25" s="307" t="e">
        <f>(SUMIF(#REF!,6,#REF!))/(COUNTIF(#REF!,6))</f>
        <v>#REF!</v>
      </c>
      <c r="T25" s="1288" t="s">
        <v>1927</v>
      </c>
      <c r="U25" s="1288"/>
      <c r="V25" s="1288"/>
      <c r="W25" s="1288"/>
      <c r="Y25" s="136"/>
      <c r="AC25" s="215"/>
      <c r="AD25" s="222"/>
      <c r="AE25" s="213"/>
      <c r="AF25" s="212"/>
      <c r="AG25" s="212" t="e" cm="1">
        <f t="array" ref="AG25">_xlfn.IFS(AH25=1,$B$4,AH25=2,$B$5,AH25=3,$B$6,AH25=4,$B$7,AH25=5,$B$8,AH25=6,$B$9,AH25=7,$B$10)</f>
        <v>#N/A</v>
      </c>
      <c r="AH25" s="212"/>
      <c r="AI25" s="212"/>
      <c r="AJ25" s="212"/>
      <c r="AK25" s="212"/>
      <c r="AL25" s="212"/>
      <c r="AM25" s="212"/>
      <c r="AN25" s="214" t="e">
        <f t="shared" si="0"/>
        <v>#DIV/0!</v>
      </c>
      <c r="AP25" s="136"/>
      <c r="AT25" s="215"/>
      <c r="AU25" s="223"/>
      <c r="AV25" s="217"/>
      <c r="AW25" s="212"/>
      <c r="AX25" s="212"/>
      <c r="AY25" s="212"/>
      <c r="AZ25" s="212"/>
      <c r="BA25" s="212"/>
      <c r="BB25" s="216"/>
      <c r="BC25" s="216"/>
      <c r="BD25" s="212"/>
      <c r="BE25" s="214"/>
      <c r="BF25" s="136"/>
      <c r="BG25" s="136"/>
      <c r="BL25" s="228"/>
      <c r="BM25" s="228"/>
      <c r="BN25" s="227"/>
      <c r="BO25" s="227"/>
      <c r="BP25" s="227"/>
      <c r="BQ25" s="227"/>
      <c r="BR25" s="227"/>
      <c r="BS25" s="227"/>
      <c r="BT25" s="227"/>
      <c r="BU25" s="227"/>
      <c r="BV25" s="136"/>
      <c r="BX25" s="136"/>
      <c r="CC25" s="226"/>
      <c r="CD25" s="226"/>
      <c r="CE25" s="227"/>
      <c r="CF25" s="227"/>
      <c r="CG25" s="227"/>
      <c r="CH25" s="227"/>
      <c r="CI25" s="227"/>
      <c r="CJ25" s="227"/>
      <c r="CK25" s="227"/>
      <c r="CL25" s="227"/>
      <c r="CM25" s="136"/>
      <c r="CP25" s="1257" t="s">
        <v>1926</v>
      </c>
      <c r="CQ25" s="1258"/>
      <c r="CR25" s="1258"/>
      <c r="CS25" s="1259"/>
      <c r="CT25" s="258" t="s">
        <v>1732</v>
      </c>
      <c r="CU25" s="256" t="e">
        <f>COUNTIF(#REF!,6)</f>
        <v>#REF!</v>
      </c>
      <c r="CV25" s="307" t="e">
        <f>AVERAGEIF(#REF!,6,#REF!)</f>
        <v>#REF!</v>
      </c>
      <c r="DH25" s="2">
        <v>24</v>
      </c>
      <c r="DI25" s="2" t="s">
        <v>1928</v>
      </c>
      <c r="DJ25" s="2">
        <v>2811103137</v>
      </c>
      <c r="DK25" s="2" t="s">
        <v>1929</v>
      </c>
      <c r="DL25" s="2" t="s">
        <v>771</v>
      </c>
      <c r="DM25" s="493"/>
    </row>
    <row r="26" spans="1:117" ht="90.75" thickBot="1">
      <c r="A26" s="1260"/>
      <c r="B26" s="1244"/>
      <c r="C26" s="1244"/>
      <c r="D26" s="1261"/>
      <c r="E26" s="251" t="s">
        <v>1734</v>
      </c>
      <c r="F26" s="257" t="e">
        <f>COUNTIF(#REF!,6)</f>
        <v>#REF!</v>
      </c>
      <c r="G26" s="307" t="e">
        <f>AVERAGEIF(#REF!,6,#REF!)</f>
        <v>#REF!</v>
      </c>
      <c r="T26" s="241" t="s">
        <v>1930</v>
      </c>
      <c r="U26" s="1145"/>
      <c r="V26" s="1145"/>
      <c r="W26" s="1145"/>
      <c r="Y26" s="136"/>
      <c r="AC26" s="215"/>
      <c r="AD26" s="222"/>
      <c r="AE26" s="213"/>
      <c r="AF26" s="212"/>
      <c r="AG26" s="212" t="e" cm="1">
        <f t="array" ref="AG26">_xlfn.IFS(AH26=1,$B$4,AH26=2,$B$5,AH26=3,$B$6,AH26=4,$B$7,AH26=5,$B$8,AH26=6,$B$9,AH26=7,$B$10)</f>
        <v>#N/A</v>
      </c>
      <c r="AH26" s="212"/>
      <c r="AI26" s="212"/>
      <c r="AJ26" s="212"/>
      <c r="AK26" s="212"/>
      <c r="AL26" s="212"/>
      <c r="AM26" s="212"/>
      <c r="AN26" s="214" t="e">
        <f t="shared" si="0"/>
        <v>#DIV/0!</v>
      </c>
      <c r="AO26" s="227"/>
      <c r="AP26" s="136"/>
      <c r="AT26" s="215"/>
      <c r="AU26" s="223"/>
      <c r="AV26" s="217"/>
      <c r="AW26" s="212"/>
      <c r="AX26" s="212"/>
      <c r="AY26" s="212"/>
      <c r="AZ26" s="212"/>
      <c r="BA26" s="212"/>
      <c r="BB26" s="216"/>
      <c r="BC26" s="216"/>
      <c r="BD26" s="212"/>
      <c r="BE26" s="214"/>
      <c r="BF26" s="136"/>
      <c r="BG26" s="136"/>
      <c r="BL26" s="228"/>
      <c r="BM26" s="228"/>
      <c r="BN26" s="227"/>
      <c r="BO26" s="227"/>
      <c r="BP26" s="227"/>
      <c r="BQ26" s="227"/>
      <c r="BR26" s="227"/>
      <c r="BS26" s="227"/>
      <c r="BT26" s="227"/>
      <c r="BU26" s="227"/>
      <c r="BV26" s="136"/>
      <c r="BX26" s="136"/>
      <c r="CC26" s="228"/>
      <c r="CD26" s="228"/>
      <c r="CE26" s="227"/>
      <c r="CF26" s="227"/>
      <c r="CG26" s="227"/>
      <c r="CH26" s="227"/>
      <c r="CI26" s="227"/>
      <c r="CJ26" s="227"/>
      <c r="CK26" s="227"/>
      <c r="CL26" s="227"/>
      <c r="CM26" s="136"/>
      <c r="CP26" s="1260"/>
      <c r="CQ26" s="1244"/>
      <c r="CR26" s="1244"/>
      <c r="CS26" s="1261"/>
      <c r="CT26" s="251" t="s">
        <v>1734</v>
      </c>
      <c r="CU26" s="257" t="e">
        <f>COUNTIF(#REF!,6)</f>
        <v>#REF!</v>
      </c>
      <c r="CV26" s="307" t="e">
        <f>AVERAGEIF(#REF!,6,#REF!)</f>
        <v>#REF!</v>
      </c>
      <c r="DH26" s="511">
        <v>25</v>
      </c>
      <c r="DI26" s="2" t="s">
        <v>1931</v>
      </c>
      <c r="DJ26" s="2" t="s">
        <v>1932</v>
      </c>
      <c r="DK26" s="2" t="s">
        <v>1933</v>
      </c>
      <c r="DL26" s="443" t="s">
        <v>1934</v>
      </c>
      <c r="DM26" s="493"/>
    </row>
    <row r="27" spans="1:117" ht="90.75" thickBot="1">
      <c r="A27" s="1260"/>
      <c r="B27" s="1244"/>
      <c r="C27" s="1244"/>
      <c r="D27" s="1261"/>
      <c r="E27" s="252" t="s">
        <v>1735</v>
      </c>
      <c r="F27" s="257" t="e">
        <f>COUNTIF(#REF!,6)</f>
        <v>#REF!</v>
      </c>
      <c r="G27" s="307" t="e">
        <f>AVERAGEIF(#REF!,6,#REF!)</f>
        <v>#REF!</v>
      </c>
      <c r="T27" s="241" t="s">
        <v>1935</v>
      </c>
      <c r="U27" s="1145"/>
      <c r="V27" s="1145"/>
      <c r="W27" s="1145"/>
      <c r="Y27" s="136"/>
      <c r="AC27" s="215"/>
      <c r="AD27" s="222"/>
      <c r="AE27" s="213"/>
      <c r="AF27" s="212"/>
      <c r="AG27" s="212" t="e" cm="1">
        <f t="array" ref="AG27">_xlfn.IFS(AH27=1,$B$4,AH27=2,$B$5,AH27=3,$B$6,AH27=4,$B$7,AH27=5,$B$8,AH27=6,$B$9,AH27=7,$B$10)</f>
        <v>#N/A</v>
      </c>
      <c r="AH27" s="212"/>
      <c r="AI27" s="212"/>
      <c r="AJ27" s="212"/>
      <c r="AK27" s="212"/>
      <c r="AL27" s="212"/>
      <c r="AM27" s="212"/>
      <c r="AN27" s="214" t="e">
        <f t="shared" si="0"/>
        <v>#DIV/0!</v>
      </c>
      <c r="AO27" s="227"/>
      <c r="AP27" s="136"/>
      <c r="AT27" s="215"/>
      <c r="AU27" s="223"/>
      <c r="AV27" s="217"/>
      <c r="AW27" s="212"/>
      <c r="AX27" s="212"/>
      <c r="AY27" s="212"/>
      <c r="AZ27" s="212"/>
      <c r="BA27" s="212"/>
      <c r="BB27" s="216"/>
      <c r="BC27" s="216"/>
      <c r="BD27" s="212"/>
      <c r="BE27" s="214"/>
      <c r="BF27" s="136"/>
      <c r="BG27" s="136"/>
      <c r="BL27" s="228"/>
      <c r="BM27" s="228"/>
      <c r="BN27" s="227"/>
      <c r="BO27" s="227"/>
      <c r="BP27" s="227"/>
      <c r="BQ27" s="227"/>
      <c r="BR27" s="227"/>
      <c r="BS27" s="227"/>
      <c r="BT27" s="227"/>
      <c r="BU27" s="227"/>
      <c r="BV27" s="136"/>
      <c r="BX27" s="136"/>
      <c r="CC27" s="228"/>
      <c r="CD27" s="228"/>
      <c r="CE27" s="227"/>
      <c r="CF27" s="227"/>
      <c r="CG27" s="227"/>
      <c r="CH27" s="227"/>
      <c r="CI27" s="227"/>
      <c r="CJ27" s="227"/>
      <c r="CK27" s="227"/>
      <c r="CL27" s="227"/>
      <c r="CM27" s="136"/>
      <c r="CP27" s="1260"/>
      <c r="CQ27" s="1244"/>
      <c r="CR27" s="1244"/>
      <c r="CS27" s="1261"/>
      <c r="CT27" s="252" t="s">
        <v>1735</v>
      </c>
      <c r="CU27" s="257" t="e">
        <f>COUNTIF(#REF!,6)</f>
        <v>#REF!</v>
      </c>
      <c r="CV27" s="307" t="e">
        <f>AVERAGEIF(#REF!,6,#REF!)</f>
        <v>#REF!</v>
      </c>
      <c r="DH27" s="511">
        <v>26</v>
      </c>
      <c r="DI27" s="2" t="s">
        <v>1936</v>
      </c>
      <c r="DJ27" s="2" t="s">
        <v>1937</v>
      </c>
      <c r="DK27" s="2" t="s">
        <v>1938</v>
      </c>
      <c r="DL27" s="443" t="s">
        <v>1939</v>
      </c>
      <c r="DM27" s="493"/>
    </row>
    <row r="28" spans="1:117" ht="30.75" thickBot="1">
      <c r="A28" s="1262"/>
      <c r="B28" s="1263"/>
      <c r="C28" s="1263"/>
      <c r="D28" s="1264"/>
      <c r="E28" s="253" t="s">
        <v>1736</v>
      </c>
      <c r="F28" s="257" t="e">
        <f>COUNTIF(#REF!,6)</f>
        <v>#REF!</v>
      </c>
      <c r="G28" s="307" t="e">
        <f>AVERAGEIF(#REF!,6,#REF!)</f>
        <v>#REF!</v>
      </c>
      <c r="T28" s="241" t="s">
        <v>1910</v>
      </c>
      <c r="U28" s="1145"/>
      <c r="V28" s="1145"/>
      <c r="W28" s="1145"/>
      <c r="Y28" s="136"/>
      <c r="AC28" s="215"/>
      <c r="AD28" s="222"/>
      <c r="AE28" s="213"/>
      <c r="AF28" s="212"/>
      <c r="AG28" s="212" t="e" cm="1">
        <f t="array" ref="AG28">_xlfn.IFS(AH28=1,$B$4,AH28=2,$B$5,AH28=3,$B$6,AH28=4,$B$7,AH28=5,$B$8,AH28=6,$B$9,AH28=7,$B$10)</f>
        <v>#N/A</v>
      </c>
      <c r="AH28" s="212"/>
      <c r="AI28" s="212"/>
      <c r="AJ28" s="212"/>
      <c r="AK28" s="212"/>
      <c r="AL28" s="212"/>
      <c r="AM28" s="212"/>
      <c r="AN28" s="214" t="e">
        <f t="shared" si="0"/>
        <v>#DIV/0!</v>
      </c>
      <c r="AO28" s="227"/>
      <c r="AP28" s="136"/>
      <c r="AT28" s="215"/>
      <c r="AU28" s="223"/>
      <c r="AV28" s="217"/>
      <c r="AW28" s="212"/>
      <c r="AX28" s="212"/>
      <c r="AY28" s="212"/>
      <c r="AZ28" s="212"/>
      <c r="BA28" s="212"/>
      <c r="BB28" s="216"/>
      <c r="BC28" s="216"/>
      <c r="BD28" s="212"/>
      <c r="BE28" s="214"/>
      <c r="BF28" s="136"/>
      <c r="BG28" s="136"/>
      <c r="BL28" s="226"/>
      <c r="BM28" s="226"/>
      <c r="BN28" s="227"/>
      <c r="BO28" s="227"/>
      <c r="BP28" s="227"/>
      <c r="BQ28" s="227"/>
      <c r="BR28" s="227"/>
      <c r="BS28" s="227"/>
      <c r="BT28" s="227"/>
      <c r="BU28" s="227"/>
      <c r="BV28" s="136"/>
      <c r="BX28" s="136"/>
      <c r="CC28" s="228"/>
      <c r="CD28" s="228"/>
      <c r="CE28" s="227"/>
      <c r="CF28" s="227"/>
      <c r="CG28" s="227"/>
      <c r="CH28" s="227"/>
      <c r="CI28" s="227"/>
      <c r="CJ28" s="227"/>
      <c r="CK28" s="227"/>
      <c r="CL28" s="227"/>
      <c r="CM28" s="136"/>
      <c r="CP28" s="1262"/>
      <c r="CQ28" s="1263"/>
      <c r="CR28" s="1263"/>
      <c r="CS28" s="1264"/>
      <c r="CT28" s="253" t="s">
        <v>1736</v>
      </c>
      <c r="CU28" s="257" t="e">
        <f>COUNTIF(#REF!,6)</f>
        <v>#REF!</v>
      </c>
      <c r="CV28" s="307" t="e">
        <f>AVERAGEIF(#REF!,6,#REF!)</f>
        <v>#REF!</v>
      </c>
      <c r="DH28" s="2"/>
      <c r="DI28" s="2"/>
      <c r="DJ28" s="2"/>
      <c r="DK28" s="2"/>
      <c r="DL28" s="2"/>
      <c r="DM28" s="493"/>
    </row>
    <row r="29" spans="1:117" ht="30.75" thickBot="1">
      <c r="A29" s="1257" t="s">
        <v>1940</v>
      </c>
      <c r="B29" s="1258"/>
      <c r="C29" s="1258"/>
      <c r="D29" s="1259"/>
      <c r="E29" s="258" t="s">
        <v>1732</v>
      </c>
      <c r="F29" s="256" t="e">
        <f>COUNTIF(#REF!,7)</f>
        <v>#REF!</v>
      </c>
      <c r="G29" s="307" t="e">
        <f>(SUMIF(#REF!,7,#REF!))/(COUNTIF(#REF!,7))</f>
        <v>#REF!</v>
      </c>
      <c r="T29" s="241" t="s">
        <v>1941</v>
      </c>
      <c r="U29" s="1145"/>
      <c r="V29" s="1145"/>
      <c r="W29" s="1145"/>
      <c r="Y29" s="136"/>
      <c r="AC29" s="215"/>
      <c r="AD29" s="212"/>
      <c r="AE29" s="213"/>
      <c r="AF29" s="212"/>
      <c r="AG29" s="212" t="e" cm="1">
        <f t="array" ref="AG29">_xlfn.IFS(AH29=1,$B$4,AH29=2,$B$5,AH29=3,$B$6,AH29=4,$B$7,AH29=5,$B$8,AH29=6,$B$9,AH29=7,$B$10)</f>
        <v>#N/A</v>
      </c>
      <c r="AH29" s="212"/>
      <c r="AI29" s="212"/>
      <c r="AJ29" s="212"/>
      <c r="AK29" s="212"/>
      <c r="AL29" s="231"/>
      <c r="AM29" s="212"/>
      <c r="AN29" s="214" t="e">
        <f t="shared" si="0"/>
        <v>#DIV/0!</v>
      </c>
      <c r="AP29" s="136"/>
      <c r="AT29" s="221"/>
      <c r="AU29" s="216"/>
      <c r="AV29" s="217"/>
      <c r="AW29" s="212"/>
      <c r="AX29" s="212"/>
      <c r="AY29" s="212"/>
      <c r="AZ29" s="212"/>
      <c r="BA29" s="212"/>
      <c r="BB29" s="216"/>
      <c r="BC29" s="216"/>
      <c r="BD29" s="212"/>
      <c r="BE29" s="214"/>
      <c r="BF29" s="136"/>
      <c r="BG29" s="136"/>
      <c r="BL29" s="228"/>
      <c r="BM29" s="228"/>
      <c r="BN29" s="227"/>
      <c r="BO29" s="227"/>
      <c r="BP29" s="227"/>
      <c r="BQ29" s="227"/>
      <c r="BR29" s="227"/>
      <c r="BS29" s="227"/>
      <c r="BT29" s="227"/>
      <c r="BU29" s="227"/>
      <c r="BV29" s="136"/>
      <c r="BX29" s="136"/>
      <c r="CC29" s="228"/>
      <c r="CD29" s="228"/>
      <c r="CE29" s="227"/>
      <c r="CF29" s="227"/>
      <c r="CG29" s="227"/>
      <c r="CH29" s="227"/>
      <c r="CI29" s="227"/>
      <c r="CJ29" s="227"/>
      <c r="CK29" s="227"/>
      <c r="CL29" s="227"/>
      <c r="CM29" s="136"/>
      <c r="CP29" s="1257" t="s">
        <v>1940</v>
      </c>
      <c r="CQ29" s="1258"/>
      <c r="CR29" s="1258"/>
      <c r="CS29" s="1259"/>
      <c r="CT29" s="258" t="s">
        <v>1732</v>
      </c>
      <c r="CU29" s="256" t="e">
        <f>COUNTIF(#REF!,7)</f>
        <v>#REF!</v>
      </c>
      <c r="CV29" s="307" t="e">
        <f>AVERAGEIF(#REF!,7,#REF!)</f>
        <v>#REF!</v>
      </c>
      <c r="DH29" s="2"/>
      <c r="DI29" s="2"/>
      <c r="DJ29" s="2"/>
      <c r="DK29" s="2"/>
      <c r="DL29" s="2"/>
      <c r="DM29" s="493"/>
    </row>
    <row r="30" spans="1:117" ht="15.75" thickBot="1">
      <c r="A30" s="1260"/>
      <c r="B30" s="1244"/>
      <c r="C30" s="1244"/>
      <c r="D30" s="1261"/>
      <c r="E30" s="251" t="s">
        <v>1734</v>
      </c>
      <c r="F30" s="257" t="e">
        <f>COUNTIF(#REF!,7)</f>
        <v>#REF!</v>
      </c>
      <c r="G30" s="307" t="e">
        <f>AVERAGEIF(#REF!,7,#REF!)</f>
        <v>#REF!</v>
      </c>
      <c r="T30" s="241" t="s">
        <v>1942</v>
      </c>
      <c r="U30" s="1145"/>
      <c r="V30" s="1145"/>
      <c r="W30" s="1145"/>
      <c r="Y30" s="136"/>
      <c r="AC30" s="215"/>
      <c r="AD30" s="222"/>
      <c r="AE30" s="213"/>
      <c r="AF30" s="212"/>
      <c r="AG30" s="212" t="e" cm="1">
        <f t="array" ref="AG30">_xlfn.IFS(AH30=1,$B$4,AH30=2,$B$5,AH30=3,$B$6,AH30=4,$B$7,AH30=5,$B$8,AH30=6,$B$9,AH30=7,$B$10)</f>
        <v>#N/A</v>
      </c>
      <c r="AH30" s="212"/>
      <c r="AI30" s="212"/>
      <c r="AJ30" s="212"/>
      <c r="AK30" s="212"/>
      <c r="AL30" s="212"/>
      <c r="AM30" s="212"/>
      <c r="AN30" s="214" t="e">
        <f t="shared" si="0"/>
        <v>#DIV/0!</v>
      </c>
      <c r="AO30" s="227"/>
      <c r="AP30" s="136"/>
      <c r="AT30" s="221"/>
      <c r="AU30" s="223"/>
      <c r="AV30" s="217"/>
      <c r="AW30" s="212"/>
      <c r="AX30" s="212"/>
      <c r="AY30" s="212"/>
      <c r="AZ30" s="212"/>
      <c r="BA30" s="212"/>
      <c r="BB30" s="216"/>
      <c r="BC30" s="216"/>
      <c r="BD30" s="212"/>
      <c r="BE30" s="214"/>
      <c r="BF30" s="136"/>
      <c r="BG30" s="136"/>
      <c r="BL30" s="228"/>
      <c r="BM30" s="228"/>
      <c r="BN30" s="227"/>
      <c r="BO30" s="227"/>
      <c r="BP30" s="227"/>
      <c r="BQ30" s="227"/>
      <c r="BR30" s="227"/>
      <c r="BS30" s="227"/>
      <c r="BT30" s="227"/>
      <c r="BU30" s="227"/>
      <c r="BV30" s="136"/>
      <c r="BX30" s="136"/>
      <c r="CC30" s="228"/>
      <c r="CD30" s="228"/>
      <c r="CE30" s="227"/>
      <c r="CF30" s="227"/>
      <c r="CG30" s="227"/>
      <c r="CH30" s="227"/>
      <c r="CI30" s="227"/>
      <c r="CJ30" s="227"/>
      <c r="CK30" s="227"/>
      <c r="CL30" s="227"/>
      <c r="CM30" s="136"/>
      <c r="CP30" s="1260"/>
      <c r="CQ30" s="1244"/>
      <c r="CR30" s="1244"/>
      <c r="CS30" s="1261"/>
      <c r="CT30" s="251" t="s">
        <v>1734</v>
      </c>
      <c r="CU30" s="257" t="e">
        <f>COUNTIF(#REF!,7)</f>
        <v>#REF!</v>
      </c>
      <c r="CV30" s="307" t="e">
        <f>AVERAGEIF(#REF!,7,#REF!)</f>
        <v>#REF!</v>
      </c>
      <c r="DH30" s="2"/>
      <c r="DI30" s="2"/>
      <c r="DJ30" s="2"/>
      <c r="DK30" s="2"/>
      <c r="DL30" s="2"/>
      <c r="DM30" s="493"/>
    </row>
    <row r="31" spans="1:117" ht="27" thickBot="1">
      <c r="A31" s="1260"/>
      <c r="B31" s="1244"/>
      <c r="C31" s="1244"/>
      <c r="D31" s="1261"/>
      <c r="E31" s="252" t="s">
        <v>1735</v>
      </c>
      <c r="F31" s="257" t="e">
        <f>COUNTIF(#REF!,7)</f>
        <v>#REF!</v>
      </c>
      <c r="G31" s="307" t="e">
        <f>AVERAGEIF(#REF!,7,#REF!)</f>
        <v>#REF!</v>
      </c>
      <c r="T31" s="1278" t="s">
        <v>1943</v>
      </c>
      <c r="U31" s="1278"/>
      <c r="V31" s="1278"/>
      <c r="W31" s="1278"/>
      <c r="Y31" s="136"/>
      <c r="AC31" s="215"/>
      <c r="AD31" s="222"/>
      <c r="AE31" s="213"/>
      <c r="AF31" s="212"/>
      <c r="AG31" s="212" t="e" cm="1">
        <f t="array" ref="AG31">_xlfn.IFS(AH31=1,$B$4,AH31=2,$B$5,AH31=3,$B$6,AH31=4,$B$7,AH31=5,$B$8,AH31=6,$B$9,AH31=7,$B$10)</f>
        <v>#N/A</v>
      </c>
      <c r="AH31" s="212"/>
      <c r="AI31" s="212"/>
      <c r="AJ31" s="212"/>
      <c r="AK31" s="212"/>
      <c r="AL31" s="212"/>
      <c r="AM31" s="212"/>
      <c r="AN31" s="214" t="e">
        <f>((SUM(AK31:AM31)/$U$1)*100)</f>
        <v>#DIV/0!</v>
      </c>
      <c r="AP31" s="136"/>
      <c r="AT31" s="221"/>
      <c r="AU31" s="223"/>
      <c r="AV31" s="217"/>
      <c r="AW31" s="212"/>
      <c r="AX31" s="212"/>
      <c r="AY31" s="212"/>
      <c r="AZ31" s="212"/>
      <c r="BA31" s="212"/>
      <c r="BB31" s="216"/>
      <c r="BC31" s="216"/>
      <c r="BD31" s="212"/>
      <c r="BE31" s="214"/>
      <c r="BF31" s="136"/>
      <c r="BG31" s="136"/>
      <c r="BL31" s="228"/>
      <c r="BM31" s="228"/>
      <c r="BN31" s="227"/>
      <c r="BO31" s="227"/>
      <c r="BP31" s="227"/>
      <c r="BQ31" s="227"/>
      <c r="BR31" s="227"/>
      <c r="BS31" s="227"/>
      <c r="BT31" s="227"/>
      <c r="BU31" s="227"/>
      <c r="BV31" s="136"/>
      <c r="BX31" s="136"/>
      <c r="CC31" s="228"/>
      <c r="CD31" s="228"/>
      <c r="CE31" s="227"/>
      <c r="CF31" s="227"/>
      <c r="CG31" s="227"/>
      <c r="CH31" s="227"/>
      <c r="CI31" s="227"/>
      <c r="CJ31" s="227"/>
      <c r="CK31" s="227"/>
      <c r="CL31" s="227"/>
      <c r="CM31" s="136"/>
      <c r="CP31" s="1260"/>
      <c r="CQ31" s="1244"/>
      <c r="CR31" s="1244"/>
      <c r="CS31" s="1261"/>
      <c r="CT31" s="252" t="s">
        <v>1735</v>
      </c>
      <c r="CU31" s="257" t="e">
        <f>COUNTIF(#REF!,7)</f>
        <v>#REF!</v>
      </c>
      <c r="CV31" s="307" t="e">
        <f>AVERAGEIF(#REF!,7,#REF!)</f>
        <v>#REF!</v>
      </c>
      <c r="DH31" s="2"/>
      <c r="DI31" s="2"/>
      <c r="DJ31" s="2"/>
      <c r="DK31" s="2"/>
      <c r="DL31" s="2"/>
      <c r="DM31" s="493"/>
    </row>
    <row r="32" spans="1:117" ht="30.75" thickBot="1">
      <c r="A32" s="1262"/>
      <c r="B32" s="1263"/>
      <c r="C32" s="1263"/>
      <c r="D32" s="1264"/>
      <c r="E32" s="253" t="s">
        <v>1736</v>
      </c>
      <c r="F32" s="257" t="e">
        <f>COUNTIF(#REF!,7)</f>
        <v>#REF!</v>
      </c>
      <c r="G32" s="307" t="e">
        <f>AVERAGEIF(#REF!,7,#REF!)</f>
        <v>#REF!</v>
      </c>
      <c r="T32" s="243" t="s">
        <v>1910</v>
      </c>
      <c r="U32" s="1145"/>
      <c r="V32" s="1145"/>
      <c r="W32" s="1145"/>
      <c r="Y32" s="136"/>
      <c r="AC32" s="229"/>
      <c r="AD32" s="222"/>
      <c r="AE32" s="213"/>
      <c r="AF32" s="212"/>
      <c r="AG32" s="212" t="e" cm="1">
        <f t="array" ref="AG32">_xlfn.IFS(AH32=1,$B$4,AH32=2,$B$5,AH32=3,$B$6,AH32=4,$B$7,AH32=5,$B$8,AH32=6,$B$9,AH32=7,$B$10)</f>
        <v>#N/A</v>
      </c>
      <c r="AH32" s="212"/>
      <c r="AI32" s="212"/>
      <c r="AJ32" s="212"/>
      <c r="AK32" s="212"/>
      <c r="AL32" s="212"/>
      <c r="AM32" s="212"/>
      <c r="AN32" s="214" t="e">
        <f t="shared" ref="AN32:AN88" si="2">((SUM(AK32:AM32)/$U$1)*100)</f>
        <v>#DIV/0!</v>
      </c>
      <c r="AP32" s="136"/>
      <c r="AT32" s="221"/>
      <c r="AU32" s="223"/>
      <c r="AV32" s="217"/>
      <c r="AW32" s="212"/>
      <c r="AX32" s="212"/>
      <c r="AY32" s="212"/>
      <c r="AZ32" s="212"/>
      <c r="BA32" s="212"/>
      <c r="BB32" s="216"/>
      <c r="BC32" s="216"/>
      <c r="BD32" s="212"/>
      <c r="BE32" s="214"/>
      <c r="BF32" s="136"/>
      <c r="BG32" s="136"/>
      <c r="BL32" s="228"/>
      <c r="BM32" s="228"/>
      <c r="BN32" s="227"/>
      <c r="BO32" s="227"/>
      <c r="BP32" s="227"/>
      <c r="BQ32" s="227"/>
      <c r="BR32" s="227"/>
      <c r="BS32" s="227"/>
      <c r="BT32" s="227"/>
      <c r="BU32" s="227"/>
      <c r="BV32" s="136"/>
      <c r="BX32" s="136"/>
      <c r="CC32" s="228"/>
      <c r="CD32" s="228"/>
      <c r="CE32" s="227"/>
      <c r="CF32" s="227"/>
      <c r="CG32" s="227"/>
      <c r="CH32" s="227"/>
      <c r="CI32" s="227"/>
      <c r="CJ32" s="227"/>
      <c r="CK32" s="227"/>
      <c r="CL32" s="227"/>
      <c r="CM32" s="136"/>
      <c r="CP32" s="1262"/>
      <c r="CQ32" s="1263"/>
      <c r="CR32" s="1263"/>
      <c r="CS32" s="1264"/>
      <c r="CT32" s="253" t="s">
        <v>1736</v>
      </c>
      <c r="CU32" s="257" t="e">
        <f>COUNTIF(#REF!,7)</f>
        <v>#REF!</v>
      </c>
      <c r="CV32" s="307" t="e">
        <f>AVERAGEIF(#REF!,7,#REF!)</f>
        <v>#REF!</v>
      </c>
      <c r="DH32" s="2"/>
      <c r="DI32" s="2"/>
      <c r="DJ32" s="2"/>
      <c r="DK32" s="2"/>
      <c r="DL32" s="2"/>
      <c r="DM32" s="493"/>
    </row>
    <row r="33" spans="20:117" ht="15.75" thickBot="1">
      <c r="T33" s="243" t="s">
        <v>1944</v>
      </c>
      <c r="U33" s="1145"/>
      <c r="V33" s="1145"/>
      <c r="W33" s="1145"/>
      <c r="Y33" s="136"/>
      <c r="AC33" s="221"/>
      <c r="AD33" s="222"/>
      <c r="AE33" s="213"/>
      <c r="AF33" s="212"/>
      <c r="AG33" s="212" t="e" cm="1">
        <f t="array" ref="AG33">_xlfn.IFS(AH33=1,$B$4,AH33=2,$B$5,AH33=3,$B$6,AH33=4,$B$7,AH33=5,$B$8,AH33=6,$B$9,AH33=7,$B$10)</f>
        <v>#N/A</v>
      </c>
      <c r="AH33" s="212"/>
      <c r="AI33" s="212"/>
      <c r="AJ33" s="212"/>
      <c r="AK33" s="212"/>
      <c r="AL33" s="212"/>
      <c r="AM33" s="212"/>
      <c r="AN33" s="214" t="e">
        <f t="shared" si="2"/>
        <v>#DIV/0!</v>
      </c>
      <c r="AO33" s="220"/>
      <c r="AP33" s="136"/>
      <c r="AT33" s="221"/>
      <c r="AU33" s="223"/>
      <c r="AV33" s="217"/>
      <c r="AW33" s="212"/>
      <c r="AX33" s="212"/>
      <c r="AY33" s="212"/>
      <c r="AZ33" s="212"/>
      <c r="BA33" s="212"/>
      <c r="BB33" s="216"/>
      <c r="BC33" s="216"/>
      <c r="BD33" s="212"/>
      <c r="BE33" s="214"/>
      <c r="BF33" s="136"/>
      <c r="BG33" s="136"/>
      <c r="BL33" s="228"/>
      <c r="BM33" s="228"/>
      <c r="BN33" s="227"/>
      <c r="BO33" s="227"/>
      <c r="BP33" s="227"/>
      <c r="BQ33" s="227"/>
      <c r="BR33" s="227"/>
      <c r="BS33" s="227"/>
      <c r="BT33" s="227"/>
      <c r="BU33" s="227"/>
      <c r="BV33" s="136"/>
      <c r="BX33" s="136"/>
      <c r="CC33" s="228"/>
      <c r="CD33" s="228"/>
      <c r="CE33" s="227"/>
      <c r="CF33" s="227"/>
      <c r="CG33" s="227"/>
      <c r="CH33" s="227"/>
      <c r="CI33" s="227"/>
      <c r="CJ33" s="227"/>
      <c r="CK33" s="227"/>
      <c r="CL33" s="227"/>
      <c r="CM33" s="136"/>
      <c r="DH33" s="2"/>
      <c r="DI33" s="2"/>
      <c r="DJ33" s="2"/>
      <c r="DK33" s="2"/>
      <c r="DL33" s="2"/>
      <c r="DM33" s="493"/>
    </row>
    <row r="34" spans="20:117" ht="30.75" thickBot="1">
      <c r="T34" s="243" t="s">
        <v>1945</v>
      </c>
      <c r="U34" s="1145"/>
      <c r="V34" s="1145"/>
      <c r="W34" s="1145"/>
      <c r="Y34" s="136"/>
      <c r="AC34" s="221"/>
      <c r="AD34" s="222"/>
      <c r="AE34" s="213"/>
      <c r="AF34" s="212"/>
      <c r="AG34" s="212" t="e" cm="1">
        <f t="array" ref="AG34">_xlfn.IFS(AH34=1,$B$4,AH34=2,$B$5,AH34=3,$B$6,AH34=4,$B$7,AH34=5,$B$8,AH34=6,$B$9,AH34=7,$B$10)</f>
        <v>#N/A</v>
      </c>
      <c r="AH34" s="212"/>
      <c r="AI34" s="212"/>
      <c r="AJ34" s="212"/>
      <c r="AK34" s="212"/>
      <c r="AL34" s="212"/>
      <c r="AM34" s="212"/>
      <c r="AN34" s="214" t="e">
        <f t="shared" si="2"/>
        <v>#DIV/0!</v>
      </c>
      <c r="AO34" s="220"/>
      <c r="AP34" s="136"/>
      <c r="AT34" s="221"/>
      <c r="AU34" s="223"/>
      <c r="AV34" s="217"/>
      <c r="AW34" s="212"/>
      <c r="AX34" s="212"/>
      <c r="AY34" s="212"/>
      <c r="AZ34" s="212"/>
      <c r="BA34" s="212"/>
      <c r="BB34" s="216"/>
      <c r="BC34" s="216"/>
      <c r="BD34" s="212"/>
      <c r="BE34" s="214"/>
      <c r="BF34" s="136"/>
      <c r="BG34" s="136"/>
      <c r="BL34" s="228"/>
      <c r="BM34" s="228"/>
      <c r="BN34" s="227"/>
      <c r="BO34" s="227"/>
      <c r="BP34" s="227"/>
      <c r="BQ34" s="227"/>
      <c r="BR34" s="227"/>
      <c r="BS34" s="227"/>
      <c r="BT34" s="227"/>
      <c r="BU34" s="227"/>
      <c r="BV34" s="136"/>
      <c r="BX34" s="136"/>
      <c r="CC34" s="228"/>
      <c r="CD34" s="228"/>
      <c r="CE34" s="227"/>
      <c r="CF34" s="227"/>
      <c r="CG34" s="227"/>
      <c r="CH34" s="227"/>
      <c r="CI34" s="227"/>
      <c r="CJ34" s="227"/>
      <c r="CK34" s="227"/>
      <c r="CL34" s="227"/>
      <c r="CM34" s="136"/>
      <c r="DH34" s="2"/>
      <c r="DI34" s="2"/>
      <c r="DJ34" s="2"/>
      <c r="DK34" s="2"/>
      <c r="DL34" s="2"/>
      <c r="DM34" s="493"/>
    </row>
    <row r="35" spans="20:117" ht="15.75" thickBot="1">
      <c r="T35" s="243"/>
      <c r="Y35" s="136"/>
      <c r="AC35" s="215"/>
      <c r="AD35" s="222"/>
      <c r="AE35" s="213"/>
      <c r="AF35" s="212"/>
      <c r="AG35" s="212" t="e" cm="1">
        <f t="array" ref="AG35">_xlfn.IFS(AH35=1,$B$4,AH35=2,$B$5,AH35=3,$B$6,AH35=4,$B$7,AH35=5,$B$8,AH35=6,$B$9,AH35=7,$B$10)</f>
        <v>#N/A</v>
      </c>
      <c r="AH35" s="212"/>
      <c r="AI35" s="212"/>
      <c r="AJ35" s="212"/>
      <c r="AK35" s="212"/>
      <c r="AL35" s="212"/>
      <c r="AM35" s="212"/>
      <c r="AN35" s="214" t="e">
        <f t="shared" si="2"/>
        <v>#DIV/0!</v>
      </c>
      <c r="AO35" s="227"/>
      <c r="AP35" s="136"/>
      <c r="AT35" s="215"/>
      <c r="AU35" s="223"/>
      <c r="AV35" s="217"/>
      <c r="AW35" s="216"/>
      <c r="AX35" s="212"/>
      <c r="AY35" s="216"/>
      <c r="AZ35" s="212"/>
      <c r="BA35" s="216"/>
      <c r="BB35" s="216"/>
      <c r="BC35" s="216"/>
      <c r="BD35" s="212"/>
      <c r="BE35" s="214"/>
      <c r="BF35" s="136"/>
      <c r="BG35" s="136"/>
      <c r="BL35" s="228"/>
      <c r="BM35" s="228"/>
      <c r="BN35" s="227"/>
      <c r="BO35" s="227"/>
      <c r="BP35" s="227"/>
      <c r="BQ35" s="227"/>
      <c r="BR35" s="227"/>
      <c r="BS35" s="227"/>
      <c r="BT35" s="227"/>
      <c r="BU35" s="227"/>
      <c r="BV35" s="136"/>
      <c r="BX35" s="136"/>
      <c r="CC35" s="233"/>
      <c r="CD35" s="233"/>
      <c r="CE35" s="234"/>
      <c r="CF35" s="234"/>
      <c r="CG35" s="234"/>
      <c r="CH35" s="234"/>
      <c r="CI35" s="234"/>
      <c r="CJ35" s="234"/>
      <c r="CK35" s="234"/>
      <c r="CL35" s="234"/>
      <c r="CM35" s="136"/>
      <c r="DH35" s="2"/>
      <c r="DI35" s="2"/>
      <c r="DJ35" s="2"/>
      <c r="DK35" s="2"/>
      <c r="DL35" s="2"/>
      <c r="DM35" s="493"/>
    </row>
    <row r="36" spans="20:117" ht="15.75" thickBot="1">
      <c r="T36" s="243"/>
      <c r="Y36" s="136"/>
      <c r="AC36" s="215"/>
      <c r="AD36" s="222"/>
      <c r="AE36" s="213"/>
      <c r="AF36" s="212"/>
      <c r="AG36" s="212" t="e" cm="1">
        <f t="array" ref="AG36">_xlfn.IFS(AH36=1,$B$4,AH36=2,$B$5,AH36=3,$B$6,AH36=4,$B$7,AH36=5,$B$8,AH36=6,$B$9,AH36=7,$B$10)</f>
        <v>#N/A</v>
      </c>
      <c r="AH36" s="212"/>
      <c r="AI36" s="212"/>
      <c r="AJ36" s="212"/>
      <c r="AK36" s="212"/>
      <c r="AL36" s="212"/>
      <c r="AM36" s="212"/>
      <c r="AN36" s="214" t="e">
        <f t="shared" si="2"/>
        <v>#DIV/0!</v>
      </c>
      <c r="AO36" s="227"/>
      <c r="AP36" s="136"/>
      <c r="AT36" s="221"/>
      <c r="AU36" s="223"/>
      <c r="AV36" s="217"/>
      <c r="AW36" s="216"/>
      <c r="AX36" s="212"/>
      <c r="AY36" s="216"/>
      <c r="AZ36" s="212"/>
      <c r="BA36" s="216"/>
      <c r="BB36" s="216"/>
      <c r="BC36" s="216"/>
      <c r="BD36" s="212"/>
      <c r="BE36" s="214"/>
      <c r="BF36" s="136"/>
      <c r="BG36" s="136"/>
      <c r="BL36" s="228"/>
      <c r="BM36" s="228"/>
      <c r="BN36" s="227"/>
      <c r="BO36" s="227"/>
      <c r="BP36" s="227"/>
      <c r="BQ36" s="227"/>
      <c r="BR36" s="227"/>
      <c r="BS36" s="227"/>
      <c r="BT36" s="227"/>
      <c r="BU36" s="227"/>
      <c r="BV36" s="136"/>
      <c r="BX36" s="136"/>
      <c r="CC36" s="226"/>
      <c r="CD36" s="226"/>
      <c r="CE36" s="227"/>
      <c r="CF36" s="227"/>
      <c r="CG36" s="227"/>
      <c r="CH36" s="227"/>
      <c r="CI36" s="227"/>
      <c r="CJ36" s="227"/>
      <c r="CK36" s="227"/>
      <c r="CL36" s="227"/>
      <c r="CM36" s="136"/>
      <c r="DH36" s="2"/>
      <c r="DI36" s="2"/>
      <c r="DJ36" s="2"/>
      <c r="DK36" s="2"/>
      <c r="DL36" s="2"/>
      <c r="DM36" s="493"/>
    </row>
    <row r="37" spans="20:117" ht="15.75" thickBot="1">
      <c r="Y37" s="136"/>
      <c r="AC37" s="221"/>
      <c r="AD37" s="222"/>
      <c r="AE37" s="213"/>
      <c r="AF37" s="212"/>
      <c r="AG37" s="212" t="e" cm="1">
        <f t="array" ref="AG37">_xlfn.IFS(AH37=1,$B$4,AH37=2,$B$5,AH37=3,$B$6,AH37=4,$B$7,AH37=5,$B$8,AH37=6,$B$9,AH37=7,$B$10)</f>
        <v>#N/A</v>
      </c>
      <c r="AH37" s="212"/>
      <c r="AI37" s="212"/>
      <c r="AJ37" s="212"/>
      <c r="AK37" s="212"/>
      <c r="AL37" s="212"/>
      <c r="AM37" s="212"/>
      <c r="AN37" s="214" t="e">
        <f t="shared" si="2"/>
        <v>#DIV/0!</v>
      </c>
      <c r="AP37" s="136"/>
      <c r="AT37" s="215"/>
      <c r="AU37" s="223"/>
      <c r="AV37" s="217"/>
      <c r="AW37" s="216"/>
      <c r="AX37" s="212"/>
      <c r="AY37" s="216"/>
      <c r="AZ37" s="212"/>
      <c r="BA37" s="216"/>
      <c r="BB37" s="216"/>
      <c r="BC37" s="216"/>
      <c r="BD37" s="212"/>
      <c r="BE37" s="214"/>
      <c r="BF37" s="136"/>
      <c r="BG37" s="136"/>
      <c r="BL37" s="228"/>
      <c r="BM37" s="228"/>
      <c r="BN37" s="227"/>
      <c r="BO37" s="227"/>
      <c r="BP37" s="227"/>
      <c r="BQ37" s="227"/>
      <c r="BR37" s="227"/>
      <c r="BS37" s="227"/>
      <c r="BT37" s="227"/>
      <c r="BU37" s="227"/>
      <c r="BV37" s="136"/>
      <c r="BX37" s="136"/>
      <c r="CC37" s="228"/>
      <c r="CD37" s="228"/>
      <c r="CE37" s="227"/>
      <c r="CF37" s="227"/>
      <c r="CG37" s="227"/>
      <c r="CH37" s="227"/>
      <c r="CI37" s="227"/>
      <c r="CJ37" s="227"/>
      <c r="CK37" s="227"/>
      <c r="CL37" s="227"/>
      <c r="CM37" s="136"/>
      <c r="DH37" s="2"/>
      <c r="DI37" s="2"/>
      <c r="DJ37" s="2"/>
      <c r="DK37" s="2"/>
      <c r="DL37" s="2"/>
      <c r="DM37" s="493"/>
    </row>
    <row r="38" spans="20:117" ht="15.75" thickBot="1">
      <c r="Y38" s="136"/>
      <c r="AC38" s="221"/>
      <c r="AD38" s="222"/>
      <c r="AE38" s="213"/>
      <c r="AF38" s="212"/>
      <c r="AG38" s="212" t="e" cm="1">
        <f t="array" ref="AG38">_xlfn.IFS(AH38=1,$B$4,AH38=2,$B$5,AH38=3,$B$6,AH38=4,$B$7,AH38=5,$B$8,AH38=6,$B$9,AH38=7,$B$10)</f>
        <v>#N/A</v>
      </c>
      <c r="AH38" s="212"/>
      <c r="AI38" s="212"/>
      <c r="AJ38" s="212"/>
      <c r="AK38" s="212"/>
      <c r="AL38" s="212"/>
      <c r="AM38" s="212"/>
      <c r="AN38" s="214" t="e">
        <f t="shared" si="2"/>
        <v>#DIV/0!</v>
      </c>
      <c r="AO38" s="227"/>
      <c r="AP38" s="136"/>
      <c r="AT38" s="221"/>
      <c r="AU38" s="223"/>
      <c r="AV38" s="217"/>
      <c r="AW38" s="216"/>
      <c r="AX38" s="212"/>
      <c r="AY38" s="216"/>
      <c r="AZ38" s="212"/>
      <c r="BA38" s="216"/>
      <c r="BB38" s="216"/>
      <c r="BC38" s="216"/>
      <c r="BD38" s="212"/>
      <c r="BE38" s="214"/>
      <c r="BF38" s="136"/>
      <c r="BG38" s="136"/>
      <c r="BL38" s="233"/>
      <c r="BM38" s="233"/>
      <c r="BN38" s="234"/>
      <c r="BO38" s="234"/>
      <c r="BP38" s="234"/>
      <c r="BQ38" s="234"/>
      <c r="BR38" s="234"/>
      <c r="BS38" s="234"/>
      <c r="BT38" s="234"/>
      <c r="BU38" s="234"/>
      <c r="BV38" s="136"/>
      <c r="BX38" s="136"/>
      <c r="CC38" s="228"/>
      <c r="CD38" s="228"/>
      <c r="CE38" s="227"/>
      <c r="CF38" s="227"/>
      <c r="CG38" s="227"/>
      <c r="CH38" s="227"/>
      <c r="CI38" s="227"/>
      <c r="CJ38" s="227"/>
      <c r="CK38" s="227"/>
      <c r="CL38" s="227"/>
      <c r="CM38" s="136"/>
      <c r="DH38" s="2"/>
      <c r="DI38" s="2"/>
      <c r="DJ38" s="2"/>
      <c r="DK38" s="2"/>
      <c r="DL38" s="2"/>
      <c r="DM38" s="493"/>
    </row>
    <row r="39" spans="20:117" ht="15.75" thickBot="1">
      <c r="Y39" s="136"/>
      <c r="AC39" s="215"/>
      <c r="AD39" s="222"/>
      <c r="AE39" s="213"/>
      <c r="AF39" s="216"/>
      <c r="AG39" s="212" t="e" cm="1">
        <f t="array" ref="AG39">_xlfn.IFS(AH39=1,$B$4,AH39=2,$B$5,AH39=3,$B$6,AH39=4,$B$7,AH39=5,$B$8,AH39=6,$B$9,AH39=7,$B$10)</f>
        <v>#N/A</v>
      </c>
      <c r="AH39" s="212"/>
      <c r="AI39" s="212"/>
      <c r="AJ39" s="216"/>
      <c r="AK39" s="216"/>
      <c r="AL39" s="216"/>
      <c r="AM39" s="216"/>
      <c r="AN39" s="214" t="e">
        <f t="shared" si="2"/>
        <v>#DIV/0!</v>
      </c>
      <c r="AO39" s="227"/>
      <c r="AP39" s="136"/>
      <c r="AT39" s="221"/>
      <c r="AU39" s="223"/>
      <c r="AV39" s="217"/>
      <c r="AW39" s="216"/>
      <c r="AX39" s="212"/>
      <c r="AY39" s="216"/>
      <c r="AZ39" s="212"/>
      <c r="BA39" s="216"/>
      <c r="BB39" s="216"/>
      <c r="BC39" s="216"/>
      <c r="BD39" s="216"/>
      <c r="BE39" s="214"/>
      <c r="BF39" s="136"/>
      <c r="BG39" s="136"/>
      <c r="BL39" s="226"/>
      <c r="BM39" s="226"/>
      <c r="BN39" s="227"/>
      <c r="BO39" s="227"/>
      <c r="BP39" s="227"/>
      <c r="BQ39" s="227"/>
      <c r="BR39" s="227"/>
      <c r="BS39" s="227"/>
      <c r="BT39" s="227"/>
      <c r="BU39" s="227"/>
      <c r="BV39" s="136"/>
      <c r="BX39" s="136"/>
      <c r="CC39" s="228"/>
      <c r="CD39" s="228"/>
      <c r="CE39" s="227"/>
      <c r="CF39" s="227"/>
      <c r="CG39" s="227"/>
      <c r="CH39" s="227"/>
      <c r="CI39" s="227"/>
      <c r="CJ39" s="227"/>
      <c r="CK39" s="227"/>
      <c r="CL39" s="227"/>
      <c r="CM39" s="136"/>
      <c r="DH39" s="2"/>
      <c r="DI39" s="2"/>
      <c r="DJ39" s="2"/>
      <c r="DK39" s="2"/>
      <c r="DL39" s="2"/>
      <c r="DM39" s="493"/>
    </row>
    <row r="40" spans="20:117" ht="15.75" thickBot="1">
      <c r="Y40" s="136"/>
      <c r="AC40" s="215"/>
      <c r="AD40" s="222"/>
      <c r="AE40" s="213"/>
      <c r="AF40" s="212"/>
      <c r="AG40" s="212" t="e" cm="1">
        <f t="array" ref="AG40">_xlfn.IFS(AH40=1,$B$4,AH40=2,$B$5,AH40=3,$B$6,AH40=4,$B$7,AH40=5,$B$8,AH40=6,$B$9,AH40=7,$B$10)</f>
        <v>#N/A</v>
      </c>
      <c r="AH40" s="212"/>
      <c r="AI40" s="212"/>
      <c r="AJ40" s="212"/>
      <c r="AK40" s="212"/>
      <c r="AL40" s="212"/>
      <c r="AM40" s="212"/>
      <c r="AN40" s="214" t="e">
        <f t="shared" si="2"/>
        <v>#DIV/0!</v>
      </c>
      <c r="AO40" s="227"/>
      <c r="AP40" s="136"/>
      <c r="AT40" s="221"/>
      <c r="AU40" s="216"/>
      <c r="AV40" s="217"/>
      <c r="AW40" s="216"/>
      <c r="AX40" s="212"/>
      <c r="AY40" s="216"/>
      <c r="AZ40" s="212"/>
      <c r="BA40" s="216"/>
      <c r="BB40" s="216"/>
      <c r="BC40" s="216"/>
      <c r="BD40" s="212"/>
      <c r="BE40" s="214"/>
      <c r="BF40" s="136"/>
      <c r="BG40" s="136"/>
      <c r="BL40" s="228"/>
      <c r="BM40" s="228"/>
      <c r="BN40" s="227"/>
      <c r="BO40" s="227"/>
      <c r="BP40" s="227"/>
      <c r="BQ40" s="227"/>
      <c r="BR40" s="227"/>
      <c r="BS40" s="227"/>
      <c r="BT40" s="227"/>
      <c r="BU40" s="227"/>
      <c r="BV40" s="136"/>
      <c r="BX40" s="136"/>
      <c r="CC40" s="228"/>
      <c r="CD40" s="228"/>
      <c r="CE40" s="227"/>
      <c r="CF40" s="227"/>
      <c r="CG40" s="227"/>
      <c r="CH40" s="227"/>
      <c r="CI40" s="227"/>
      <c r="CJ40" s="227"/>
      <c r="CK40" s="227"/>
      <c r="CL40" s="227"/>
      <c r="CM40" s="136"/>
      <c r="DH40" s="2"/>
      <c r="DI40" s="2"/>
      <c r="DJ40" s="2"/>
      <c r="DK40" s="2"/>
      <c r="DL40" s="2"/>
      <c r="DM40" s="493"/>
    </row>
    <row r="41" spans="20:117" ht="15.75" thickBot="1">
      <c r="Y41" s="136"/>
      <c r="AC41" s="215"/>
      <c r="AD41" s="222"/>
      <c r="AE41" s="213"/>
      <c r="AF41" s="212"/>
      <c r="AG41" s="212" t="e" cm="1">
        <f t="array" ref="AG41">_xlfn.IFS(AH41=1,$B$4,AH41=2,$B$5,AH41=3,$B$6,AH41=4,$B$7,AH41=5,$B$8,AH41=6,$B$9,AH41=7,$B$10)</f>
        <v>#N/A</v>
      </c>
      <c r="AH41" s="212"/>
      <c r="AI41" s="212"/>
      <c r="AJ41" s="212"/>
      <c r="AK41" s="212"/>
      <c r="AL41" s="212"/>
      <c r="AM41" s="212"/>
      <c r="AN41" s="214" t="e">
        <f t="shared" si="2"/>
        <v>#DIV/0!</v>
      </c>
      <c r="AO41" s="227"/>
      <c r="AP41" s="136"/>
      <c r="AT41" s="215"/>
      <c r="AU41" s="223"/>
      <c r="AV41" s="217"/>
      <c r="AW41" s="216"/>
      <c r="AX41" s="212"/>
      <c r="AY41" s="216"/>
      <c r="AZ41" s="212"/>
      <c r="BA41" s="216"/>
      <c r="BB41" s="216"/>
      <c r="BC41" s="216"/>
      <c r="BD41" s="212"/>
      <c r="BE41" s="214"/>
      <c r="BF41" s="136"/>
      <c r="BG41" s="136"/>
      <c r="BL41" s="228"/>
      <c r="BM41" s="228"/>
      <c r="BN41" s="227"/>
      <c r="BO41" s="227"/>
      <c r="BP41" s="227"/>
      <c r="BQ41" s="227"/>
      <c r="BR41" s="227"/>
      <c r="BS41" s="227"/>
      <c r="BT41" s="227"/>
      <c r="BU41" s="227"/>
      <c r="BV41" s="136"/>
      <c r="BX41" s="136"/>
      <c r="CC41" s="233"/>
      <c r="CD41" s="233"/>
      <c r="CE41" s="234"/>
      <c r="CF41" s="234"/>
      <c r="CG41" s="234"/>
      <c r="CH41" s="234"/>
      <c r="CI41" s="234"/>
      <c r="CJ41" s="234"/>
      <c r="CK41" s="234"/>
      <c r="CL41" s="234"/>
      <c r="CM41" s="136"/>
      <c r="DH41" s="2"/>
      <c r="DI41" s="2"/>
      <c r="DJ41" s="2"/>
      <c r="DK41" s="2"/>
      <c r="DL41" s="2"/>
      <c r="DM41" s="493"/>
    </row>
    <row r="42" spans="20:117" ht="15.75" thickBot="1">
      <c r="Y42" s="136"/>
      <c r="AC42" s="215"/>
      <c r="AD42" s="222"/>
      <c r="AE42" s="213"/>
      <c r="AF42" s="212"/>
      <c r="AG42" s="212" t="e" cm="1">
        <f t="array" ref="AG42">_xlfn.IFS(AH42=1,$B$4,AH42=2,$B$5,AH42=3,$B$6,AH42=4,$B$7,AH42=5,$B$8,AH42=6,$B$9,AH42=7,$B$10)</f>
        <v>#N/A</v>
      </c>
      <c r="AH42" s="212"/>
      <c r="AI42" s="212"/>
      <c r="AJ42" s="212"/>
      <c r="AK42" s="212"/>
      <c r="AL42" s="212"/>
      <c r="AM42" s="212"/>
      <c r="AN42" s="214" t="e">
        <f t="shared" si="2"/>
        <v>#DIV/0!</v>
      </c>
      <c r="AO42" s="227"/>
      <c r="AP42" s="136"/>
      <c r="AT42" s="221"/>
      <c r="AU42" s="223"/>
      <c r="AV42" s="217"/>
      <c r="AW42" s="216"/>
      <c r="AX42" s="212"/>
      <c r="AY42" s="216"/>
      <c r="AZ42" s="212"/>
      <c r="BA42" s="216"/>
      <c r="BB42" s="216"/>
      <c r="BC42" s="216"/>
      <c r="BD42" s="212"/>
      <c r="BE42" s="214"/>
      <c r="BF42" s="136"/>
      <c r="BG42" s="136"/>
      <c r="BL42" s="228"/>
      <c r="BM42" s="228"/>
      <c r="BN42" s="227"/>
      <c r="BO42" s="227"/>
      <c r="BP42" s="227"/>
      <c r="BQ42" s="227"/>
      <c r="BR42" s="227"/>
      <c r="BS42" s="227"/>
      <c r="BT42" s="227"/>
      <c r="BU42" s="227"/>
      <c r="BV42" s="136"/>
      <c r="BX42" s="136"/>
      <c r="CC42" s="228"/>
      <c r="CD42" s="228"/>
      <c r="CE42" s="227"/>
      <c r="CF42" s="227"/>
      <c r="CG42" s="227"/>
      <c r="CH42" s="227"/>
      <c r="CI42" s="227"/>
      <c r="CJ42" s="227"/>
      <c r="CK42" s="227"/>
      <c r="CL42" s="227"/>
      <c r="CM42" s="136"/>
      <c r="DH42" s="2"/>
      <c r="DI42" s="2"/>
      <c r="DJ42" s="2"/>
      <c r="DK42" s="2"/>
      <c r="DL42" s="2"/>
      <c r="DM42" s="493"/>
    </row>
    <row r="43" spans="20:117" ht="15.75" thickBot="1">
      <c r="Y43" s="136"/>
      <c r="AC43" s="221"/>
      <c r="AD43" s="222"/>
      <c r="AE43" s="213"/>
      <c r="AF43" s="212"/>
      <c r="AG43" s="212" t="e" cm="1">
        <f t="array" ref="AG43">_xlfn.IFS(AH43=1,$B$4,AH43=2,$B$5,AH43=3,$B$6,AH43=4,$B$7,AH43=5,$B$8,AH43=6,$B$9,AH43=7,$B$10)</f>
        <v>#N/A</v>
      </c>
      <c r="AH43" s="212"/>
      <c r="AI43" s="212"/>
      <c r="AJ43" s="212"/>
      <c r="AK43" s="212"/>
      <c r="AL43" s="212"/>
      <c r="AM43" s="212"/>
      <c r="AN43" s="214" t="e">
        <f t="shared" si="2"/>
        <v>#DIV/0!</v>
      </c>
      <c r="AO43" s="227"/>
      <c r="AP43" s="136"/>
      <c r="AT43" s="221"/>
      <c r="AU43" s="223"/>
      <c r="AV43" s="217"/>
      <c r="AW43" s="216"/>
      <c r="AX43" s="212"/>
      <c r="AY43" s="216"/>
      <c r="AZ43" s="212"/>
      <c r="BA43" s="216"/>
      <c r="BB43" s="216"/>
      <c r="BC43" s="216"/>
      <c r="BD43" s="212"/>
      <c r="BE43" s="214"/>
      <c r="BF43" s="136"/>
      <c r="BG43" s="136"/>
      <c r="BL43" s="228"/>
      <c r="BM43" s="228"/>
      <c r="BN43" s="227"/>
      <c r="BO43" s="227"/>
      <c r="BP43" s="227"/>
      <c r="BQ43" s="227"/>
      <c r="BR43" s="227"/>
      <c r="BS43" s="227"/>
      <c r="BT43" s="227"/>
      <c r="BU43" s="227"/>
      <c r="BV43" s="136"/>
      <c r="BX43" s="136"/>
      <c r="CC43" s="228"/>
      <c r="CD43" s="228"/>
      <c r="CE43" s="227"/>
      <c r="CF43" s="227"/>
      <c r="CG43" s="227"/>
      <c r="CH43" s="227"/>
      <c r="CI43" s="227"/>
      <c r="CJ43" s="227"/>
      <c r="CK43" s="227"/>
      <c r="CL43" s="227"/>
      <c r="CM43" s="136"/>
      <c r="DH43" s="2"/>
      <c r="DI43" s="2"/>
      <c r="DJ43" s="2"/>
      <c r="DK43" s="2"/>
      <c r="DL43" s="2"/>
      <c r="DM43" s="493"/>
    </row>
    <row r="44" spans="20:117" ht="15.75" thickBot="1">
      <c r="Y44" s="136"/>
      <c r="AC44" s="221"/>
      <c r="AD44" s="222"/>
      <c r="AE44" s="213"/>
      <c r="AF44" s="212"/>
      <c r="AG44" s="212" t="e" cm="1">
        <f t="array" ref="AG44">_xlfn.IFS(AH44=1,$B$4,AH44=2,$B$5,AH44=3,$B$6,AH44=4,$B$7,AH44=5,$B$8,AH44=6,$B$9,AH44=7,$B$10)</f>
        <v>#N/A</v>
      </c>
      <c r="AH44" s="212"/>
      <c r="AI44" s="212"/>
      <c r="AJ44" s="212"/>
      <c r="AK44" s="212"/>
      <c r="AL44" s="212"/>
      <c r="AM44" s="212"/>
      <c r="AN44" s="214" t="e">
        <f t="shared" si="2"/>
        <v>#DIV/0!</v>
      </c>
      <c r="AO44" s="227"/>
      <c r="AP44" s="136"/>
      <c r="AT44" s="221"/>
      <c r="AU44" s="223"/>
      <c r="AV44" s="217"/>
      <c r="AW44" s="216"/>
      <c r="AX44" s="212"/>
      <c r="AY44" s="216"/>
      <c r="AZ44" s="212"/>
      <c r="BA44" s="216"/>
      <c r="BB44" s="216"/>
      <c r="BC44" s="216"/>
      <c r="BD44" s="212"/>
      <c r="BE44" s="214"/>
      <c r="BF44" s="136"/>
      <c r="BG44" s="136"/>
      <c r="BL44" s="233"/>
      <c r="BM44" s="233"/>
      <c r="BN44" s="234"/>
      <c r="BO44" s="234"/>
      <c r="BP44" s="234"/>
      <c r="BQ44" s="234"/>
      <c r="BR44" s="234"/>
      <c r="BS44" s="234"/>
      <c r="BT44" s="234"/>
      <c r="BU44" s="234"/>
      <c r="BV44" s="136"/>
      <c r="BX44" s="136"/>
      <c r="CC44" s="228"/>
      <c r="CD44" s="228"/>
      <c r="CE44" s="227"/>
      <c r="CF44" s="227"/>
      <c r="CG44" s="227"/>
      <c r="CH44" s="227"/>
      <c r="CI44" s="227"/>
      <c r="CJ44" s="227"/>
      <c r="CK44" s="227"/>
      <c r="CL44" s="227"/>
      <c r="CM44" s="136"/>
      <c r="DH44" s="2"/>
      <c r="DI44" s="2"/>
      <c r="DJ44" s="2"/>
      <c r="DK44" s="2"/>
      <c r="DL44" s="2"/>
      <c r="DM44" s="493"/>
    </row>
    <row r="45" spans="20:117" ht="15.75" thickBot="1">
      <c r="Y45" s="136"/>
      <c r="AC45" s="215"/>
      <c r="AD45" s="222"/>
      <c r="AE45" s="213"/>
      <c r="AF45" s="216"/>
      <c r="AG45" s="212" t="e" cm="1">
        <f t="array" ref="AG45">_xlfn.IFS(AH45=1,$B$4,AH45=2,$B$5,AH45=3,$B$6,AH45=4,$B$7,AH45=5,$B$8,AH45=6,$B$9,AH45=7,$B$10)</f>
        <v>#N/A</v>
      </c>
      <c r="AH45" s="212"/>
      <c r="AI45" s="212"/>
      <c r="AJ45" s="216"/>
      <c r="AK45" s="216"/>
      <c r="AL45" s="216"/>
      <c r="AM45" s="216"/>
      <c r="AN45" s="214" t="e">
        <f t="shared" si="2"/>
        <v>#DIV/0!</v>
      </c>
      <c r="AO45" s="227"/>
      <c r="AP45" s="136"/>
      <c r="AT45" s="221"/>
      <c r="AU45" s="223"/>
      <c r="AV45" s="217"/>
      <c r="AW45" s="216"/>
      <c r="AX45" s="212"/>
      <c r="AY45" s="216"/>
      <c r="AZ45" s="212"/>
      <c r="BA45" s="216"/>
      <c r="BB45" s="216"/>
      <c r="BC45" s="216"/>
      <c r="BD45" s="216"/>
      <c r="BE45" s="214"/>
      <c r="BF45" s="136"/>
      <c r="BG45" s="136"/>
      <c r="BL45" s="228"/>
      <c r="BM45" s="228"/>
      <c r="BN45" s="227"/>
      <c r="BO45" s="227"/>
      <c r="BP45" s="227"/>
      <c r="BQ45" s="227"/>
      <c r="BR45" s="227"/>
      <c r="BS45" s="227"/>
      <c r="BT45" s="227"/>
      <c r="BU45" s="227"/>
      <c r="BV45" s="136"/>
      <c r="BX45" s="136"/>
      <c r="CC45" s="228"/>
      <c r="CD45" s="228"/>
      <c r="CE45" s="227"/>
      <c r="CF45" s="227"/>
      <c r="CG45" s="227"/>
      <c r="CH45" s="227"/>
      <c r="CI45" s="227"/>
      <c r="CJ45" s="227"/>
      <c r="CK45" s="227"/>
      <c r="CL45" s="227"/>
      <c r="CM45" s="136"/>
      <c r="DH45" s="2"/>
      <c r="DI45" s="2"/>
      <c r="DJ45" s="2"/>
      <c r="DK45" s="2"/>
      <c r="DL45" s="2"/>
      <c r="DM45" s="493"/>
    </row>
    <row r="46" spans="20:117" ht="15.75" thickBot="1">
      <c r="Y46" s="136"/>
      <c r="AC46" s="229"/>
      <c r="AD46" s="222"/>
      <c r="AE46" s="213"/>
      <c r="AF46" s="212"/>
      <c r="AG46" s="212" t="e" cm="1">
        <f t="array" ref="AG46">_xlfn.IFS(AH46=1,$B$4,AH46=2,$B$5,AH46=3,$B$6,AH46=4,$B$7,AH46=5,$B$8,AH46=6,$B$9,AH46=7,$B$10)</f>
        <v>#N/A</v>
      </c>
      <c r="AH46" s="212"/>
      <c r="AI46" s="212"/>
      <c r="AJ46" s="212"/>
      <c r="AK46" s="212"/>
      <c r="AL46" s="212"/>
      <c r="AM46" s="212"/>
      <c r="AN46" s="214" t="e">
        <f t="shared" si="2"/>
        <v>#DIV/0!</v>
      </c>
      <c r="AP46" s="136"/>
      <c r="AT46" s="215"/>
      <c r="AU46" s="223"/>
      <c r="AV46" s="217"/>
      <c r="AW46" s="216"/>
      <c r="AX46" s="212"/>
      <c r="AY46" s="216"/>
      <c r="AZ46" s="212"/>
      <c r="BA46" s="216"/>
      <c r="BB46" s="216"/>
      <c r="BC46" s="216"/>
      <c r="BD46" s="212"/>
      <c r="BE46" s="214"/>
      <c r="BF46" s="136"/>
      <c r="BG46" s="136"/>
      <c r="BL46" s="228"/>
      <c r="BM46" s="228"/>
      <c r="BN46" s="227"/>
      <c r="BO46" s="227"/>
      <c r="BP46" s="227"/>
      <c r="BQ46" s="227"/>
      <c r="BR46" s="227"/>
      <c r="BS46" s="227"/>
      <c r="BT46" s="227"/>
      <c r="BU46" s="227"/>
      <c r="BV46" s="136"/>
      <c r="BX46" s="136"/>
      <c r="CC46" s="228"/>
      <c r="CD46" s="228"/>
      <c r="CE46" s="227"/>
      <c r="CF46" s="227"/>
      <c r="CG46" s="227"/>
      <c r="CH46" s="227"/>
      <c r="CI46" s="227"/>
      <c r="CJ46" s="227"/>
      <c r="CK46" s="227"/>
      <c r="CL46" s="227"/>
      <c r="CM46" s="136"/>
      <c r="DH46" s="2"/>
      <c r="DI46" s="2"/>
      <c r="DJ46" s="2"/>
      <c r="DK46" s="2"/>
      <c r="DL46" s="2"/>
      <c r="DM46" s="493"/>
    </row>
    <row r="47" spans="20:117" ht="15.75" thickBot="1">
      <c r="Y47" s="136"/>
      <c r="AC47" s="215"/>
      <c r="AD47" s="222"/>
      <c r="AE47" s="213"/>
      <c r="AF47" s="212"/>
      <c r="AG47" s="212" t="e" cm="1">
        <f t="array" ref="AG47">_xlfn.IFS(AH47=1,$B$4,AH47=2,$B$5,AH47=3,$B$6,AH47=4,$B$7,AH47=5,$B$8,AH47=6,$B$9,AH47=7,$B$10)</f>
        <v>#N/A</v>
      </c>
      <c r="AH47" s="212"/>
      <c r="AI47" s="212"/>
      <c r="AJ47" s="212"/>
      <c r="AK47" s="212"/>
      <c r="AL47" s="212"/>
      <c r="AM47" s="212"/>
      <c r="AN47" s="214" t="e">
        <f t="shared" si="2"/>
        <v>#DIV/0!</v>
      </c>
      <c r="AO47" s="227"/>
      <c r="AP47" s="136"/>
      <c r="AT47" s="215"/>
      <c r="AU47" s="223"/>
      <c r="AV47" s="217"/>
      <c r="AW47" s="216"/>
      <c r="AX47" s="212"/>
      <c r="AY47" s="216"/>
      <c r="AZ47" s="212"/>
      <c r="BA47" s="216"/>
      <c r="BB47" s="216"/>
      <c r="BC47" s="216"/>
      <c r="BD47" s="212"/>
      <c r="BE47" s="214"/>
      <c r="BF47" s="136"/>
      <c r="BG47" s="136"/>
      <c r="BL47" s="228"/>
      <c r="BM47" s="228"/>
      <c r="BN47" s="227"/>
      <c r="BO47" s="227"/>
      <c r="BP47" s="227"/>
      <c r="BQ47" s="227"/>
      <c r="BR47" s="227"/>
      <c r="BS47" s="227"/>
      <c r="BT47" s="227"/>
      <c r="BU47" s="227"/>
      <c r="BV47" s="136"/>
      <c r="BX47" s="136"/>
      <c r="CC47" s="228"/>
      <c r="CD47" s="228"/>
      <c r="CE47" s="227"/>
      <c r="CF47" s="227"/>
      <c r="CG47" s="227"/>
      <c r="CH47" s="227"/>
      <c r="CI47" s="227"/>
      <c r="CJ47" s="227"/>
      <c r="CK47" s="227"/>
      <c r="CL47" s="227"/>
      <c r="CM47" s="136"/>
      <c r="DH47" s="2"/>
      <c r="DI47" s="2"/>
      <c r="DJ47" s="2"/>
      <c r="DK47" s="2"/>
      <c r="DL47" s="2"/>
      <c r="DM47" s="493"/>
    </row>
    <row r="48" spans="20:117" ht="15.75" thickBot="1">
      <c r="Y48" s="136"/>
      <c r="AC48" s="215"/>
      <c r="AD48" s="222"/>
      <c r="AE48" s="213"/>
      <c r="AF48" s="212"/>
      <c r="AG48" s="212" t="e" cm="1">
        <f t="array" ref="AG48">_xlfn.IFS(AH48=1,$B$4,AH48=2,$B$5,AH48=3,$B$6,AH48=4,$B$7,AH48=5,$B$8,AH48=6,$B$9,AH48=7,$B$10)</f>
        <v>#N/A</v>
      </c>
      <c r="AH48" s="212"/>
      <c r="AI48" s="212"/>
      <c r="AJ48" s="212"/>
      <c r="AK48" s="212"/>
      <c r="AL48" s="212"/>
      <c r="AM48" s="212"/>
      <c r="AN48" s="214" t="e">
        <f t="shared" si="2"/>
        <v>#DIV/0!</v>
      </c>
      <c r="AO48" s="227"/>
      <c r="AP48" s="136"/>
      <c r="AT48" s="221"/>
      <c r="AU48" s="233"/>
      <c r="AV48" s="233"/>
      <c r="AW48" s="234"/>
      <c r="AX48" s="234"/>
      <c r="AY48" s="234"/>
      <c r="BA48" s="234"/>
      <c r="BB48" s="234"/>
      <c r="BC48" s="234"/>
      <c r="BD48" s="234"/>
      <c r="BE48" s="136"/>
      <c r="BF48" s="136"/>
      <c r="BG48" s="136"/>
      <c r="BL48" s="228"/>
      <c r="BM48" s="228"/>
      <c r="BN48" s="227"/>
      <c r="BO48" s="227"/>
      <c r="BP48" s="227"/>
      <c r="BQ48" s="227"/>
      <c r="BR48" s="227"/>
      <c r="BS48" s="227"/>
      <c r="BT48" s="227"/>
      <c r="BU48" s="227"/>
      <c r="BV48" s="136"/>
      <c r="BX48" s="136"/>
      <c r="CC48" s="226"/>
      <c r="CD48" s="226"/>
      <c r="CE48" s="227"/>
      <c r="CF48" s="227"/>
      <c r="CG48" s="227"/>
      <c r="CH48" s="227"/>
      <c r="CI48" s="227"/>
      <c r="CJ48" s="227"/>
      <c r="CK48" s="227"/>
      <c r="CL48" s="227"/>
      <c r="CM48" s="136"/>
      <c r="DH48" s="2"/>
      <c r="DI48" s="2"/>
      <c r="DJ48" s="2"/>
      <c r="DK48" s="2"/>
      <c r="DL48" s="2"/>
      <c r="DM48" s="493"/>
    </row>
    <row r="49" spans="25:117" ht="15.75" thickBot="1">
      <c r="Y49" s="136"/>
      <c r="AC49" s="215"/>
      <c r="AD49" s="222"/>
      <c r="AE49" s="213"/>
      <c r="AF49" s="212"/>
      <c r="AG49" s="212" t="e" cm="1">
        <f t="array" ref="AG49">_xlfn.IFS(AH49=1,$B$4,AH49=2,$B$5,AH49=3,$B$6,AH49=4,$B$7,AH49=5,$B$8,AH49=6,$B$9,AH49=7,$B$10)</f>
        <v>#N/A</v>
      </c>
      <c r="AH49" s="212"/>
      <c r="AI49" s="212"/>
      <c r="AJ49" s="212"/>
      <c r="AK49" s="212"/>
      <c r="AL49" s="212"/>
      <c r="AM49" s="212"/>
      <c r="AN49" s="214" t="e">
        <f t="shared" si="2"/>
        <v>#DIV/0!</v>
      </c>
      <c r="AO49" s="227"/>
      <c r="AP49" s="136"/>
      <c r="AT49" s="215"/>
      <c r="AU49" s="233"/>
      <c r="AV49" s="233"/>
      <c r="AW49" s="234"/>
      <c r="AX49" s="234"/>
      <c r="AY49" s="234"/>
      <c r="BA49" s="234"/>
      <c r="BB49" s="234"/>
      <c r="BC49" s="234"/>
      <c r="BD49" s="234"/>
      <c r="BE49" s="136"/>
      <c r="BF49" s="136"/>
      <c r="BG49" s="136"/>
      <c r="BL49" s="228"/>
      <c r="BM49" s="228"/>
      <c r="BN49" s="227"/>
      <c r="BO49" s="227"/>
      <c r="BP49" s="227"/>
      <c r="BQ49" s="227"/>
      <c r="BR49" s="227"/>
      <c r="BS49" s="227"/>
      <c r="BT49" s="227"/>
      <c r="BU49" s="227"/>
      <c r="BV49" s="136"/>
      <c r="BX49" s="136"/>
      <c r="CC49" s="228"/>
      <c r="CD49" s="228"/>
      <c r="CE49" s="227"/>
      <c r="CF49" s="227"/>
      <c r="CG49" s="227"/>
      <c r="CH49" s="227"/>
      <c r="CI49" s="227"/>
      <c r="CJ49" s="227"/>
      <c r="CK49" s="227"/>
      <c r="CL49" s="227"/>
      <c r="CM49" s="136"/>
      <c r="DH49" s="2"/>
      <c r="DI49" s="2"/>
      <c r="DJ49" s="2"/>
      <c r="DK49" s="2"/>
      <c r="DL49" s="2"/>
      <c r="DM49" s="493"/>
    </row>
    <row r="50" spans="25:117" ht="15.75" thickBot="1">
      <c r="Y50" s="136"/>
      <c r="AC50" s="215"/>
      <c r="AD50" s="222"/>
      <c r="AE50" s="213"/>
      <c r="AF50" s="212"/>
      <c r="AG50" s="212" t="e" cm="1">
        <f t="array" ref="AG50">_xlfn.IFS(AH50=1,$B$4,AH50=2,$B$5,AH50=3,$B$6,AH50=4,$B$7,AH50=5,$B$8,AH50=6,$B$9,AH50=7,$B$10)</f>
        <v>#N/A</v>
      </c>
      <c r="AH50" s="212"/>
      <c r="AI50" s="212"/>
      <c r="AJ50" s="212"/>
      <c r="AK50" s="212"/>
      <c r="AL50" s="212"/>
      <c r="AM50" s="212"/>
      <c r="AN50" s="214" t="e">
        <f t="shared" si="2"/>
        <v>#DIV/0!</v>
      </c>
      <c r="AO50" s="227"/>
      <c r="AP50" s="136"/>
      <c r="AT50" s="215"/>
      <c r="AU50" s="233"/>
      <c r="AV50" s="233"/>
      <c r="AW50" s="234"/>
      <c r="AX50" s="234"/>
      <c r="AY50" s="234"/>
      <c r="BA50" s="234"/>
      <c r="BB50" s="234"/>
      <c r="BC50" s="234"/>
      <c r="BD50" s="234"/>
      <c r="BE50" s="136"/>
      <c r="BF50" s="136"/>
      <c r="BG50" s="136"/>
      <c r="BL50" s="228"/>
      <c r="BM50" s="228"/>
      <c r="BN50" s="227"/>
      <c r="BO50" s="227"/>
      <c r="BP50" s="227"/>
      <c r="BQ50" s="227"/>
      <c r="BR50" s="227"/>
      <c r="BS50" s="227"/>
      <c r="BT50" s="227"/>
      <c r="BU50" s="227"/>
      <c r="BV50" s="136"/>
      <c r="BX50" s="136"/>
      <c r="CC50" s="228"/>
      <c r="CD50" s="228"/>
      <c r="CE50" s="227"/>
      <c r="CF50" s="227"/>
      <c r="CG50" s="227"/>
      <c r="CH50" s="227"/>
      <c r="CI50" s="227"/>
      <c r="CJ50" s="227"/>
      <c r="CK50" s="227"/>
      <c r="CL50" s="227"/>
      <c r="CM50" s="136"/>
      <c r="DH50" s="2"/>
      <c r="DI50" s="2"/>
      <c r="DJ50" s="2"/>
      <c r="DK50" s="2"/>
      <c r="DL50" s="2"/>
      <c r="DM50" s="493"/>
    </row>
    <row r="51" spans="25:117" ht="15.75" thickBot="1">
      <c r="Y51" s="136"/>
      <c r="AC51" s="215"/>
      <c r="AD51" s="222"/>
      <c r="AE51" s="213"/>
      <c r="AF51" s="212"/>
      <c r="AG51" s="212" t="e" cm="1">
        <f t="array" ref="AG51">_xlfn.IFS(AH51=1,$B$4,AH51=2,$B$5,AH51=3,$B$6,AH51=4,$B$7,AH51=5,$B$8,AH51=6,$B$9,AH51=7,$B$10)</f>
        <v>#N/A</v>
      </c>
      <c r="AH51" s="212"/>
      <c r="AI51" s="212"/>
      <c r="AJ51" s="212"/>
      <c r="AK51" s="212"/>
      <c r="AL51" s="212"/>
      <c r="AM51" s="212"/>
      <c r="AN51" s="214" t="e">
        <f t="shared" si="2"/>
        <v>#DIV/0!</v>
      </c>
      <c r="AO51" s="227"/>
      <c r="AP51" s="136"/>
      <c r="AT51" s="215"/>
      <c r="AU51" s="233"/>
      <c r="AV51" s="233"/>
      <c r="AW51" s="234"/>
      <c r="AX51" s="234"/>
      <c r="AY51" s="234"/>
      <c r="BA51" s="234"/>
      <c r="BB51" s="234"/>
      <c r="BC51" s="234"/>
      <c r="BD51" s="234"/>
      <c r="BE51" s="136"/>
      <c r="BF51" s="136"/>
      <c r="BG51" s="136"/>
      <c r="BL51" s="226"/>
      <c r="BM51" s="226"/>
      <c r="BN51" s="227"/>
      <c r="BO51" s="227"/>
      <c r="BP51" s="227"/>
      <c r="BQ51" s="227"/>
      <c r="BR51" s="227"/>
      <c r="BS51" s="227"/>
      <c r="BT51" s="227"/>
      <c r="BU51" s="227"/>
      <c r="BV51" s="136"/>
      <c r="BX51" s="136"/>
      <c r="CC51" s="228"/>
      <c r="CD51" s="228"/>
      <c r="CE51" s="227"/>
      <c r="CF51" s="227"/>
      <c r="CG51" s="227"/>
      <c r="CH51" s="227"/>
      <c r="CI51" s="227"/>
      <c r="CJ51" s="227"/>
      <c r="CK51" s="227"/>
      <c r="CL51" s="227"/>
      <c r="CM51" s="136"/>
      <c r="DH51" s="2"/>
      <c r="DI51" s="2"/>
      <c r="DJ51" s="2"/>
      <c r="DK51" s="2"/>
      <c r="DL51" s="2"/>
      <c r="DM51" s="493"/>
    </row>
    <row r="52" spans="25:117" ht="15.75" thickBot="1">
      <c r="Y52" s="136"/>
      <c r="AC52" s="215"/>
      <c r="AD52" s="212"/>
      <c r="AE52" s="213"/>
      <c r="AF52" s="212"/>
      <c r="AG52" s="212" t="e" cm="1">
        <f t="array" ref="AG52">_xlfn.IFS(AH52=1,$B$4,AH52=2,$B$5,AH52=3,$B$6,AH52=4,$B$7,AH52=5,$B$8,AH52=6,$B$9,AH52=7,$B$10)</f>
        <v>#N/A</v>
      </c>
      <c r="AH52" s="212"/>
      <c r="AI52" s="212"/>
      <c r="AJ52" s="212"/>
      <c r="AK52" s="212"/>
      <c r="AL52" s="212"/>
      <c r="AM52" s="212"/>
      <c r="AN52" s="214" t="e">
        <f t="shared" si="2"/>
        <v>#DIV/0!</v>
      </c>
      <c r="AO52" s="227"/>
      <c r="AP52" s="136"/>
      <c r="AT52" s="215"/>
      <c r="AU52" s="233"/>
      <c r="AV52" s="233"/>
      <c r="AW52" s="234"/>
      <c r="AX52" s="234"/>
      <c r="AY52" s="234"/>
      <c r="BA52" s="234"/>
      <c r="BB52" s="234"/>
      <c r="BC52" s="234"/>
      <c r="BD52" s="234"/>
      <c r="BE52" s="136"/>
      <c r="BF52" s="136"/>
      <c r="BG52" s="136"/>
      <c r="BL52" s="228"/>
      <c r="BM52" s="228"/>
      <c r="BN52" s="227"/>
      <c r="BO52" s="227"/>
      <c r="BP52" s="227"/>
      <c r="BQ52" s="227"/>
      <c r="BR52" s="227"/>
      <c r="BS52" s="227"/>
      <c r="BT52" s="227"/>
      <c r="BU52" s="227"/>
      <c r="BV52" s="136"/>
      <c r="BX52" s="136"/>
      <c r="CC52" s="228"/>
      <c r="CD52" s="228"/>
      <c r="CE52" s="227"/>
      <c r="CF52" s="227"/>
      <c r="CG52" s="227"/>
      <c r="CH52" s="227"/>
      <c r="CI52" s="227"/>
      <c r="CJ52" s="227"/>
      <c r="CK52" s="227"/>
      <c r="CL52" s="227"/>
      <c r="CM52" s="136"/>
      <c r="DH52" s="2"/>
      <c r="DI52" s="2"/>
      <c r="DJ52" s="2"/>
      <c r="DK52" s="2"/>
      <c r="DL52" s="2"/>
      <c r="DM52" s="493"/>
    </row>
    <row r="53" spans="25:117" ht="15.75" thickBot="1">
      <c r="Y53" s="136"/>
      <c r="AC53" s="215"/>
      <c r="AD53" s="222"/>
      <c r="AE53" s="213"/>
      <c r="AF53" s="212"/>
      <c r="AG53" s="212" t="e" cm="1">
        <f t="array" ref="AG53">_xlfn.IFS(AH53=1,$B$4,AH53=2,$B$5,AH53=3,$B$6,AH53=4,$B$7,AH53=5,$B$8,AH53=6,$B$9,AH53=7,$B$10)</f>
        <v>#N/A</v>
      </c>
      <c r="AH53" s="212"/>
      <c r="AI53" s="212"/>
      <c r="AJ53" s="212"/>
      <c r="AK53" s="212"/>
      <c r="AL53" s="212"/>
      <c r="AM53" s="212"/>
      <c r="AN53" s="214" t="e">
        <f t="shared" si="2"/>
        <v>#DIV/0!</v>
      </c>
      <c r="AO53" s="227"/>
      <c r="AP53" s="136"/>
      <c r="AT53" s="215"/>
      <c r="AU53" s="233"/>
      <c r="AV53" s="233"/>
      <c r="AW53" s="234"/>
      <c r="AX53" s="234"/>
      <c r="AY53" s="234"/>
      <c r="BA53" s="234"/>
      <c r="BB53" s="234"/>
      <c r="BC53" s="234"/>
      <c r="BD53" s="234"/>
      <c r="BE53" s="136"/>
      <c r="BF53" s="136"/>
      <c r="BG53" s="136"/>
      <c r="BL53" s="228"/>
      <c r="BM53" s="228"/>
      <c r="BN53" s="227"/>
      <c r="BO53" s="227"/>
      <c r="BP53" s="227"/>
      <c r="BQ53" s="227"/>
      <c r="BR53" s="227"/>
      <c r="BS53" s="227"/>
      <c r="BT53" s="227"/>
      <c r="BU53" s="227"/>
      <c r="BV53" s="136"/>
      <c r="BX53" s="136"/>
      <c r="CC53" s="228"/>
      <c r="CD53" s="228"/>
      <c r="CE53" s="227"/>
      <c r="CF53" s="227"/>
      <c r="CG53" s="227"/>
      <c r="CH53" s="227"/>
      <c r="CI53" s="227"/>
      <c r="CJ53" s="227"/>
      <c r="CK53" s="227"/>
      <c r="CL53" s="227"/>
      <c r="CM53" s="136"/>
      <c r="DH53" s="2"/>
      <c r="DI53" s="2"/>
      <c r="DJ53" s="2"/>
      <c r="DK53" s="2"/>
      <c r="DL53" s="2"/>
      <c r="DM53" s="493"/>
    </row>
    <row r="54" spans="25:117" ht="15.75" thickBot="1">
      <c r="Y54" s="136"/>
      <c r="AC54" s="221"/>
      <c r="AD54" s="222"/>
      <c r="AE54" s="213"/>
      <c r="AF54" s="212"/>
      <c r="AG54" s="212" t="e" cm="1">
        <f t="array" ref="AG54">_xlfn.IFS(AH54=1,$B$4,AH54=2,$B$5,AH54=3,$B$6,AH54=4,$B$7,AH54=5,$B$8,AH54=6,$B$9,AH54=7,$B$10)</f>
        <v>#N/A</v>
      </c>
      <c r="AH54" s="212"/>
      <c r="AI54" s="212"/>
      <c r="AJ54" s="212"/>
      <c r="AK54" s="212"/>
      <c r="AL54" s="212"/>
      <c r="AM54" s="212"/>
      <c r="AN54" s="214" t="e">
        <f t="shared" si="2"/>
        <v>#DIV/0!</v>
      </c>
      <c r="AP54" s="136"/>
      <c r="AT54" s="136"/>
      <c r="AU54" s="233"/>
      <c r="AV54" s="233"/>
      <c r="AW54" s="234"/>
      <c r="AX54" s="234"/>
      <c r="AY54" s="234"/>
      <c r="BA54" s="234"/>
      <c r="BB54" s="234"/>
      <c r="BC54" s="234"/>
      <c r="BD54" s="234"/>
      <c r="BE54" s="136"/>
      <c r="BF54" s="136"/>
      <c r="BG54" s="136"/>
      <c r="BL54" s="228"/>
      <c r="BM54" s="228"/>
      <c r="BN54" s="227"/>
      <c r="BO54" s="227"/>
      <c r="BP54" s="227"/>
      <c r="BQ54" s="227"/>
      <c r="BR54" s="227"/>
      <c r="BS54" s="227"/>
      <c r="BT54" s="227"/>
      <c r="BU54" s="227"/>
      <c r="BV54" s="136"/>
      <c r="BX54" s="136"/>
      <c r="CC54" s="228"/>
      <c r="CD54" s="228"/>
      <c r="CE54" s="227"/>
      <c r="CF54" s="227"/>
      <c r="CG54" s="227"/>
      <c r="CH54" s="227"/>
      <c r="CI54" s="227"/>
      <c r="CJ54" s="227"/>
      <c r="CK54" s="227"/>
      <c r="CL54" s="227"/>
      <c r="CM54" s="136"/>
      <c r="DH54" s="2"/>
      <c r="DI54" s="2"/>
      <c r="DJ54" s="2"/>
      <c r="DK54" s="2"/>
      <c r="DL54" s="2"/>
      <c r="DM54" s="493"/>
    </row>
    <row r="55" spans="25:117" ht="15.75" thickBot="1">
      <c r="Y55" s="136"/>
      <c r="AC55" s="215"/>
      <c r="AD55" s="222"/>
      <c r="AE55" s="213"/>
      <c r="AF55" s="212"/>
      <c r="AG55" s="212" t="e" cm="1">
        <f t="array" ref="AG55">_xlfn.IFS(AH55=1,$B$4,AH55=2,$B$5,AH55=3,$B$6,AH55=4,$B$7,AH55=5,$B$8,AH55=6,$B$9,AH55=7,$B$10)</f>
        <v>#N/A</v>
      </c>
      <c r="AH55" s="212"/>
      <c r="AI55" s="212"/>
      <c r="AJ55" s="212"/>
      <c r="AK55" s="212"/>
      <c r="AL55" s="212"/>
      <c r="AM55" s="212"/>
      <c r="AN55" s="214" t="e">
        <f t="shared" si="2"/>
        <v>#DIV/0!</v>
      </c>
      <c r="AO55" s="227"/>
      <c r="AP55" s="136"/>
      <c r="AT55" s="215"/>
      <c r="AU55" s="233"/>
      <c r="AV55" s="233"/>
      <c r="AW55" s="234"/>
      <c r="AX55" s="234"/>
      <c r="AY55" s="234"/>
      <c r="BA55" s="234"/>
      <c r="BB55" s="234"/>
      <c r="BC55" s="234"/>
      <c r="BD55" s="234"/>
      <c r="BE55" s="136"/>
      <c r="BF55" s="136"/>
      <c r="BG55" s="136"/>
      <c r="BL55" s="228"/>
      <c r="BM55" s="228"/>
      <c r="BN55" s="227"/>
      <c r="BO55" s="227"/>
      <c r="BP55" s="227"/>
      <c r="BQ55" s="227"/>
      <c r="BR55" s="227"/>
      <c r="BS55" s="227"/>
      <c r="BT55" s="227"/>
      <c r="BU55" s="227"/>
      <c r="BV55" s="136"/>
      <c r="BX55" s="136"/>
      <c r="CC55" s="228"/>
      <c r="CD55" s="228"/>
      <c r="CE55" s="227"/>
      <c r="CF55" s="227"/>
      <c r="CG55" s="227"/>
      <c r="CH55" s="227"/>
      <c r="CI55" s="227"/>
      <c r="CJ55" s="227"/>
      <c r="CK55" s="227"/>
      <c r="CL55" s="227"/>
      <c r="CM55" s="136"/>
      <c r="DH55" s="2"/>
      <c r="DI55" s="2"/>
      <c r="DJ55" s="2"/>
      <c r="DK55" s="2"/>
      <c r="DL55" s="2"/>
      <c r="DM55" s="493"/>
    </row>
    <row r="56" spans="25:117" ht="15.75" thickBot="1">
      <c r="Y56" s="136"/>
      <c r="AC56" s="215"/>
      <c r="AD56" s="222"/>
      <c r="AE56" s="213"/>
      <c r="AF56" s="212"/>
      <c r="AG56" s="212" t="e" cm="1">
        <f t="array" ref="AG56">_xlfn.IFS(AH56=1,$B$4,AH56=2,$B$5,AH56=3,$B$6,AH56=4,$B$7,AH56=5,$B$8,AH56=6,$B$9,AH56=7,$B$10)</f>
        <v>#N/A</v>
      </c>
      <c r="AH56" s="212"/>
      <c r="AI56" s="212"/>
      <c r="AJ56" s="212"/>
      <c r="AK56" s="212"/>
      <c r="AL56" s="212"/>
      <c r="AM56" s="212"/>
      <c r="AN56" s="214" t="e">
        <f t="shared" si="2"/>
        <v>#DIV/0!</v>
      </c>
      <c r="AO56" s="227"/>
      <c r="AP56" s="136"/>
      <c r="AT56" s="215"/>
      <c r="AU56" s="233"/>
      <c r="AV56" s="233"/>
      <c r="AW56" s="234"/>
      <c r="AX56" s="234"/>
      <c r="AY56" s="234"/>
      <c r="BA56" s="234"/>
      <c r="BB56" s="234"/>
      <c r="BC56" s="234"/>
      <c r="BD56" s="234"/>
      <c r="BE56" s="136"/>
      <c r="BF56" s="136"/>
      <c r="BG56" s="136"/>
      <c r="BL56" s="228"/>
      <c r="BM56" s="228"/>
      <c r="BN56" s="227"/>
      <c r="BO56" s="227"/>
      <c r="BP56" s="227"/>
      <c r="BQ56" s="227"/>
      <c r="BR56" s="227"/>
      <c r="BS56" s="227"/>
      <c r="BT56" s="227"/>
      <c r="BU56" s="227"/>
      <c r="BV56" s="136"/>
      <c r="BX56" s="136"/>
      <c r="CC56" s="228"/>
      <c r="CD56" s="228"/>
      <c r="CE56" s="227"/>
      <c r="CF56" s="227"/>
      <c r="CG56" s="227"/>
      <c r="CH56" s="227"/>
      <c r="CI56" s="227"/>
      <c r="CJ56" s="227"/>
      <c r="CK56" s="227"/>
      <c r="CL56" s="227"/>
      <c r="CM56" s="136"/>
      <c r="DH56" s="2"/>
      <c r="DI56" s="2"/>
      <c r="DJ56" s="2"/>
      <c r="DK56" s="2"/>
      <c r="DL56" s="2"/>
      <c r="DM56" s="493"/>
    </row>
    <row r="57" spans="25:117" ht="15.75" thickBot="1">
      <c r="Y57" s="136"/>
      <c r="AC57" s="215"/>
      <c r="AD57" s="222"/>
      <c r="AE57" s="213"/>
      <c r="AF57" s="212"/>
      <c r="AG57" s="212" t="e" cm="1">
        <f t="array" ref="AG57">_xlfn.IFS(AH57=1,$B$4,AH57=2,$B$5,AH57=3,$B$6,AH57=4,$B$7,AH57=5,$B$8,AH57=6,$B$9,AH57=7,$B$10)</f>
        <v>#N/A</v>
      </c>
      <c r="AH57" s="212"/>
      <c r="AI57" s="212"/>
      <c r="AJ57" s="212"/>
      <c r="AK57" s="212"/>
      <c r="AL57" s="212"/>
      <c r="AM57" s="212"/>
      <c r="AN57" s="214" t="e">
        <f t="shared" si="2"/>
        <v>#DIV/0!</v>
      </c>
      <c r="AO57" s="227"/>
      <c r="AP57" s="136"/>
      <c r="AT57" s="215"/>
      <c r="AU57" s="233"/>
      <c r="AV57" s="233"/>
      <c r="AW57" s="234"/>
      <c r="AX57" s="234"/>
      <c r="AY57" s="234"/>
      <c r="BA57" s="234"/>
      <c r="BB57" s="234"/>
      <c r="BC57" s="234"/>
      <c r="BD57" s="234"/>
      <c r="BE57" s="136"/>
      <c r="BF57" s="136"/>
      <c r="BG57" s="136"/>
      <c r="BL57" s="228"/>
      <c r="BM57" s="228"/>
      <c r="BN57" s="227"/>
      <c r="BO57" s="227"/>
      <c r="BP57" s="227"/>
      <c r="BQ57" s="227"/>
      <c r="BR57" s="227"/>
      <c r="BS57" s="227"/>
      <c r="BT57" s="227"/>
      <c r="BU57" s="227"/>
      <c r="BV57" s="136"/>
      <c r="BX57" s="136"/>
      <c r="CC57" s="228"/>
      <c r="CD57" s="228"/>
      <c r="CE57" s="227"/>
      <c r="CF57" s="227"/>
      <c r="CG57" s="227"/>
      <c r="CH57" s="227"/>
      <c r="CI57" s="227"/>
      <c r="CJ57" s="227"/>
      <c r="CK57" s="227"/>
      <c r="CL57" s="227"/>
      <c r="CM57" s="136"/>
      <c r="DH57" s="2"/>
      <c r="DI57" s="2"/>
      <c r="DJ57" s="2"/>
      <c r="DK57" s="2"/>
      <c r="DL57" s="2"/>
      <c r="DM57" s="493"/>
    </row>
    <row r="58" spans="25:117" ht="15.75" thickBot="1">
      <c r="Y58" s="136"/>
      <c r="AC58" s="215"/>
      <c r="AD58" s="222"/>
      <c r="AE58" s="213"/>
      <c r="AF58" s="212"/>
      <c r="AG58" s="212" t="e" cm="1">
        <f t="array" ref="AG58">_xlfn.IFS(AH58=1,$B$4,AH58=2,$B$5,AH58=3,$B$6,AH58=4,$B$7,AH58=5,$B$8,AH58=6,$B$9,AH58=7,$B$10)</f>
        <v>#N/A</v>
      </c>
      <c r="AH58" s="212"/>
      <c r="AI58" s="212"/>
      <c r="AJ58" s="212"/>
      <c r="AK58" s="212"/>
      <c r="AL58" s="212"/>
      <c r="AM58" s="212"/>
      <c r="AN58" s="214" t="e">
        <f t="shared" si="2"/>
        <v>#DIV/0!</v>
      </c>
      <c r="AO58" s="227"/>
      <c r="AP58" s="136"/>
      <c r="AT58" s="215"/>
      <c r="AU58" s="233"/>
      <c r="AV58" s="233"/>
      <c r="AW58" s="234"/>
      <c r="AX58" s="234"/>
      <c r="AY58" s="234"/>
      <c r="BA58" s="234"/>
      <c r="BB58" s="234"/>
      <c r="BC58" s="234"/>
      <c r="BD58" s="234"/>
      <c r="BE58" s="136"/>
      <c r="BF58" s="136"/>
      <c r="BG58" s="136"/>
      <c r="BL58" s="228"/>
      <c r="BM58" s="228"/>
      <c r="BN58" s="227"/>
      <c r="BO58" s="227"/>
      <c r="BP58" s="227"/>
      <c r="BQ58" s="227"/>
      <c r="BR58" s="227"/>
      <c r="BS58" s="227"/>
      <c r="BT58" s="227"/>
      <c r="BU58" s="227"/>
      <c r="BV58" s="136"/>
      <c r="BX58" s="136"/>
      <c r="CC58" s="226"/>
      <c r="CD58" s="226"/>
      <c r="CE58" s="227"/>
      <c r="CF58" s="227"/>
      <c r="CG58" s="227"/>
      <c r="CH58" s="227"/>
      <c r="CI58" s="227"/>
      <c r="CJ58" s="227"/>
      <c r="CK58" s="227"/>
      <c r="CL58" s="227"/>
      <c r="CM58" s="136"/>
      <c r="DH58" s="2"/>
      <c r="DI58" s="2"/>
      <c r="DJ58" s="2"/>
      <c r="DK58" s="2"/>
      <c r="DL58" s="2"/>
      <c r="DM58" s="493"/>
    </row>
    <row r="59" spans="25:117" ht="15.75" thickBot="1">
      <c r="Y59" s="136"/>
      <c r="AC59" s="215"/>
      <c r="AD59" s="222"/>
      <c r="AE59" s="213"/>
      <c r="AF59" s="212"/>
      <c r="AG59" s="212" t="e" cm="1">
        <f t="array" ref="AG59">_xlfn.IFS(AH59=1,$B$4,AH59=2,$B$5,AH59=3,$B$6,AH59=4,$B$7,AH59=5,$B$8,AH59=6,$B$9,AH59=7,$B$10)</f>
        <v>#N/A</v>
      </c>
      <c r="AH59" s="212"/>
      <c r="AI59" s="212"/>
      <c r="AJ59" s="212"/>
      <c r="AK59" s="212"/>
      <c r="AL59" s="212"/>
      <c r="AM59" s="212"/>
      <c r="AN59" s="214" t="e">
        <f t="shared" si="2"/>
        <v>#DIV/0!</v>
      </c>
      <c r="AP59" s="136"/>
      <c r="AT59" s="215"/>
      <c r="AU59" s="233"/>
      <c r="AV59" s="233"/>
      <c r="AW59" s="234"/>
      <c r="AX59" s="234"/>
      <c r="AY59" s="234"/>
      <c r="BA59" s="234"/>
      <c r="BB59" s="234"/>
      <c r="BC59" s="234"/>
      <c r="BD59" s="234"/>
      <c r="BE59" s="136"/>
      <c r="BF59" s="136"/>
      <c r="BG59" s="136"/>
      <c r="BL59" s="228"/>
      <c r="BM59" s="228"/>
      <c r="BN59" s="227"/>
      <c r="BO59" s="227"/>
      <c r="BP59" s="227"/>
      <c r="BQ59" s="227"/>
      <c r="BR59" s="227"/>
      <c r="BS59" s="227"/>
      <c r="BT59" s="227"/>
      <c r="BU59" s="227"/>
      <c r="BV59" s="136"/>
      <c r="BX59" s="136"/>
      <c r="CC59" s="228"/>
      <c r="CD59" s="228"/>
      <c r="CE59" s="227"/>
      <c r="CF59" s="227"/>
      <c r="CG59" s="227"/>
      <c r="CH59" s="227"/>
      <c r="CI59" s="227"/>
      <c r="CJ59" s="227"/>
      <c r="CK59" s="227"/>
      <c r="CL59" s="227"/>
      <c r="CM59" s="136"/>
      <c r="DH59" s="2"/>
      <c r="DI59" s="2"/>
      <c r="DJ59" s="2"/>
      <c r="DK59" s="2"/>
      <c r="DL59" s="2"/>
      <c r="DM59" s="493"/>
    </row>
    <row r="60" spans="25:117" ht="15.75" thickBot="1">
      <c r="Y60" s="136"/>
      <c r="AC60" s="215"/>
      <c r="AD60" s="222"/>
      <c r="AE60" s="213"/>
      <c r="AF60" s="212"/>
      <c r="AG60" s="212" t="e" cm="1">
        <f t="array" ref="AG60">_xlfn.IFS(AH60=1,$B$4,AH60=2,$B$5,AH60=3,$B$6,AH60=4,$B$7,AH60=5,$B$8,AH60=6,$B$9,AH60=7,$B$10)</f>
        <v>#N/A</v>
      </c>
      <c r="AH60" s="212"/>
      <c r="AI60" s="212"/>
      <c r="AJ60" s="212"/>
      <c r="AK60" s="212"/>
      <c r="AL60" s="212"/>
      <c r="AM60" s="212"/>
      <c r="AN60" s="214" t="e">
        <f t="shared" si="2"/>
        <v>#DIV/0!</v>
      </c>
      <c r="AP60" s="136"/>
      <c r="AT60" s="215"/>
      <c r="AU60" s="233"/>
      <c r="AV60" s="233"/>
      <c r="AW60" s="234"/>
      <c r="AX60" s="234"/>
      <c r="AY60" s="234"/>
      <c r="BA60" s="234"/>
      <c r="BB60" s="234"/>
      <c r="BC60" s="234"/>
      <c r="BD60" s="234"/>
      <c r="BE60" s="136"/>
      <c r="BF60" s="136"/>
      <c r="BG60" s="136"/>
      <c r="BL60" s="228"/>
      <c r="BM60" s="228"/>
      <c r="BN60" s="227"/>
      <c r="BO60" s="227"/>
      <c r="BP60" s="227"/>
      <c r="BQ60" s="227"/>
      <c r="BR60" s="227"/>
      <c r="BS60" s="227"/>
      <c r="BT60" s="227"/>
      <c r="BU60" s="227"/>
      <c r="BV60" s="136"/>
      <c r="BX60" s="136"/>
      <c r="CC60" s="228"/>
      <c r="CD60" s="228"/>
      <c r="CE60" s="227"/>
      <c r="CF60" s="227"/>
      <c r="CG60" s="227"/>
      <c r="CH60" s="227"/>
      <c r="CI60" s="227"/>
      <c r="CJ60" s="227"/>
      <c r="CK60" s="227"/>
      <c r="CL60" s="227"/>
      <c r="CM60" s="136"/>
      <c r="DH60" s="2"/>
      <c r="DI60" s="2"/>
      <c r="DJ60" s="2"/>
      <c r="DK60" s="2"/>
      <c r="DL60" s="2"/>
      <c r="DM60" s="493"/>
    </row>
    <row r="61" spans="25:117" ht="15.75" thickBot="1">
      <c r="Y61" s="136"/>
      <c r="AC61" s="221"/>
      <c r="AD61" s="222"/>
      <c r="AE61" s="213"/>
      <c r="AF61" s="212"/>
      <c r="AG61" s="212" t="e" cm="1">
        <f t="array" ref="AG61">_xlfn.IFS(AH61=1,$B$4,AH61=2,$B$5,AH61=3,$B$6,AH61=4,$B$7,AH61=5,$B$8,AH61=6,$B$9,AH61=7,$B$10)</f>
        <v>#N/A</v>
      </c>
      <c r="AH61" s="212"/>
      <c r="AI61" s="212"/>
      <c r="AJ61" s="212"/>
      <c r="AK61" s="212"/>
      <c r="AL61" s="212"/>
      <c r="AM61" s="212"/>
      <c r="AN61" s="214" t="e">
        <f t="shared" si="2"/>
        <v>#DIV/0!</v>
      </c>
      <c r="AO61" s="227"/>
      <c r="AP61" s="136"/>
      <c r="AT61" s="136"/>
      <c r="AU61" s="233"/>
      <c r="AV61" s="233"/>
      <c r="AW61" s="234"/>
      <c r="AX61" s="234"/>
      <c r="AY61" s="234"/>
      <c r="BA61" s="234"/>
      <c r="BB61" s="234"/>
      <c r="BC61" s="234"/>
      <c r="BD61" s="234"/>
      <c r="BE61" s="136"/>
      <c r="BF61" s="136"/>
      <c r="BG61" s="136"/>
      <c r="BL61" s="226"/>
      <c r="BM61" s="226"/>
      <c r="BN61" s="227"/>
      <c r="BO61" s="227"/>
      <c r="BP61" s="227"/>
      <c r="BQ61" s="227"/>
      <c r="BR61" s="227"/>
      <c r="BS61" s="227"/>
      <c r="BT61" s="227"/>
      <c r="BU61" s="227"/>
      <c r="BV61" s="136"/>
      <c r="BX61" s="136"/>
      <c r="CC61" s="228"/>
      <c r="CD61" s="228"/>
      <c r="CE61" s="227"/>
      <c r="CF61" s="227"/>
      <c r="CG61" s="227"/>
      <c r="CH61" s="227"/>
      <c r="CI61" s="227"/>
      <c r="CJ61" s="227"/>
      <c r="CK61" s="227"/>
      <c r="CL61" s="227"/>
      <c r="CM61" s="136"/>
      <c r="DH61" s="2"/>
      <c r="DI61" s="2"/>
      <c r="DJ61" s="2"/>
      <c r="DK61" s="2"/>
      <c r="DL61" s="2"/>
      <c r="DM61" s="493"/>
    </row>
    <row r="62" spans="25:117" ht="15.75" thickBot="1">
      <c r="Y62" s="136"/>
      <c r="AC62" s="215"/>
      <c r="AD62" s="212"/>
      <c r="AE62" s="213"/>
      <c r="AF62" s="212"/>
      <c r="AG62" s="212" t="e" cm="1">
        <f t="array" ref="AG62">_xlfn.IFS(AH62=1,$B$4,AH62=2,$B$5,AH62=3,$B$6,AH62=4,$B$7,AH62=5,$B$8,AH62=6,$B$9,AH62=7,$B$10)</f>
        <v>#N/A</v>
      </c>
      <c r="AH62" s="212"/>
      <c r="AI62" s="212"/>
      <c r="AJ62" s="212"/>
      <c r="AK62" s="212"/>
      <c r="AL62" s="212"/>
      <c r="AM62" s="212"/>
      <c r="AN62" s="214" t="e">
        <f t="shared" si="2"/>
        <v>#DIV/0!</v>
      </c>
      <c r="AO62" s="227"/>
      <c r="AP62" s="136"/>
      <c r="AT62" s="215"/>
      <c r="AU62" s="233"/>
      <c r="AV62" s="233"/>
      <c r="AW62" s="234"/>
      <c r="AX62" s="234"/>
      <c r="AY62" s="234"/>
      <c r="BA62" s="234"/>
      <c r="BB62" s="234"/>
      <c r="BC62" s="234"/>
      <c r="BD62" s="234"/>
      <c r="BE62" s="136"/>
      <c r="BF62" s="136"/>
      <c r="BG62" s="136"/>
      <c r="BL62" s="228"/>
      <c r="BM62" s="228"/>
      <c r="BN62" s="227"/>
      <c r="BO62" s="227"/>
      <c r="BP62" s="227"/>
      <c r="BQ62" s="227"/>
      <c r="BR62" s="227"/>
      <c r="BS62" s="227"/>
      <c r="BT62" s="227"/>
      <c r="BU62" s="227"/>
      <c r="BV62" s="136"/>
      <c r="BX62" s="136"/>
      <c r="CC62" s="226"/>
      <c r="CD62" s="226"/>
      <c r="CE62" s="227"/>
      <c r="CF62" s="227"/>
      <c r="CG62" s="227"/>
      <c r="CH62" s="227"/>
      <c r="CI62" s="227"/>
      <c r="CJ62" s="227"/>
      <c r="CK62" s="227"/>
      <c r="CL62" s="227"/>
      <c r="CM62" s="136"/>
      <c r="DH62" s="2"/>
      <c r="DI62" s="2"/>
      <c r="DJ62" s="2"/>
      <c r="DK62" s="2"/>
      <c r="DL62" s="2"/>
      <c r="DM62" s="493"/>
    </row>
    <row r="63" spans="25:117" ht="15.75" thickBot="1">
      <c r="Y63" s="136"/>
      <c r="AC63" s="229"/>
      <c r="AD63" s="222"/>
      <c r="AE63" s="213"/>
      <c r="AF63" s="212"/>
      <c r="AG63" s="212" t="e" cm="1">
        <f t="array" ref="AG63">_xlfn.IFS(AH63=1,$B$4,AH63=2,$B$5,AH63=3,$B$6,AH63=4,$B$7,AH63=5,$B$8,AH63=6,$B$9,AH63=7,$B$10)</f>
        <v>#N/A</v>
      </c>
      <c r="AH63" s="212"/>
      <c r="AI63" s="212"/>
      <c r="AJ63" s="212"/>
      <c r="AK63" s="212"/>
      <c r="AL63" s="212"/>
      <c r="AM63" s="212"/>
      <c r="AN63" s="214" t="e">
        <f t="shared" si="2"/>
        <v>#DIV/0!</v>
      </c>
      <c r="AP63" s="136"/>
      <c r="AT63" s="136"/>
      <c r="AU63" s="233"/>
      <c r="AV63" s="233"/>
      <c r="AW63" s="234"/>
      <c r="AX63" s="234"/>
      <c r="AY63" s="234"/>
      <c r="BA63" s="234"/>
      <c r="BB63" s="234"/>
      <c r="BC63" s="234"/>
      <c r="BD63" s="234"/>
      <c r="BE63" s="136"/>
      <c r="BF63" s="136"/>
      <c r="BG63" s="136"/>
      <c r="BL63" s="228"/>
      <c r="BM63" s="228"/>
      <c r="BN63" s="227"/>
      <c r="BO63" s="227"/>
      <c r="BP63" s="227"/>
      <c r="BQ63" s="227"/>
      <c r="BR63" s="227"/>
      <c r="BS63" s="227"/>
      <c r="BT63" s="227"/>
      <c r="BU63" s="227"/>
      <c r="BV63" s="136"/>
      <c r="BX63" s="136"/>
      <c r="CC63" s="228"/>
      <c r="CD63" s="228"/>
      <c r="CE63" s="227"/>
      <c r="CF63" s="227"/>
      <c r="CG63" s="227"/>
      <c r="CH63" s="227"/>
      <c r="CI63" s="227"/>
      <c r="CJ63" s="227"/>
      <c r="CK63" s="227"/>
      <c r="CL63" s="227"/>
      <c r="CM63" s="136"/>
      <c r="DH63" s="2"/>
      <c r="DI63" s="2"/>
      <c r="DJ63" s="2"/>
      <c r="DK63" s="2"/>
      <c r="DL63" s="2"/>
      <c r="DM63" s="493"/>
    </row>
    <row r="64" spans="25:117" ht="15.75" thickBot="1">
      <c r="Y64" s="136"/>
      <c r="AC64" s="221"/>
      <c r="AD64" s="222"/>
      <c r="AE64" s="213"/>
      <c r="AF64" s="212"/>
      <c r="AG64" s="212" t="e" cm="1">
        <f t="array" ref="AG64">_xlfn.IFS(AH64=1,$B$4,AH64=2,$B$5,AH64=3,$B$6,AH64=4,$B$7,AH64=5,$B$8,AH64=6,$B$9,AH64=7,$B$10)</f>
        <v>#N/A</v>
      </c>
      <c r="AH64" s="212"/>
      <c r="AI64" s="212"/>
      <c r="AJ64" s="212"/>
      <c r="AK64" s="212"/>
      <c r="AL64" s="212"/>
      <c r="AM64" s="212"/>
      <c r="AN64" s="214" t="e">
        <f t="shared" si="2"/>
        <v>#DIV/0!</v>
      </c>
      <c r="AO64" s="220"/>
      <c r="AP64" s="136"/>
      <c r="AT64" s="136"/>
      <c r="AU64" s="233"/>
      <c r="AV64" s="233"/>
      <c r="AW64" s="234"/>
      <c r="AX64" s="234"/>
      <c r="AY64" s="234"/>
      <c r="BA64" s="234"/>
      <c r="BB64" s="234"/>
      <c r="BC64" s="234"/>
      <c r="BD64" s="234"/>
      <c r="BE64" s="136"/>
      <c r="BF64" s="136"/>
      <c r="BG64" s="136"/>
      <c r="BL64" s="228"/>
      <c r="BM64" s="228"/>
      <c r="BN64" s="227"/>
      <c r="BO64" s="227"/>
      <c r="BP64" s="227"/>
      <c r="BQ64" s="227"/>
      <c r="BR64" s="227"/>
      <c r="BS64" s="227"/>
      <c r="BT64" s="227"/>
      <c r="BU64" s="227"/>
      <c r="BV64" s="136"/>
      <c r="BX64" s="136"/>
      <c r="CC64" s="228"/>
      <c r="CD64" s="228"/>
      <c r="CE64" s="227"/>
      <c r="CF64" s="227"/>
      <c r="CG64" s="227"/>
      <c r="CH64" s="227"/>
      <c r="CI64" s="227"/>
      <c r="CJ64" s="227"/>
      <c r="CK64" s="227"/>
      <c r="CL64" s="227"/>
      <c r="CM64" s="136"/>
      <c r="DH64" s="2"/>
      <c r="DI64" s="2"/>
      <c r="DJ64" s="2"/>
      <c r="DK64" s="2"/>
      <c r="DL64" s="2"/>
      <c r="DM64" s="493"/>
    </row>
    <row r="65" spans="25:117" ht="15.75" thickBot="1">
      <c r="Y65" s="136"/>
      <c r="AC65" s="215"/>
      <c r="AD65" s="222"/>
      <c r="AE65" s="213"/>
      <c r="AF65" s="212"/>
      <c r="AG65" s="212" t="e" cm="1">
        <f t="array" ref="AG65">_xlfn.IFS(AH65=1,$B$4,AH65=2,$B$5,AH65=3,$B$6,AH65=4,$B$7,AH65=5,$B$8,AH65=6,$B$9,AH65=7,$B$10)</f>
        <v>#N/A</v>
      </c>
      <c r="AH65" s="212"/>
      <c r="AI65" s="212"/>
      <c r="AJ65" s="212"/>
      <c r="AK65" s="212"/>
      <c r="AL65" s="212"/>
      <c r="AM65" s="212"/>
      <c r="AN65" s="214" t="e">
        <f t="shared" si="2"/>
        <v>#DIV/0!</v>
      </c>
      <c r="AP65" s="136"/>
      <c r="AT65" s="215"/>
      <c r="AU65" s="233"/>
      <c r="AV65" s="233"/>
      <c r="AW65" s="234"/>
      <c r="AX65" s="234"/>
      <c r="AY65" s="234"/>
      <c r="BA65" s="234"/>
      <c r="BB65" s="234"/>
      <c r="BC65" s="234"/>
      <c r="BD65" s="234"/>
      <c r="BE65" s="136"/>
      <c r="BF65" s="136"/>
      <c r="BG65" s="136"/>
      <c r="BL65" s="226"/>
      <c r="BM65" s="226"/>
      <c r="BN65" s="227"/>
      <c r="BO65" s="227"/>
      <c r="BP65" s="227"/>
      <c r="BQ65" s="227"/>
      <c r="BR65" s="227"/>
      <c r="BS65" s="227"/>
      <c r="BT65" s="227"/>
      <c r="BU65" s="227"/>
      <c r="BV65" s="136"/>
      <c r="BX65" s="136"/>
      <c r="CC65" s="228"/>
      <c r="CD65" s="228"/>
      <c r="CE65" s="227"/>
      <c r="CF65" s="227"/>
      <c r="CG65" s="227"/>
      <c r="CH65" s="227"/>
      <c r="CI65" s="227"/>
      <c r="CJ65" s="227"/>
      <c r="CK65" s="227"/>
      <c r="CL65" s="227"/>
      <c r="CM65" s="136"/>
      <c r="DH65" s="2"/>
      <c r="DI65" s="2"/>
      <c r="DJ65" s="2"/>
      <c r="DK65" s="2"/>
      <c r="DL65" s="2"/>
      <c r="DM65" s="493"/>
    </row>
    <row r="66" spans="25:117" ht="15.75" thickBot="1">
      <c r="Y66" s="136"/>
      <c r="AC66" s="221"/>
      <c r="AD66" s="212"/>
      <c r="AE66" s="213"/>
      <c r="AF66" s="212"/>
      <c r="AG66" s="212" t="e" cm="1">
        <f t="array" ref="AG66">_xlfn.IFS(AH66=1,$B$4,AH66=2,$B$5,AH66=3,$B$6,AH66=4,$B$7,AH66=5,$B$8,AH66=6,$B$9,AH66=7,$B$10)</f>
        <v>#N/A</v>
      </c>
      <c r="AH66" s="212"/>
      <c r="AI66" s="212"/>
      <c r="AJ66" s="212"/>
      <c r="AK66" s="212"/>
      <c r="AL66" s="212"/>
      <c r="AM66" s="212"/>
      <c r="AN66" s="214" t="e">
        <f t="shared" si="2"/>
        <v>#DIV/0!</v>
      </c>
      <c r="AO66" s="227"/>
      <c r="AP66" s="136"/>
      <c r="AT66" s="136"/>
      <c r="AU66" s="233"/>
      <c r="AV66" s="233"/>
      <c r="AW66" s="234"/>
      <c r="AX66" s="234"/>
      <c r="AY66" s="234"/>
      <c r="BA66" s="234"/>
      <c r="BB66" s="234"/>
      <c r="BC66" s="234"/>
      <c r="BD66" s="234"/>
      <c r="BE66" s="136"/>
      <c r="BF66" s="136"/>
      <c r="BG66" s="136"/>
      <c r="BL66" s="228"/>
      <c r="BM66" s="228"/>
      <c r="BN66" s="227"/>
      <c r="BO66" s="227"/>
      <c r="BP66" s="227"/>
      <c r="BQ66" s="227"/>
      <c r="BR66" s="227"/>
      <c r="BS66" s="227"/>
      <c r="BT66" s="227"/>
      <c r="BU66" s="227"/>
      <c r="BV66" s="136"/>
      <c r="BX66" s="136"/>
      <c r="CC66" s="226"/>
      <c r="CD66" s="226"/>
      <c r="CE66" s="227"/>
      <c r="CF66" s="227"/>
      <c r="CG66" s="227"/>
      <c r="CH66" s="227"/>
      <c r="CI66" s="227"/>
      <c r="CJ66" s="227"/>
      <c r="CK66" s="227"/>
      <c r="CL66" s="227"/>
      <c r="CM66" s="136"/>
      <c r="DH66" s="2"/>
      <c r="DI66" s="2"/>
      <c r="DJ66" s="2"/>
      <c r="DK66" s="2"/>
      <c r="DL66" s="2"/>
      <c r="DM66" s="493"/>
    </row>
    <row r="67" spans="25:117" ht="15.75" thickBot="1">
      <c r="Y67" s="136"/>
      <c r="AC67" s="221"/>
      <c r="AD67" s="222"/>
      <c r="AE67" s="213"/>
      <c r="AF67" s="212"/>
      <c r="AG67" s="212" t="e" cm="1">
        <f t="array" ref="AG67">_xlfn.IFS(AH67=1,$B$4,AH67=2,$B$5,AH67=3,$B$6,AH67=4,$B$7,AH67=5,$B$8,AH67=6,$B$9,AH67=7,$B$10)</f>
        <v>#N/A</v>
      </c>
      <c r="AH67" s="212"/>
      <c r="AI67" s="212"/>
      <c r="AJ67" s="212"/>
      <c r="AK67" s="212"/>
      <c r="AL67" s="212"/>
      <c r="AM67" s="212"/>
      <c r="AN67" s="214" t="e">
        <f t="shared" si="2"/>
        <v>#DIV/0!</v>
      </c>
      <c r="AO67" s="220"/>
      <c r="AP67" s="136"/>
      <c r="AT67" s="136"/>
      <c r="AU67" s="233"/>
      <c r="AV67" s="233"/>
      <c r="AW67" s="234"/>
      <c r="AX67" s="234"/>
      <c r="AY67" s="234"/>
      <c r="BA67" s="234"/>
      <c r="BB67" s="234"/>
      <c r="BC67" s="234"/>
      <c r="BD67" s="234"/>
      <c r="BE67" s="136"/>
      <c r="BF67" s="136"/>
      <c r="BG67" s="136"/>
      <c r="BL67" s="228"/>
      <c r="BM67" s="228"/>
      <c r="BN67" s="227"/>
      <c r="BO67" s="227"/>
      <c r="BP67" s="227"/>
      <c r="BQ67" s="227"/>
      <c r="BR67" s="227"/>
      <c r="BS67" s="227"/>
      <c r="BT67" s="227"/>
      <c r="BU67" s="227"/>
      <c r="BV67" s="136"/>
      <c r="BX67" s="136"/>
      <c r="CC67" s="228"/>
      <c r="CD67" s="228"/>
      <c r="CE67" s="227"/>
      <c r="CF67" s="227"/>
      <c r="CG67" s="227"/>
      <c r="CH67" s="227"/>
      <c r="CI67" s="227"/>
      <c r="CJ67" s="227"/>
      <c r="CK67" s="227"/>
      <c r="CL67" s="227"/>
      <c r="CM67" s="136"/>
      <c r="DH67" s="2"/>
      <c r="DI67" s="2"/>
      <c r="DJ67" s="2"/>
      <c r="DK67" s="2"/>
      <c r="DL67" s="2"/>
      <c r="DM67" s="493"/>
    </row>
    <row r="68" spans="25:117" ht="15.75" thickBot="1">
      <c r="Y68" s="136"/>
      <c r="AC68" s="221"/>
      <c r="AD68" s="222"/>
      <c r="AE68" s="213"/>
      <c r="AF68" s="212"/>
      <c r="AG68" s="212" t="e" cm="1">
        <f t="array" ref="AG68">_xlfn.IFS(AH68=1,$B$4,AH68=2,$B$5,AH68=3,$B$6,AH68=4,$B$7,AH68=5,$B$8,AH68=6,$B$9,AH68=7,$B$10)</f>
        <v>#N/A</v>
      </c>
      <c r="AH68" s="212"/>
      <c r="AI68" s="212"/>
      <c r="AJ68" s="212"/>
      <c r="AK68" s="212"/>
      <c r="AL68" s="212"/>
      <c r="AM68" s="212"/>
      <c r="AN68" s="214" t="e">
        <f t="shared" si="2"/>
        <v>#DIV/0!</v>
      </c>
      <c r="AO68" s="227"/>
      <c r="AP68" s="136"/>
      <c r="AT68" s="136"/>
      <c r="AU68" s="233"/>
      <c r="AV68" s="233"/>
      <c r="AW68" s="234"/>
      <c r="AX68" s="234"/>
      <c r="AY68" s="234"/>
      <c r="BA68" s="234"/>
      <c r="BB68" s="234"/>
      <c r="BC68" s="234"/>
      <c r="BD68" s="234"/>
      <c r="BE68" s="136"/>
      <c r="BF68" s="136"/>
      <c r="BG68" s="136"/>
      <c r="BL68" s="228"/>
      <c r="BM68" s="228"/>
      <c r="BN68" s="227"/>
      <c r="BO68" s="227"/>
      <c r="BP68" s="227"/>
      <c r="BQ68" s="227"/>
      <c r="BR68" s="227"/>
      <c r="BS68" s="227"/>
      <c r="BT68" s="227"/>
      <c r="BU68" s="227"/>
      <c r="BV68" s="136"/>
      <c r="BX68" s="136"/>
      <c r="CC68" s="233"/>
      <c r="CD68" s="233"/>
      <c r="CE68" s="234"/>
      <c r="CF68" s="234"/>
      <c r="CG68" s="234"/>
      <c r="CH68" s="234"/>
      <c r="CI68" s="234"/>
      <c r="CJ68" s="234"/>
      <c r="CK68" s="234"/>
      <c r="CL68" s="234"/>
      <c r="CM68" s="136"/>
      <c r="DH68" s="2"/>
      <c r="DI68" s="2"/>
      <c r="DJ68" s="2"/>
      <c r="DK68" s="2"/>
      <c r="DL68" s="2"/>
      <c r="DM68" s="493"/>
    </row>
    <row r="69" spans="25:117" ht="15.75" thickBot="1">
      <c r="Y69" s="136"/>
      <c r="AC69" s="221"/>
      <c r="AD69" s="222"/>
      <c r="AE69" s="213"/>
      <c r="AF69" s="212"/>
      <c r="AG69" s="212" t="e" cm="1">
        <f t="array" ref="AG69">_xlfn.IFS(AH69=1,$B$4,AH69=2,$B$5,AH69=3,$B$6,AH69=4,$B$7,AH69=5,$B$8,AH69=6,$B$9,AH69=7,$B$10)</f>
        <v>#N/A</v>
      </c>
      <c r="AH69" s="212"/>
      <c r="AI69" s="212"/>
      <c r="AJ69" s="212"/>
      <c r="AK69" s="212"/>
      <c r="AL69" s="212"/>
      <c r="AM69" s="212"/>
      <c r="AN69" s="214" t="e">
        <f t="shared" si="2"/>
        <v>#DIV/0!</v>
      </c>
      <c r="AO69" s="227"/>
      <c r="AP69" s="136"/>
      <c r="AT69" s="136"/>
      <c r="AU69" s="233"/>
      <c r="AV69" s="233"/>
      <c r="AW69" s="234"/>
      <c r="AX69" s="234"/>
      <c r="AY69" s="234"/>
      <c r="BA69" s="234"/>
      <c r="BB69" s="234"/>
      <c r="BC69" s="234"/>
      <c r="BD69" s="234"/>
      <c r="BE69" s="136"/>
      <c r="BF69" s="136"/>
      <c r="BG69" s="136"/>
      <c r="BL69" s="226"/>
      <c r="BM69" s="226"/>
      <c r="BN69" s="227"/>
      <c r="BO69" s="227"/>
      <c r="BP69" s="227"/>
      <c r="BQ69" s="227"/>
      <c r="BR69" s="227"/>
      <c r="BS69" s="227"/>
      <c r="BT69" s="227"/>
      <c r="BU69" s="227"/>
      <c r="BV69" s="136"/>
      <c r="BX69" s="136"/>
      <c r="CI69" s="81"/>
      <c r="CM69" s="136"/>
      <c r="DH69" s="2"/>
      <c r="DI69" s="2"/>
      <c r="DJ69" s="2"/>
      <c r="DK69" s="2"/>
      <c r="DL69" s="2"/>
      <c r="DM69" s="493"/>
    </row>
    <row r="70" spans="25:117" ht="15.75" thickBot="1">
      <c r="Y70" s="136"/>
      <c r="AC70" s="221"/>
      <c r="AD70" s="212"/>
      <c r="AE70" s="213"/>
      <c r="AF70" s="212"/>
      <c r="AG70" s="212" t="e" cm="1">
        <f t="array" ref="AG70">_xlfn.IFS(AH70=1,$B$4,AH70=2,$B$5,AH70=3,$B$6,AH70=4,$B$7,AH70=5,$B$8,AH70=6,$B$9,AH70=7,$B$10)</f>
        <v>#N/A</v>
      </c>
      <c r="AH70" s="212"/>
      <c r="AI70" s="212"/>
      <c r="AJ70" s="212"/>
      <c r="AK70" s="212"/>
      <c r="AL70" s="212"/>
      <c r="AM70" s="212"/>
      <c r="AN70" s="214" t="e">
        <f t="shared" si="2"/>
        <v>#DIV/0!</v>
      </c>
      <c r="AO70" s="227"/>
      <c r="AP70" s="136"/>
      <c r="AT70" s="136"/>
      <c r="AU70" s="233"/>
      <c r="AV70" s="233"/>
      <c r="AW70" s="234"/>
      <c r="AX70" s="234"/>
      <c r="AY70" s="234"/>
      <c r="BA70" s="234"/>
      <c r="BB70" s="234"/>
      <c r="BC70" s="234"/>
      <c r="BD70" s="234"/>
      <c r="BE70" s="136"/>
      <c r="BF70" s="136"/>
      <c r="BG70" s="136"/>
      <c r="BL70" s="228"/>
      <c r="BM70" s="228"/>
      <c r="BN70" s="227"/>
      <c r="BO70" s="227"/>
      <c r="BP70" s="227"/>
      <c r="BQ70" s="227"/>
      <c r="BR70" s="227"/>
      <c r="BS70" s="227"/>
      <c r="BT70" s="227"/>
      <c r="BU70" s="227"/>
      <c r="BV70" s="136"/>
      <c r="BX70" s="136"/>
      <c r="CI70" s="81"/>
      <c r="CM70" s="136"/>
      <c r="DH70" s="2"/>
      <c r="DI70" s="2"/>
      <c r="DJ70" s="2"/>
      <c r="DK70" s="2"/>
      <c r="DL70" s="2"/>
      <c r="DM70" s="493"/>
    </row>
    <row r="71" spans="25:117" ht="15.75" thickBot="1">
      <c r="Y71" s="136"/>
      <c r="AC71" s="215"/>
      <c r="AD71" s="222"/>
      <c r="AE71" s="213"/>
      <c r="AF71" s="212"/>
      <c r="AG71" s="212" t="e" cm="1">
        <f t="array" ref="AG71">_xlfn.IFS(AH71=1,$B$4,AH71=2,$B$5,AH71=3,$B$6,AH71=4,$B$7,AH71=5,$B$8,AH71=6,$B$9,AH71=7,$B$10)</f>
        <v>#N/A</v>
      </c>
      <c r="AH71" s="212"/>
      <c r="AI71" s="212"/>
      <c r="AJ71" s="212"/>
      <c r="AK71" s="212"/>
      <c r="AL71" s="212"/>
      <c r="AM71" s="212"/>
      <c r="AN71" s="214" t="e">
        <f t="shared" si="2"/>
        <v>#DIV/0!</v>
      </c>
      <c r="AO71" s="227"/>
      <c r="AP71" s="136"/>
      <c r="AT71" s="215"/>
      <c r="BE71" s="136"/>
      <c r="BF71" s="136"/>
      <c r="BG71" s="136"/>
      <c r="BL71" s="233"/>
      <c r="BM71" s="233"/>
      <c r="BN71" s="234"/>
      <c r="BO71" s="234"/>
      <c r="BP71" s="234"/>
      <c r="BQ71" s="234"/>
      <c r="BR71" s="234"/>
      <c r="BS71" s="234"/>
      <c r="BT71" s="234"/>
      <c r="BU71" s="234"/>
      <c r="BV71" s="136"/>
      <c r="BX71" s="136"/>
      <c r="CI71" s="81"/>
      <c r="CM71" s="136"/>
      <c r="DH71" s="2"/>
      <c r="DI71" s="2"/>
      <c r="DJ71" s="2"/>
      <c r="DK71" s="2"/>
      <c r="DL71" s="2"/>
      <c r="DM71" s="493"/>
    </row>
    <row r="72" spans="25:117" ht="15.75" thickBot="1">
      <c r="Y72" s="136"/>
      <c r="AC72" s="215"/>
      <c r="AD72" s="223"/>
      <c r="AE72" s="217"/>
      <c r="AF72" s="216"/>
      <c r="AG72" s="212" t="e" cm="1">
        <f t="array" ref="AG72">_xlfn.IFS(AH72=1,$B$4,AH72=2,$B$5,AH72=3,$B$6,AH72=4,$B$7,AH72=5,$B$8,AH72=6,$B$9,AH72=7,$B$10)</f>
        <v>#N/A</v>
      </c>
      <c r="AH72" s="212"/>
      <c r="AI72" s="212"/>
      <c r="AJ72" s="216"/>
      <c r="AK72" s="216"/>
      <c r="AL72" s="216"/>
      <c r="AM72" s="216"/>
      <c r="AN72" s="214" t="e">
        <f t="shared" si="2"/>
        <v>#DIV/0!</v>
      </c>
      <c r="AO72" s="227"/>
      <c r="AP72" s="136"/>
      <c r="AT72" s="215"/>
      <c r="BE72" s="136"/>
      <c r="BF72" s="136"/>
      <c r="BG72" s="136"/>
      <c r="BV72" s="136"/>
      <c r="BX72" s="136"/>
      <c r="CI72" s="81"/>
      <c r="CM72" s="136"/>
      <c r="DH72" s="2"/>
      <c r="DI72" s="2"/>
      <c r="DJ72" s="2"/>
      <c r="DK72" s="2"/>
      <c r="DL72" s="2"/>
      <c r="DM72" s="493"/>
    </row>
    <row r="73" spans="25:117" ht="15.75" thickBot="1">
      <c r="Y73" s="136"/>
      <c r="AC73" s="221"/>
      <c r="AD73" s="223"/>
      <c r="AE73" s="217"/>
      <c r="AF73" s="216"/>
      <c r="AG73" s="212" t="e" cm="1">
        <f t="array" ref="AG73">_xlfn.IFS(AH73=1,$B$4,AH73=2,$B$5,AH73=3,$B$6,AH73=4,$B$7,AH73=5,$B$8,AH73=6,$B$9,AH73=7,$B$10)</f>
        <v>#N/A</v>
      </c>
      <c r="AH73" s="212"/>
      <c r="AI73" s="212"/>
      <c r="AJ73" s="216"/>
      <c r="AK73" s="216"/>
      <c r="AL73" s="216"/>
      <c r="AM73" s="216"/>
      <c r="AN73" s="214" t="e">
        <f t="shared" si="2"/>
        <v>#DIV/0!</v>
      </c>
      <c r="AO73" s="227"/>
      <c r="AP73" s="136"/>
      <c r="AT73" s="136"/>
      <c r="BE73" s="136"/>
      <c r="BF73" s="136"/>
      <c r="BG73" s="136"/>
      <c r="BV73" s="136"/>
      <c r="BX73" s="136"/>
      <c r="CI73" s="81"/>
      <c r="CM73" s="136"/>
      <c r="DH73" s="2"/>
      <c r="DI73" s="2"/>
      <c r="DJ73" s="2"/>
      <c r="DK73" s="2"/>
      <c r="DL73" s="2"/>
      <c r="DM73" s="493"/>
    </row>
    <row r="74" spans="25:117" ht="15.75" thickBot="1">
      <c r="Y74" s="136"/>
      <c r="AC74" s="221"/>
      <c r="AD74" s="223"/>
      <c r="AE74" s="217"/>
      <c r="AF74" s="212"/>
      <c r="AG74" s="212" t="e" cm="1">
        <f t="array" ref="AG74">_xlfn.IFS(AH74=1,$B$4,AH74=2,$B$5,AH74=3,$B$6,AH74=4,$B$7,AH74=5,$B$8,AH74=6,$B$9,AH74=7,$B$10)</f>
        <v>#N/A</v>
      </c>
      <c r="AH74" s="212"/>
      <c r="AI74" s="212"/>
      <c r="AJ74" s="212"/>
      <c r="AK74" s="216"/>
      <c r="AL74" s="216"/>
      <c r="AM74" s="216"/>
      <c r="AN74" s="214" t="e">
        <f t="shared" si="2"/>
        <v>#DIV/0!</v>
      </c>
      <c r="AO74" s="227"/>
      <c r="AP74" s="136"/>
      <c r="AT74" s="136"/>
      <c r="BE74" s="136"/>
      <c r="BF74" s="136"/>
      <c r="BG74" s="136"/>
      <c r="BV74" s="136"/>
      <c r="BX74" s="136"/>
      <c r="CI74" s="81"/>
      <c r="CM74" s="136"/>
      <c r="DH74" s="2"/>
      <c r="DI74" s="2"/>
      <c r="DJ74" s="2"/>
      <c r="DK74" s="2"/>
      <c r="DL74" s="2"/>
      <c r="DM74" s="493"/>
    </row>
    <row r="75" spans="25:117" ht="15.75" thickBot="1">
      <c r="Y75" s="136"/>
      <c r="AC75" s="215"/>
      <c r="AD75" s="223"/>
      <c r="AE75" s="217"/>
      <c r="AF75" s="216"/>
      <c r="AG75" s="212" t="e" cm="1">
        <f t="array" ref="AG75">_xlfn.IFS(AH75=1,$B$4,AH75=2,$B$5,AH75=3,$B$6,AH75=4,$B$7,AH75=5,$B$8,AH75=6,$B$9,AH75=7,$B$10)</f>
        <v>#N/A</v>
      </c>
      <c r="AH75" s="212"/>
      <c r="AI75" s="212"/>
      <c r="AJ75" s="216"/>
      <c r="AK75" s="216"/>
      <c r="AL75" s="216"/>
      <c r="AM75" s="216"/>
      <c r="AN75" s="214" t="e">
        <f t="shared" si="2"/>
        <v>#DIV/0!</v>
      </c>
      <c r="AO75" s="227"/>
      <c r="AP75" s="136"/>
      <c r="AT75" s="215"/>
      <c r="BE75" s="136"/>
      <c r="BF75" s="136"/>
      <c r="BG75" s="136"/>
      <c r="BV75" s="136"/>
      <c r="BX75" s="136"/>
      <c r="CI75" s="81"/>
      <c r="CM75" s="136"/>
      <c r="DH75" s="2"/>
      <c r="DI75" s="2"/>
      <c r="DJ75" s="2"/>
      <c r="DK75" s="2"/>
      <c r="DL75" s="2"/>
      <c r="DM75" s="493"/>
    </row>
    <row r="76" spans="25:117" ht="15.75" thickBot="1">
      <c r="Y76" s="136"/>
      <c r="AC76" s="221"/>
      <c r="AD76" s="223"/>
      <c r="AE76" s="217"/>
      <c r="AF76" s="216"/>
      <c r="AG76" s="212" t="e" cm="1">
        <f t="array" ref="AG76">_xlfn.IFS(AH76=1,$B$4,AH76=2,$B$5,AH76=3,$B$6,AH76=4,$B$7,AH76=5,$B$8,AH76=6,$B$9,AH76=7,$B$10)</f>
        <v>#N/A</v>
      </c>
      <c r="AH76" s="212"/>
      <c r="AI76" s="212"/>
      <c r="AJ76" s="216"/>
      <c r="AK76" s="216"/>
      <c r="AL76" s="216"/>
      <c r="AM76" s="216"/>
      <c r="AN76" s="214" t="e">
        <f t="shared" si="2"/>
        <v>#DIV/0!</v>
      </c>
      <c r="AO76" s="227"/>
      <c r="AP76" s="136"/>
      <c r="AT76" s="136"/>
      <c r="BE76" s="136"/>
      <c r="BF76" s="136"/>
      <c r="BG76" s="136"/>
      <c r="BV76" s="136"/>
      <c r="BX76" s="136"/>
      <c r="CI76" s="81"/>
      <c r="CM76" s="136"/>
      <c r="DH76" s="2"/>
      <c r="DI76" s="2"/>
      <c r="DJ76" s="2"/>
      <c r="DK76" s="2"/>
      <c r="DL76" s="2"/>
      <c r="DM76" s="493"/>
    </row>
    <row r="77" spans="25:117" ht="15.75" thickBot="1">
      <c r="Y77" s="136"/>
      <c r="AC77" s="215"/>
      <c r="AD77" s="223"/>
      <c r="AE77" s="217"/>
      <c r="AF77" s="216"/>
      <c r="AG77" s="212" t="e" cm="1">
        <f t="array" ref="AG77">_xlfn.IFS(AH77=1,$B$4,AH77=2,$B$5,AH77=3,$B$6,AH77=4,$B$7,AH77=5,$B$8,AH77=6,$B$9,AH77=7,$B$10)</f>
        <v>#N/A</v>
      </c>
      <c r="AH77" s="212"/>
      <c r="AI77" s="212"/>
      <c r="AJ77" s="216"/>
      <c r="AK77" s="216"/>
      <c r="AL77" s="216"/>
      <c r="AM77" s="216"/>
      <c r="AN77" s="214" t="e">
        <f t="shared" si="2"/>
        <v>#DIV/0!</v>
      </c>
      <c r="AO77" s="227"/>
      <c r="AP77" s="136"/>
      <c r="AT77" s="215"/>
      <c r="BE77" s="136"/>
      <c r="BF77" s="136"/>
      <c r="BG77" s="136"/>
      <c r="BV77" s="136"/>
      <c r="BX77" s="136"/>
      <c r="CI77" s="81"/>
      <c r="CM77" s="136"/>
      <c r="DH77" s="2"/>
      <c r="DI77" s="2"/>
      <c r="DJ77" s="2"/>
      <c r="DK77" s="2"/>
      <c r="DL77" s="2"/>
      <c r="DM77" s="493"/>
    </row>
    <row r="78" spans="25:117" ht="15.75" thickBot="1">
      <c r="Y78" s="136"/>
      <c r="AC78" s="221"/>
      <c r="AD78" s="223"/>
      <c r="AE78" s="217"/>
      <c r="AF78" s="216"/>
      <c r="AG78" s="212" t="e" cm="1">
        <f t="array" ref="AG78">_xlfn.IFS(AH78=1,$B$4,AH78=2,$B$5,AH78=3,$B$6,AH78=4,$B$7,AH78=5,$B$8,AH78=6,$B$9,AH78=7,$B$10)</f>
        <v>#N/A</v>
      </c>
      <c r="AH78" s="212"/>
      <c r="AI78" s="212"/>
      <c r="AJ78" s="216"/>
      <c r="AK78" s="216"/>
      <c r="AL78" s="216"/>
      <c r="AM78" s="216"/>
      <c r="AN78" s="214" t="e">
        <f t="shared" si="2"/>
        <v>#DIV/0!</v>
      </c>
      <c r="AP78" s="136"/>
      <c r="AT78" s="136"/>
      <c r="BE78" s="136"/>
      <c r="BF78" s="136"/>
      <c r="BG78" s="136"/>
      <c r="BV78" s="136"/>
      <c r="BX78" s="136"/>
      <c r="CI78" s="81"/>
      <c r="CM78" s="136"/>
      <c r="DH78" s="2"/>
      <c r="DI78" s="2"/>
      <c r="DJ78" s="2"/>
      <c r="DK78" s="2"/>
      <c r="DL78" s="2"/>
      <c r="DM78" s="493"/>
    </row>
    <row r="79" spans="25:117" ht="15.75" thickBot="1">
      <c r="Y79" s="136"/>
      <c r="AC79" s="221"/>
      <c r="AD79" s="223"/>
      <c r="AE79" s="217"/>
      <c r="AF79" s="247"/>
      <c r="AG79" s="212" t="e" cm="1">
        <f t="array" ref="AG79">_xlfn.IFS(AH79=1,$B$4,AH79=2,$B$5,AH79=3,$B$6,AH79=4,$B$7,AH79=5,$B$8,AH79=6,$B$9,AH79=7,$B$10)</f>
        <v>#N/A</v>
      </c>
      <c r="AH79" s="212"/>
      <c r="AI79" s="212"/>
      <c r="AJ79" s="247"/>
      <c r="AK79" s="216"/>
      <c r="AL79" s="216"/>
      <c r="AM79" s="216"/>
      <c r="AN79" s="214" t="e">
        <f t="shared" si="2"/>
        <v>#DIV/0!</v>
      </c>
      <c r="AO79" s="227"/>
      <c r="AP79" s="136"/>
      <c r="AT79" s="136"/>
      <c r="BE79" s="136"/>
      <c r="BF79" s="136"/>
      <c r="BG79" s="136"/>
      <c r="BV79" s="136"/>
      <c r="BX79" s="136"/>
      <c r="CI79" s="81"/>
      <c r="CM79" s="136"/>
      <c r="DH79" s="2"/>
      <c r="DI79" s="2"/>
      <c r="DJ79" s="2"/>
      <c r="DK79" s="2"/>
      <c r="DL79" s="2"/>
      <c r="DM79" s="493"/>
    </row>
    <row r="80" spans="25:117" ht="15.75" thickBot="1">
      <c r="Y80" s="136"/>
      <c r="AC80" s="221"/>
      <c r="AD80" s="223"/>
      <c r="AE80" s="217"/>
      <c r="AF80" s="216"/>
      <c r="AG80" s="212" t="e" cm="1">
        <f t="array" ref="AG80">_xlfn.IFS(AH80=1,$B$4,AH80=2,$B$5,AH80=3,$B$6,AH80=4,$B$7,AH80=5,$B$8,AH80=6,$B$9,AH80=7,$B$10)</f>
        <v>#N/A</v>
      </c>
      <c r="AH80" s="212"/>
      <c r="AI80" s="212"/>
      <c r="AJ80" s="216"/>
      <c r="AK80" s="216"/>
      <c r="AL80" s="216"/>
      <c r="AM80" s="216"/>
      <c r="AN80" s="214" t="e">
        <f t="shared" si="2"/>
        <v>#DIV/0!</v>
      </c>
      <c r="AO80" s="227"/>
      <c r="AP80" s="136"/>
      <c r="AT80" s="136"/>
      <c r="BE80" s="136"/>
      <c r="BF80" s="136"/>
      <c r="BG80" s="136"/>
      <c r="BV80" s="136"/>
      <c r="BX80" s="136"/>
      <c r="CI80" s="81"/>
      <c r="CM80" s="136"/>
      <c r="DH80" s="2"/>
      <c r="DI80" s="2"/>
      <c r="DJ80" s="2"/>
      <c r="DK80" s="2"/>
      <c r="DL80" s="2"/>
      <c r="DM80" s="493"/>
    </row>
    <row r="81" spans="25:117" ht="15.75" thickBot="1">
      <c r="Y81" s="136"/>
      <c r="AC81" s="215"/>
      <c r="AD81" s="223"/>
      <c r="AE81" s="217"/>
      <c r="AF81" s="216"/>
      <c r="AG81" s="212" t="e" cm="1">
        <f t="array" ref="AG81">_xlfn.IFS(AH81=1,$B$4,AH81=2,$B$5,AH81=3,$B$6,AH81=4,$B$7,AH81=5,$B$8,AH81=6,$B$9,AH81=7,$B$10)</f>
        <v>#N/A</v>
      </c>
      <c r="AH81" s="212"/>
      <c r="AI81" s="212"/>
      <c r="AJ81" s="216"/>
      <c r="AK81" s="216"/>
      <c r="AL81" s="216"/>
      <c r="AM81" s="216"/>
      <c r="AN81" s="214" t="e">
        <f t="shared" si="2"/>
        <v>#DIV/0!</v>
      </c>
      <c r="AO81" s="227"/>
      <c r="AP81" s="136"/>
      <c r="AT81" s="215"/>
      <c r="BE81" s="136"/>
      <c r="BF81" s="136"/>
      <c r="BG81" s="136"/>
      <c r="BV81" s="136"/>
      <c r="BX81" s="136"/>
      <c r="CI81" s="81"/>
      <c r="CM81" s="136"/>
      <c r="DH81" s="2"/>
      <c r="DI81" s="2"/>
      <c r="DJ81" s="2"/>
      <c r="DK81" s="2"/>
      <c r="DL81" s="2"/>
      <c r="DM81" s="493"/>
    </row>
    <row r="82" spans="25:117" ht="15.75" thickBot="1">
      <c r="Y82" s="136"/>
      <c r="AC82" s="215"/>
      <c r="AD82" s="223"/>
      <c r="AE82" s="217"/>
      <c r="AF82" s="216"/>
      <c r="AG82" s="212" t="e" cm="1">
        <f t="array" ref="AG82">_xlfn.IFS(AH82=1,$B$4,AH82=2,$B$5,AH82=3,$B$6,AH82=4,$B$7,AH82=5,$B$8,AH82=6,$B$9,AH82=7,$B$10)</f>
        <v>#N/A</v>
      </c>
      <c r="AH82" s="212"/>
      <c r="AI82" s="212"/>
      <c r="AJ82" s="216"/>
      <c r="AK82" s="216"/>
      <c r="AL82" s="216"/>
      <c r="AM82" s="216"/>
      <c r="AN82" s="214" t="e">
        <f t="shared" si="2"/>
        <v>#DIV/0!</v>
      </c>
      <c r="AP82" s="136"/>
      <c r="AT82" s="215"/>
      <c r="BE82" s="136"/>
      <c r="BF82" s="136"/>
      <c r="BG82" s="136"/>
      <c r="BV82" s="136"/>
      <c r="BX82" s="136"/>
      <c r="CI82" s="81"/>
      <c r="CM82" s="136"/>
      <c r="DH82" s="2"/>
      <c r="DI82" s="2"/>
      <c r="DJ82" s="2"/>
      <c r="DK82" s="2"/>
      <c r="DL82" s="2"/>
      <c r="DM82" s="493"/>
    </row>
    <row r="83" spans="25:117" ht="15.75" thickBot="1">
      <c r="Y83" s="136"/>
      <c r="AC83" s="215"/>
      <c r="AD83" s="223"/>
      <c r="AE83" s="217"/>
      <c r="AF83" s="216"/>
      <c r="AG83" s="212" t="e" cm="1">
        <f t="array" ref="AG83">_xlfn.IFS(AH83=1,$B$4,AH83=2,$B$5,AH83=3,$B$6,AH83=4,$B$7,AH83=5,$B$8,AH83=6,$B$9,AH83=7,$B$10)</f>
        <v>#N/A</v>
      </c>
      <c r="AH83" s="212"/>
      <c r="AI83" s="212"/>
      <c r="AJ83" s="216"/>
      <c r="AK83" s="216"/>
      <c r="AL83" s="216"/>
      <c r="AM83" s="216"/>
      <c r="AN83" s="214" t="e">
        <f t="shared" si="2"/>
        <v>#DIV/0!</v>
      </c>
      <c r="AO83" s="227"/>
      <c r="AP83" s="136"/>
      <c r="AT83" s="215"/>
      <c r="BE83" s="136"/>
      <c r="BF83" s="136"/>
      <c r="BG83" s="136"/>
      <c r="BV83" s="136"/>
      <c r="BX83" s="136"/>
      <c r="CI83" s="81"/>
      <c r="CM83" s="136"/>
      <c r="DH83" s="2"/>
      <c r="DI83" s="2"/>
      <c r="DJ83" s="2"/>
      <c r="DK83" s="2"/>
      <c r="DL83" s="2"/>
      <c r="DM83" s="493"/>
    </row>
    <row r="84" spans="25:117" ht="15.75" thickBot="1">
      <c r="Y84" s="136"/>
      <c r="AC84" s="215"/>
      <c r="AD84" s="223"/>
      <c r="AE84" s="217"/>
      <c r="AF84" s="216"/>
      <c r="AG84" s="212" t="e" cm="1">
        <f t="array" ref="AG84">_xlfn.IFS(AH84=1,$B$4,AH84=2,$B$5,AH84=3,$B$6,AH84=4,$B$7,AH84=5,$B$8,AH84=6,$B$9,AH84=7,$B$10)</f>
        <v>#N/A</v>
      </c>
      <c r="AH84" s="212"/>
      <c r="AI84" s="212"/>
      <c r="AJ84" s="216"/>
      <c r="AK84" s="216"/>
      <c r="AL84" s="216"/>
      <c r="AM84" s="216"/>
      <c r="AN84" s="214" t="e">
        <f t="shared" si="2"/>
        <v>#DIV/0!</v>
      </c>
      <c r="AO84" s="227"/>
      <c r="AP84" s="136"/>
      <c r="AT84" s="215"/>
      <c r="BE84" s="136"/>
      <c r="BF84" s="136"/>
      <c r="BG84" s="136"/>
      <c r="BV84" s="136"/>
      <c r="BX84" s="136"/>
      <c r="CI84" s="81"/>
      <c r="CM84" s="136"/>
      <c r="DH84" s="2"/>
      <c r="DI84" s="2"/>
      <c r="DJ84" s="2"/>
      <c r="DK84" s="2"/>
      <c r="DL84" s="2"/>
      <c r="DM84" s="493"/>
    </row>
    <row r="85" spans="25:117" ht="15.75" thickBot="1">
      <c r="Y85" s="136"/>
      <c r="AC85" s="221"/>
      <c r="AD85" s="223"/>
      <c r="AE85" s="217"/>
      <c r="AF85" s="216"/>
      <c r="AG85" s="212" t="e" cm="1">
        <f t="array" ref="AG85">_xlfn.IFS(AH85=1,$B$4,AH85=2,$B$5,AH85=3,$B$6,AH85=4,$B$7,AH85=5,$B$8,AH85=6,$B$9,AH85=7,$B$10)</f>
        <v>#N/A</v>
      </c>
      <c r="AH85" s="212"/>
      <c r="AI85" s="212"/>
      <c r="AJ85" s="216"/>
      <c r="AK85" s="216"/>
      <c r="AL85" s="216"/>
      <c r="AM85" s="216"/>
      <c r="AN85" s="214" t="e">
        <f t="shared" si="2"/>
        <v>#DIV/0!</v>
      </c>
      <c r="AO85" s="227"/>
      <c r="AP85" s="136"/>
      <c r="AT85" s="136"/>
      <c r="BE85" s="136"/>
      <c r="BF85" s="136"/>
      <c r="BG85" s="136"/>
      <c r="BV85" s="136"/>
      <c r="BX85" s="136"/>
      <c r="CI85" s="81"/>
      <c r="CM85" s="136"/>
      <c r="DH85" s="2"/>
      <c r="DI85" s="2"/>
      <c r="DJ85" s="2"/>
      <c r="DK85" s="2"/>
      <c r="DL85" s="2"/>
      <c r="DM85" s="493"/>
    </row>
    <row r="86" spans="25:117" ht="15.75" thickBot="1">
      <c r="Y86" s="136"/>
      <c r="AC86" s="221"/>
      <c r="AD86" s="223"/>
      <c r="AE86" s="217"/>
      <c r="AF86" s="216"/>
      <c r="AG86" s="212" t="e" cm="1">
        <f t="array" ref="AG86">_xlfn.IFS(AH86=1,$B$4,AH86=2,$B$5,AH86=3,$B$6,AH86=4,$B$7,AH86=5,$B$8,AH86=6,$B$9,AH86=7,$B$10)</f>
        <v>#N/A</v>
      </c>
      <c r="AH86" s="212"/>
      <c r="AI86" s="212"/>
      <c r="AJ86" s="216"/>
      <c r="AK86" s="216"/>
      <c r="AL86" s="216"/>
      <c r="AM86" s="216"/>
      <c r="AN86" s="214" t="e">
        <f t="shared" si="2"/>
        <v>#DIV/0!</v>
      </c>
      <c r="AO86" s="227"/>
      <c r="AP86" s="136"/>
      <c r="AT86" s="136"/>
      <c r="BE86" s="136"/>
      <c r="BF86" s="136"/>
      <c r="BG86" s="136"/>
      <c r="BV86" s="136"/>
      <c r="BX86" s="136"/>
      <c r="CI86" s="81"/>
      <c r="CM86" s="136"/>
      <c r="DH86" s="2"/>
      <c r="DI86" s="2"/>
      <c r="DJ86" s="2"/>
      <c r="DK86" s="2"/>
      <c r="DL86" s="2"/>
      <c r="DM86" s="493"/>
    </row>
    <row r="87" spans="25:117" ht="15.75" thickBot="1">
      <c r="Y87" s="136"/>
      <c r="AC87" s="215"/>
      <c r="AD87" s="223"/>
      <c r="AE87" s="217"/>
      <c r="AF87" s="216"/>
      <c r="AG87" s="212" t="e" cm="1">
        <f t="array" ref="AG87">_xlfn.IFS(AH87=1,$B$4,AH87=2,$B$5,AH87=3,$B$6,AH87=4,$B$7,AH87=5,$B$8,AH87=6,$B$9,AH87=7,$B$10)</f>
        <v>#N/A</v>
      </c>
      <c r="AH87" s="212"/>
      <c r="AI87" s="212"/>
      <c r="AJ87" s="216"/>
      <c r="AK87" s="216"/>
      <c r="AL87" s="216"/>
      <c r="AM87" s="216"/>
      <c r="AN87" s="214" t="e">
        <f t="shared" si="2"/>
        <v>#DIV/0!</v>
      </c>
      <c r="AO87" s="227"/>
      <c r="AP87" s="136"/>
      <c r="AT87" s="215"/>
      <c r="BE87" s="136"/>
      <c r="BF87" s="136"/>
      <c r="BG87" s="136"/>
      <c r="BV87" s="136"/>
      <c r="BX87" s="136"/>
      <c r="CI87" s="81"/>
      <c r="CM87" s="136"/>
      <c r="DH87" s="2"/>
      <c r="DI87" s="2"/>
      <c r="DJ87" s="2"/>
      <c r="DK87" s="2"/>
      <c r="DL87" s="2"/>
      <c r="DM87" s="493"/>
    </row>
    <row r="88" spans="25:117" ht="15.75" thickBot="1">
      <c r="Y88" s="136"/>
      <c r="AC88" s="215"/>
      <c r="AD88" s="223"/>
      <c r="AE88" s="217"/>
      <c r="AF88" s="216"/>
      <c r="AG88" s="212" t="e" cm="1">
        <f t="array" ref="AG88">_xlfn.IFS(AH88=1,$B$4,AH88=2,$B$5,AH88=3,$B$6,AH88=4,$B$7,AH88=5,$B$8,AH88=6,$B$9,AH88=7,$B$10)</f>
        <v>#N/A</v>
      </c>
      <c r="AH88" s="212"/>
      <c r="AI88" s="212"/>
      <c r="AJ88" s="216"/>
      <c r="AK88" s="216"/>
      <c r="AL88" s="216"/>
      <c r="AM88" s="216"/>
      <c r="AN88" s="214" t="e">
        <f t="shared" si="2"/>
        <v>#DIV/0!</v>
      </c>
      <c r="AO88" s="227"/>
      <c r="AP88" s="136"/>
      <c r="AT88" s="215"/>
      <c r="BE88" s="136"/>
      <c r="BF88" s="136"/>
      <c r="BG88" s="136"/>
      <c r="BV88" s="136"/>
      <c r="BX88" s="136"/>
      <c r="CI88" s="81"/>
      <c r="CM88" s="136"/>
      <c r="DH88" s="2"/>
      <c r="DI88" s="2"/>
      <c r="DJ88" s="2"/>
      <c r="DK88" s="2"/>
      <c r="DL88" s="2"/>
      <c r="DM88" s="493"/>
    </row>
    <row r="89" spans="25:117">
      <c r="Y89" s="136"/>
      <c r="AC89" s="215"/>
      <c r="AD89" s="228"/>
      <c r="AE89" s="248"/>
      <c r="AF89" s="227"/>
      <c r="AG89" s="227"/>
      <c r="AH89" s="227"/>
      <c r="AI89" s="227"/>
      <c r="AJ89" s="227"/>
      <c r="AK89" s="227"/>
      <c r="AL89" s="227"/>
      <c r="AM89" s="227"/>
      <c r="AN89" s="136"/>
      <c r="AO89" s="136"/>
      <c r="AP89" s="136"/>
      <c r="AT89" s="215"/>
      <c r="BE89" s="136"/>
      <c r="BF89" s="136"/>
      <c r="BG89" s="136"/>
      <c r="BV89" s="136"/>
      <c r="BX89" s="136"/>
      <c r="CI89" s="81"/>
      <c r="CM89" s="136"/>
      <c r="DH89" s="2"/>
      <c r="DI89" s="2"/>
      <c r="DJ89" s="2"/>
      <c r="DK89" s="2"/>
      <c r="DL89" s="2"/>
      <c r="DM89" s="493"/>
    </row>
    <row r="90" spans="25:117">
      <c r="DH90" s="2"/>
      <c r="DI90" s="2"/>
      <c r="DJ90" s="2"/>
      <c r="DK90" s="2"/>
      <c r="DL90" s="2"/>
      <c r="DM90" s="493"/>
    </row>
    <row r="91" spans="25:117">
      <c r="DH91" s="2"/>
      <c r="DI91" s="2"/>
      <c r="DJ91" s="2"/>
      <c r="DK91" s="2"/>
      <c r="DL91" s="2"/>
      <c r="DM91" s="493"/>
    </row>
    <row r="92" spans="25:117">
      <c r="DH92" s="2"/>
      <c r="DI92" s="2"/>
      <c r="DJ92" s="2"/>
      <c r="DK92" s="2"/>
      <c r="DL92" s="2"/>
      <c r="DM92" s="493"/>
    </row>
    <row r="93" spans="25:117">
      <c r="DH93" s="2"/>
      <c r="DI93" s="2"/>
      <c r="DJ93" s="2"/>
      <c r="DK93" s="2"/>
      <c r="DL93" s="2"/>
      <c r="DM93" s="493"/>
    </row>
    <row r="94" spans="25:117">
      <c r="DH94" s="2"/>
      <c r="DI94" s="2"/>
      <c r="DJ94" s="2"/>
      <c r="DK94" s="2"/>
      <c r="DL94" s="2"/>
      <c r="DM94" s="493"/>
    </row>
    <row r="95" spans="25:117">
      <c r="DH95" s="2"/>
      <c r="DI95" s="2"/>
      <c r="DJ95" s="2"/>
      <c r="DK95" s="2"/>
      <c r="DL95" s="2"/>
      <c r="DM95" s="493"/>
    </row>
    <row r="96" spans="25:117">
      <c r="DH96" s="2"/>
      <c r="DI96" s="2"/>
      <c r="DJ96" s="2"/>
      <c r="DK96" s="2"/>
      <c r="DL96" s="2"/>
      <c r="DM96" s="493"/>
    </row>
    <row r="97" spans="112:117">
      <c r="DH97" s="2"/>
      <c r="DI97" s="2"/>
      <c r="DJ97" s="2"/>
      <c r="DK97" s="2"/>
      <c r="DL97" s="2"/>
      <c r="DM97" s="493"/>
    </row>
    <row r="98" spans="112:117">
      <c r="DH98" s="2"/>
      <c r="DI98" s="2"/>
      <c r="DJ98" s="2"/>
      <c r="DK98" s="2"/>
      <c r="DL98" s="2"/>
      <c r="DM98" s="493"/>
    </row>
    <row r="99" spans="112:117">
      <c r="DH99" s="2"/>
      <c r="DI99" s="2"/>
      <c r="DJ99" s="2"/>
      <c r="DK99" s="2"/>
      <c r="DL99" s="2"/>
      <c r="DM99" s="493"/>
    </row>
    <row r="100" spans="112:117">
      <c r="DH100" s="2"/>
      <c r="DI100" s="2"/>
      <c r="DJ100" s="2"/>
      <c r="DK100" s="2"/>
      <c r="DL100" s="2"/>
      <c r="DM100" s="493"/>
    </row>
    <row r="101" spans="112:117">
      <c r="DH101" s="2"/>
      <c r="DI101" s="2"/>
      <c r="DJ101" s="2"/>
      <c r="DK101" s="2"/>
      <c r="DL101" s="2"/>
      <c r="DM101" s="493"/>
    </row>
    <row r="102" spans="112:117">
      <c r="DH102" s="2"/>
      <c r="DI102" s="2"/>
      <c r="DJ102" s="2"/>
      <c r="DK102" s="2"/>
      <c r="DL102" s="2"/>
      <c r="DM102" s="493"/>
    </row>
    <row r="103" spans="112:117">
      <c r="DH103" s="2"/>
      <c r="DI103" s="2"/>
      <c r="DJ103" s="2"/>
      <c r="DK103" s="2"/>
      <c r="DL103" s="2"/>
      <c r="DM103" s="493"/>
    </row>
    <row r="104" spans="112:117">
      <c r="DH104" s="2"/>
      <c r="DI104" s="2"/>
      <c r="DJ104" s="2"/>
      <c r="DK104" s="2"/>
      <c r="DL104" s="2"/>
      <c r="DM104" s="493"/>
    </row>
    <row r="105" spans="112:117">
      <c r="DH105" s="2"/>
      <c r="DI105" s="2"/>
      <c r="DJ105" s="2"/>
      <c r="DK105" s="2"/>
      <c r="DL105" s="2"/>
      <c r="DM105" s="493"/>
    </row>
    <row r="106" spans="112:117">
      <c r="DH106" s="2"/>
      <c r="DI106" s="2"/>
      <c r="DJ106" s="2"/>
      <c r="DK106" s="2"/>
      <c r="DL106" s="2"/>
      <c r="DM106" s="493"/>
    </row>
    <row r="107" spans="112:117">
      <c r="DH107" s="2"/>
      <c r="DI107" s="2"/>
      <c r="DJ107" s="2"/>
      <c r="DK107" s="2"/>
      <c r="DL107" s="2"/>
      <c r="DM107" s="493"/>
    </row>
    <row r="108" spans="112:117">
      <c r="DH108" s="2"/>
      <c r="DI108" s="2"/>
      <c r="DJ108" s="2"/>
      <c r="DK108" s="2"/>
      <c r="DL108" s="2"/>
      <c r="DM108" s="493"/>
    </row>
    <row r="109" spans="112:117">
      <c r="DH109" s="2"/>
      <c r="DI109" s="2"/>
      <c r="DJ109" s="2"/>
      <c r="DK109" s="2"/>
      <c r="DL109" s="2"/>
      <c r="DM109" s="493"/>
    </row>
    <row r="110" spans="112:117">
      <c r="DH110" s="2"/>
      <c r="DI110" s="2"/>
      <c r="DJ110" s="2"/>
      <c r="DK110" s="2"/>
      <c r="DL110" s="2"/>
      <c r="DM110" s="493"/>
    </row>
    <row r="111" spans="112:117">
      <c r="DH111" s="2"/>
      <c r="DI111" s="2"/>
      <c r="DJ111" s="2"/>
      <c r="DK111" s="2"/>
      <c r="DL111" s="2"/>
      <c r="DM111" s="493"/>
    </row>
    <row r="112" spans="112:117">
      <c r="DH112" s="2"/>
      <c r="DI112" s="2"/>
      <c r="DJ112" s="2"/>
      <c r="DK112" s="2"/>
      <c r="DL112" s="2"/>
      <c r="DM112" s="493"/>
    </row>
    <row r="113" spans="112:117">
      <c r="DH113" s="2"/>
      <c r="DI113" s="2"/>
      <c r="DJ113" s="2"/>
      <c r="DK113" s="2"/>
      <c r="DL113" s="2"/>
      <c r="DM113" s="493"/>
    </row>
    <row r="114" spans="112:117">
      <c r="DH114" s="2"/>
      <c r="DI114" s="2"/>
      <c r="DJ114" s="2"/>
      <c r="DK114" s="2"/>
      <c r="DL114" s="2"/>
      <c r="DM114" s="493"/>
    </row>
    <row r="115" spans="112:117">
      <c r="DH115" s="2"/>
      <c r="DI115" s="2"/>
      <c r="DJ115" s="2"/>
      <c r="DK115" s="2"/>
      <c r="DL115" s="2"/>
      <c r="DM115" s="493"/>
    </row>
    <row r="116" spans="112:117">
      <c r="DH116" s="2"/>
      <c r="DI116" s="2"/>
      <c r="DJ116" s="2"/>
      <c r="DK116" s="2"/>
      <c r="DL116" s="2"/>
      <c r="DM116" s="493"/>
    </row>
    <row r="117" spans="112:117">
      <c r="DH117" s="2"/>
      <c r="DI117" s="2"/>
      <c r="DJ117" s="2"/>
      <c r="DK117" s="2"/>
      <c r="DL117" s="2"/>
      <c r="DM117" s="493"/>
    </row>
    <row r="118" spans="112:117">
      <c r="DH118" s="2"/>
      <c r="DI118" s="2"/>
      <c r="DJ118" s="2"/>
      <c r="DK118" s="2"/>
      <c r="DL118" s="2"/>
      <c r="DM118" s="493"/>
    </row>
    <row r="119" spans="112:117">
      <c r="DH119" s="2"/>
      <c r="DI119" s="2"/>
      <c r="DJ119" s="2"/>
      <c r="DK119" s="2"/>
      <c r="DL119" s="2"/>
      <c r="DM119" s="493"/>
    </row>
    <row r="120" spans="112:117">
      <c r="DH120" s="2"/>
      <c r="DI120" s="2"/>
      <c r="DJ120" s="2"/>
      <c r="DK120" s="2"/>
      <c r="DL120" s="2"/>
      <c r="DM120" s="493"/>
    </row>
    <row r="121" spans="112:117">
      <c r="DH121" s="2"/>
      <c r="DI121" s="2"/>
      <c r="DJ121" s="2"/>
      <c r="DK121" s="2"/>
      <c r="DL121" s="2"/>
      <c r="DM121" s="493"/>
    </row>
    <row r="122" spans="112:117">
      <c r="DH122" s="2"/>
      <c r="DI122" s="2"/>
      <c r="DJ122" s="2"/>
      <c r="DK122" s="2"/>
      <c r="DL122" s="2"/>
      <c r="DM122" s="493"/>
    </row>
    <row r="123" spans="112:117">
      <c r="DH123" s="2"/>
      <c r="DI123" s="2"/>
      <c r="DJ123" s="2"/>
      <c r="DK123" s="2"/>
      <c r="DL123" s="2"/>
      <c r="DM123" s="493"/>
    </row>
    <row r="124" spans="112:117">
      <c r="DH124" s="2"/>
      <c r="DI124" s="2"/>
      <c r="DJ124" s="2"/>
      <c r="DK124" s="2"/>
      <c r="DL124" s="2"/>
      <c r="DM124" s="493"/>
    </row>
    <row r="125" spans="112:117">
      <c r="DH125" s="2"/>
      <c r="DI125" s="2"/>
      <c r="DJ125" s="2"/>
      <c r="DK125" s="2"/>
      <c r="DL125" s="2"/>
      <c r="DM125" s="493"/>
    </row>
    <row r="126" spans="112:117">
      <c r="DH126" s="2"/>
      <c r="DI126" s="2"/>
      <c r="DJ126" s="2"/>
      <c r="DK126" s="2"/>
      <c r="DL126" s="2"/>
      <c r="DM126" s="493"/>
    </row>
    <row r="127" spans="112:117">
      <c r="DH127" s="2"/>
      <c r="DI127" s="2"/>
      <c r="DJ127" s="2"/>
      <c r="DK127" s="2"/>
      <c r="DL127" s="2"/>
      <c r="DM127" s="493"/>
    </row>
    <row r="128" spans="112:117">
      <c r="DH128" s="2"/>
      <c r="DI128" s="2"/>
      <c r="DJ128" s="2"/>
      <c r="DK128" s="2"/>
      <c r="DL128" s="2"/>
      <c r="DM128" s="493"/>
    </row>
    <row r="129" spans="112:117">
      <c r="DH129" s="2"/>
      <c r="DI129" s="2"/>
      <c r="DJ129" s="2"/>
      <c r="DK129" s="2"/>
      <c r="DL129" s="2"/>
      <c r="DM129" s="493"/>
    </row>
    <row r="130" spans="112:117">
      <c r="DH130" s="2"/>
      <c r="DI130" s="2"/>
      <c r="DJ130" s="2"/>
      <c r="DK130" s="2"/>
      <c r="DL130" s="2"/>
      <c r="DM130" s="493"/>
    </row>
    <row r="131" spans="112:117">
      <c r="DH131" s="2"/>
      <c r="DI131" s="2"/>
      <c r="DJ131" s="2"/>
      <c r="DK131" s="2"/>
      <c r="DL131" s="2"/>
      <c r="DM131" s="493"/>
    </row>
    <row r="132" spans="112:117">
      <c r="DH132" s="2"/>
      <c r="DI132" s="2"/>
      <c r="DJ132" s="2"/>
      <c r="DK132" s="2"/>
      <c r="DL132" s="2"/>
      <c r="DM132" s="493"/>
    </row>
    <row r="133" spans="112:117">
      <c r="DH133" s="2"/>
      <c r="DI133" s="2"/>
      <c r="DJ133" s="2"/>
      <c r="DK133" s="2"/>
      <c r="DL133" s="2"/>
      <c r="DM133" s="493"/>
    </row>
    <row r="134" spans="112:117">
      <c r="DH134" s="2"/>
      <c r="DI134" s="2"/>
      <c r="DJ134" s="2"/>
      <c r="DK134" s="2"/>
      <c r="DL134" s="2"/>
      <c r="DM134" s="493"/>
    </row>
    <row r="135" spans="112:117">
      <c r="DH135" s="2"/>
      <c r="DI135" s="2"/>
      <c r="DJ135" s="2"/>
      <c r="DK135" s="2"/>
      <c r="DL135" s="2"/>
      <c r="DM135" s="493"/>
    </row>
    <row r="136" spans="112:117">
      <c r="DH136" s="2"/>
      <c r="DI136" s="2"/>
      <c r="DJ136" s="2"/>
      <c r="DK136" s="2"/>
      <c r="DL136" s="2"/>
      <c r="DM136" s="493"/>
    </row>
    <row r="137" spans="112:117">
      <c r="DH137" s="2"/>
      <c r="DI137" s="2"/>
      <c r="DJ137" s="2"/>
      <c r="DK137" s="2"/>
      <c r="DL137" s="2"/>
      <c r="DM137" s="493"/>
    </row>
    <row r="138" spans="112:117">
      <c r="DH138" s="2"/>
      <c r="DI138" s="2"/>
      <c r="DJ138" s="2"/>
      <c r="DK138" s="2"/>
      <c r="DL138" s="2"/>
      <c r="DM138" s="493"/>
    </row>
    <row r="139" spans="112:117">
      <c r="DH139" s="2"/>
      <c r="DI139" s="2"/>
      <c r="DJ139" s="2"/>
      <c r="DK139" s="2"/>
      <c r="DL139" s="2"/>
      <c r="DM139" s="493"/>
    </row>
    <row r="140" spans="112:117">
      <c r="DH140" s="2"/>
      <c r="DI140" s="2"/>
      <c r="DJ140" s="2"/>
      <c r="DK140" s="2"/>
      <c r="DL140" s="2"/>
      <c r="DM140" s="493"/>
    </row>
    <row r="141" spans="112:117">
      <c r="DH141" s="2"/>
      <c r="DI141" s="2"/>
      <c r="DJ141" s="2"/>
      <c r="DK141" s="2"/>
      <c r="DL141" s="2"/>
      <c r="DM141" s="493"/>
    </row>
    <row r="142" spans="112:117">
      <c r="DH142" s="2"/>
      <c r="DI142" s="2"/>
      <c r="DJ142" s="2"/>
      <c r="DK142" s="2"/>
      <c r="DL142" s="2"/>
      <c r="DM142" s="493"/>
    </row>
    <row r="143" spans="112:117">
      <c r="DH143" s="2"/>
      <c r="DI143" s="2"/>
      <c r="DJ143" s="2"/>
      <c r="DK143" s="2"/>
      <c r="DL143" s="2"/>
      <c r="DM143" s="493"/>
    </row>
    <row r="144" spans="112:117">
      <c r="DH144" s="2"/>
      <c r="DI144" s="2"/>
      <c r="DJ144" s="2"/>
      <c r="DK144" s="2"/>
      <c r="DL144" s="2"/>
      <c r="DM144" s="493"/>
    </row>
    <row r="145" spans="112:117">
      <c r="DH145" s="2"/>
      <c r="DI145" s="2"/>
      <c r="DJ145" s="2"/>
      <c r="DK145" s="2"/>
      <c r="DL145" s="2"/>
      <c r="DM145" s="493"/>
    </row>
    <row r="146" spans="112:117">
      <c r="DH146" s="2"/>
      <c r="DI146" s="2"/>
      <c r="DJ146" s="2"/>
      <c r="DK146" s="2"/>
      <c r="DL146" s="2"/>
      <c r="DM146" s="493"/>
    </row>
    <row r="147" spans="112:117">
      <c r="DH147" s="2"/>
      <c r="DI147" s="2"/>
      <c r="DJ147" s="2"/>
      <c r="DK147" s="2"/>
      <c r="DL147" s="2"/>
      <c r="DM147" s="493"/>
    </row>
    <row r="148" spans="112:117">
      <c r="DH148" s="2"/>
      <c r="DI148" s="2"/>
      <c r="DJ148" s="2"/>
      <c r="DK148" s="2"/>
      <c r="DL148" s="2"/>
      <c r="DM148" s="493"/>
    </row>
    <row r="149" spans="112:117">
      <c r="DH149" s="2"/>
      <c r="DI149" s="2"/>
      <c r="DJ149" s="2"/>
      <c r="DK149" s="2"/>
      <c r="DL149" s="2"/>
      <c r="DM149" s="493"/>
    </row>
    <row r="150" spans="112:117">
      <c r="DH150" s="2"/>
      <c r="DI150" s="2"/>
      <c r="DJ150" s="2"/>
      <c r="DK150" s="2"/>
      <c r="DL150" s="2"/>
      <c r="DM150" s="493"/>
    </row>
    <row r="151" spans="112:117">
      <c r="DH151" s="2"/>
      <c r="DI151" s="2"/>
      <c r="DJ151" s="2"/>
      <c r="DK151" s="2"/>
      <c r="DL151" s="2"/>
      <c r="DM151" s="493"/>
    </row>
    <row r="152" spans="112:117">
      <c r="DH152" s="2"/>
      <c r="DI152" s="2"/>
      <c r="DJ152" s="2"/>
      <c r="DK152" s="2"/>
      <c r="DL152" s="2"/>
      <c r="DM152" s="493"/>
    </row>
    <row r="153" spans="112:117">
      <c r="DH153" s="2"/>
      <c r="DI153" s="2"/>
      <c r="DJ153" s="2"/>
      <c r="DK153" s="2"/>
      <c r="DL153" s="2"/>
      <c r="DM153" s="493"/>
    </row>
    <row r="154" spans="112:117">
      <c r="DH154" s="2"/>
      <c r="DI154" s="2"/>
      <c r="DJ154" s="2"/>
      <c r="DK154" s="2"/>
      <c r="DL154" s="2"/>
      <c r="DM154" s="493"/>
    </row>
    <row r="155" spans="112:117">
      <c r="DH155" s="2"/>
      <c r="DI155" s="2"/>
      <c r="DJ155" s="2"/>
      <c r="DK155" s="2"/>
      <c r="DL155" s="2"/>
      <c r="DM155" s="493"/>
    </row>
    <row r="156" spans="112:117">
      <c r="DH156" s="2"/>
      <c r="DI156" s="2"/>
      <c r="DJ156" s="2"/>
      <c r="DK156" s="2"/>
      <c r="DL156" s="2"/>
      <c r="DM156" s="493"/>
    </row>
    <row r="157" spans="112:117">
      <c r="DH157" s="2"/>
      <c r="DI157" s="2"/>
      <c r="DJ157" s="2"/>
      <c r="DK157" s="2"/>
      <c r="DL157" s="2"/>
      <c r="DM157" s="493"/>
    </row>
    <row r="158" spans="112:117">
      <c r="DH158" s="2"/>
      <c r="DI158" s="2"/>
      <c r="DJ158" s="2"/>
      <c r="DK158" s="2"/>
      <c r="DL158" s="2"/>
      <c r="DM158" s="493"/>
    </row>
    <row r="159" spans="112:117">
      <c r="DH159" s="2"/>
      <c r="DI159" s="2"/>
      <c r="DJ159" s="2"/>
      <c r="DK159" s="2"/>
      <c r="DL159" s="2"/>
      <c r="DM159" s="493"/>
    </row>
    <row r="160" spans="112:117">
      <c r="DH160" s="2"/>
      <c r="DI160" s="2"/>
      <c r="DJ160" s="2"/>
      <c r="DK160" s="2"/>
      <c r="DL160" s="2"/>
      <c r="DM160" s="493"/>
    </row>
    <row r="161" spans="112:117">
      <c r="DH161" s="2"/>
      <c r="DI161" s="2"/>
      <c r="DJ161" s="2"/>
      <c r="DK161" s="2"/>
      <c r="DL161" s="2"/>
      <c r="DM161" s="493"/>
    </row>
    <row r="162" spans="112:117">
      <c r="DH162" s="2"/>
      <c r="DI162" s="2"/>
      <c r="DJ162" s="2"/>
      <c r="DK162" s="2"/>
      <c r="DL162" s="2"/>
      <c r="DM162" s="493"/>
    </row>
    <row r="163" spans="112:117">
      <c r="DH163" s="2"/>
      <c r="DI163" s="2"/>
      <c r="DJ163" s="2"/>
      <c r="DK163" s="2"/>
      <c r="DL163" s="2"/>
      <c r="DM163" s="493"/>
    </row>
    <row r="164" spans="112:117">
      <c r="DH164" s="2"/>
      <c r="DI164" s="2"/>
      <c r="DJ164" s="2"/>
      <c r="DK164" s="2"/>
      <c r="DL164" s="2"/>
      <c r="DM164" s="493"/>
    </row>
    <row r="165" spans="112:117">
      <c r="DH165" s="2"/>
      <c r="DI165" s="2"/>
      <c r="DJ165" s="2"/>
      <c r="DK165" s="2"/>
      <c r="DL165" s="2"/>
      <c r="DM165" s="493"/>
    </row>
    <row r="166" spans="112:117">
      <c r="DH166" s="2"/>
      <c r="DI166" s="2"/>
      <c r="DJ166" s="2"/>
      <c r="DK166" s="2"/>
      <c r="DL166" s="2"/>
      <c r="DM166" s="493"/>
    </row>
    <row r="167" spans="112:117">
      <c r="DH167" s="2"/>
      <c r="DI167" s="2"/>
      <c r="DJ167" s="2"/>
      <c r="DK167" s="2"/>
      <c r="DL167" s="2"/>
      <c r="DM167" s="493"/>
    </row>
    <row r="168" spans="112:117">
      <c r="DH168" s="2"/>
      <c r="DI168" s="2"/>
      <c r="DJ168" s="2"/>
      <c r="DK168" s="2"/>
      <c r="DL168" s="2"/>
      <c r="DM168" s="493"/>
    </row>
    <row r="169" spans="112:117">
      <c r="DH169" s="2"/>
      <c r="DI169" s="2"/>
      <c r="DJ169" s="2"/>
      <c r="DK169" s="2"/>
      <c r="DL169" s="2"/>
      <c r="DM169" s="493"/>
    </row>
    <row r="170" spans="112:117">
      <c r="DH170" s="2"/>
      <c r="DI170" s="2"/>
      <c r="DJ170" s="2"/>
      <c r="DK170" s="2"/>
      <c r="DL170" s="2"/>
      <c r="DM170" s="493"/>
    </row>
    <row r="171" spans="112:117">
      <c r="DH171" s="2"/>
      <c r="DI171" s="2"/>
      <c r="DJ171" s="2"/>
      <c r="DK171" s="2"/>
      <c r="DL171" s="2"/>
      <c r="DM171" s="493"/>
    </row>
    <row r="172" spans="112:117">
      <c r="DH172" s="2"/>
      <c r="DI172" s="2"/>
      <c r="DJ172" s="2"/>
      <c r="DK172" s="2"/>
      <c r="DL172" s="2"/>
      <c r="DM172" s="493"/>
    </row>
    <row r="173" spans="112:117">
      <c r="DH173" s="2"/>
      <c r="DI173" s="2"/>
      <c r="DJ173" s="2"/>
      <c r="DK173" s="2"/>
      <c r="DL173" s="2"/>
      <c r="DM173" s="493"/>
    </row>
    <row r="174" spans="112:117">
      <c r="DH174" s="2"/>
      <c r="DI174" s="2"/>
      <c r="DJ174" s="2"/>
      <c r="DK174" s="2"/>
      <c r="DL174" s="2"/>
      <c r="DM174" s="493"/>
    </row>
    <row r="175" spans="112:117">
      <c r="DH175" s="2"/>
      <c r="DI175" s="2"/>
      <c r="DJ175" s="2"/>
      <c r="DK175" s="2"/>
      <c r="DL175" s="2"/>
      <c r="DM175" s="493"/>
    </row>
    <row r="176" spans="112:117">
      <c r="DH176" s="2"/>
      <c r="DI176" s="2"/>
      <c r="DJ176" s="2"/>
      <c r="DK176" s="2"/>
      <c r="DL176" s="2"/>
      <c r="DM176" s="493"/>
    </row>
    <row r="177" spans="112:117">
      <c r="DH177" s="2"/>
      <c r="DI177" s="2"/>
      <c r="DJ177" s="2"/>
      <c r="DK177" s="2"/>
      <c r="DL177" s="2"/>
      <c r="DM177" s="493"/>
    </row>
    <row r="178" spans="112:117">
      <c r="DH178" s="2"/>
      <c r="DI178" s="2"/>
      <c r="DJ178" s="2"/>
      <c r="DK178" s="2"/>
      <c r="DL178" s="2"/>
      <c r="DM178" s="493"/>
    </row>
    <row r="179" spans="112:117">
      <c r="DH179" s="2"/>
      <c r="DI179" s="2"/>
      <c r="DJ179" s="2"/>
      <c r="DK179" s="2"/>
      <c r="DL179" s="2"/>
      <c r="DM179" s="493"/>
    </row>
    <row r="180" spans="112:117">
      <c r="DH180" s="2"/>
      <c r="DI180" s="2"/>
      <c r="DJ180" s="2"/>
      <c r="DK180" s="2"/>
      <c r="DL180" s="2"/>
      <c r="DM180" s="493"/>
    </row>
    <row r="181" spans="112:117">
      <c r="DH181" s="2"/>
      <c r="DI181" s="2"/>
      <c r="DJ181" s="2"/>
      <c r="DK181" s="2"/>
      <c r="DL181" s="2"/>
      <c r="DM181" s="493"/>
    </row>
    <row r="182" spans="112:117">
      <c r="DH182" s="2"/>
      <c r="DI182" s="2"/>
      <c r="DJ182" s="2"/>
      <c r="DK182" s="2"/>
      <c r="DL182" s="2"/>
      <c r="DM182" s="493"/>
    </row>
    <row r="183" spans="112:117">
      <c r="DH183" s="2"/>
      <c r="DI183" s="2"/>
      <c r="DJ183" s="2"/>
      <c r="DK183" s="2"/>
      <c r="DL183" s="2"/>
      <c r="DM183" s="493"/>
    </row>
    <row r="184" spans="112:117">
      <c r="DH184" s="2"/>
      <c r="DI184" s="2"/>
      <c r="DJ184" s="2"/>
      <c r="DK184" s="2"/>
      <c r="DL184" s="2"/>
      <c r="DM184" s="493"/>
    </row>
    <row r="185" spans="112:117">
      <c r="DH185" s="2"/>
      <c r="DI185" s="2"/>
      <c r="DJ185" s="2"/>
      <c r="DK185" s="2"/>
      <c r="DL185" s="2"/>
      <c r="DM185" s="493"/>
    </row>
    <row r="186" spans="112:117">
      <c r="DH186" s="2"/>
      <c r="DI186" s="2"/>
      <c r="DJ186" s="2"/>
      <c r="DK186" s="2"/>
      <c r="DL186" s="2"/>
      <c r="DM186" s="493"/>
    </row>
    <row r="187" spans="112:117">
      <c r="DH187" s="2"/>
      <c r="DI187" s="2"/>
      <c r="DJ187" s="2"/>
      <c r="DK187" s="2"/>
      <c r="DL187" s="2"/>
      <c r="DM187" s="493"/>
    </row>
    <row r="188" spans="112:117">
      <c r="DH188" s="2"/>
      <c r="DI188" s="2"/>
      <c r="DJ188" s="2"/>
      <c r="DK188" s="2"/>
      <c r="DL188" s="2"/>
      <c r="DM188" s="493"/>
    </row>
    <row r="189" spans="112:117">
      <c r="DH189" s="2"/>
      <c r="DI189" s="2"/>
      <c r="DJ189" s="2"/>
      <c r="DK189" s="2"/>
      <c r="DL189" s="2"/>
      <c r="DM189" s="493"/>
    </row>
    <row r="190" spans="112:117">
      <c r="DH190" s="2"/>
      <c r="DI190" s="2"/>
      <c r="DJ190" s="2"/>
      <c r="DK190" s="2"/>
      <c r="DL190" s="2"/>
      <c r="DM190" s="493"/>
    </row>
    <row r="191" spans="112:117">
      <c r="DH191" s="2"/>
      <c r="DI191" s="2"/>
      <c r="DJ191" s="2"/>
      <c r="DK191" s="2"/>
      <c r="DL191" s="2"/>
      <c r="DM191" s="493"/>
    </row>
    <row r="192" spans="112:117">
      <c r="DH192" s="2"/>
      <c r="DI192" s="2"/>
      <c r="DJ192" s="2"/>
      <c r="DK192" s="2"/>
      <c r="DL192" s="2"/>
      <c r="DM192" s="493"/>
    </row>
    <row r="193" spans="112:117">
      <c r="DH193" s="2"/>
      <c r="DI193" s="2"/>
      <c r="DJ193" s="2"/>
      <c r="DK193" s="2"/>
      <c r="DL193" s="2"/>
      <c r="DM193" s="493"/>
    </row>
    <row r="194" spans="112:117">
      <c r="DH194" s="2"/>
      <c r="DI194" s="2"/>
      <c r="DJ194" s="2"/>
      <c r="DK194" s="2"/>
      <c r="DL194" s="2"/>
      <c r="DM194" s="493"/>
    </row>
    <row r="195" spans="112:117">
      <c r="DH195" s="2"/>
      <c r="DI195" s="2"/>
      <c r="DJ195" s="2"/>
      <c r="DK195" s="2"/>
      <c r="DL195" s="2"/>
      <c r="DM195" s="493"/>
    </row>
    <row r="196" spans="112:117">
      <c r="DH196" s="2"/>
      <c r="DI196" s="2"/>
      <c r="DJ196" s="2"/>
      <c r="DK196" s="2"/>
      <c r="DL196" s="2"/>
      <c r="DM196" s="493"/>
    </row>
    <row r="197" spans="112:117">
      <c r="DH197" s="2"/>
      <c r="DI197" s="2"/>
      <c r="DJ197" s="2"/>
      <c r="DK197" s="2"/>
      <c r="DL197" s="2"/>
      <c r="DM197" s="493"/>
    </row>
    <row r="198" spans="112:117">
      <c r="DH198" s="2"/>
      <c r="DI198" s="2"/>
      <c r="DJ198" s="2"/>
      <c r="DK198" s="2"/>
      <c r="DL198" s="2"/>
      <c r="DM198" s="493"/>
    </row>
    <row r="199" spans="112:117">
      <c r="DH199" s="2"/>
      <c r="DI199" s="2"/>
      <c r="DJ199" s="2"/>
      <c r="DK199" s="2"/>
      <c r="DL199" s="2"/>
      <c r="DM199" s="493"/>
    </row>
    <row r="200" spans="112:117">
      <c r="DH200" s="2"/>
      <c r="DI200" s="2"/>
      <c r="DJ200" s="2"/>
      <c r="DK200" s="2"/>
      <c r="DL200" s="2"/>
      <c r="DM200" s="493"/>
    </row>
    <row r="201" spans="112:117">
      <c r="DH201" s="2"/>
      <c r="DI201" s="2"/>
      <c r="DJ201" s="2"/>
      <c r="DK201" s="2"/>
      <c r="DL201" s="2"/>
      <c r="DM201" s="493"/>
    </row>
    <row r="202" spans="112:117">
      <c r="DH202" s="2"/>
      <c r="DI202" s="2"/>
      <c r="DJ202" s="2"/>
      <c r="DK202" s="2"/>
      <c r="DL202" s="2"/>
      <c r="DM202" s="493"/>
    </row>
    <row r="203" spans="112:117">
      <c r="DH203" s="2"/>
      <c r="DI203" s="2"/>
      <c r="DJ203" s="2"/>
      <c r="DK203" s="2"/>
      <c r="DL203" s="2"/>
      <c r="DM203" s="493"/>
    </row>
    <row r="204" spans="112:117">
      <c r="DH204" s="2"/>
      <c r="DI204" s="2"/>
      <c r="DJ204" s="2"/>
      <c r="DK204" s="2"/>
      <c r="DL204" s="2"/>
      <c r="DM204" s="493"/>
    </row>
    <row r="205" spans="112:117">
      <c r="DH205" s="2"/>
      <c r="DI205" s="2"/>
      <c r="DJ205" s="2"/>
      <c r="DK205" s="2"/>
      <c r="DL205" s="2"/>
      <c r="DM205" s="493"/>
    </row>
    <row r="206" spans="112:117">
      <c r="DH206" s="2"/>
      <c r="DI206" s="2"/>
      <c r="DJ206" s="2"/>
      <c r="DK206" s="2"/>
      <c r="DL206" s="2"/>
      <c r="DM206" s="493"/>
    </row>
    <row r="207" spans="112:117">
      <c r="DH207" s="2"/>
      <c r="DI207" s="2"/>
      <c r="DJ207" s="2"/>
      <c r="DK207" s="2"/>
      <c r="DL207" s="2"/>
      <c r="DM207" s="493"/>
    </row>
    <row r="208" spans="112:117">
      <c r="DH208" s="2"/>
      <c r="DI208" s="2"/>
      <c r="DJ208" s="2"/>
      <c r="DK208" s="2"/>
      <c r="DL208" s="2"/>
      <c r="DM208" s="493"/>
    </row>
    <row r="209" spans="112:117">
      <c r="DH209" s="2"/>
      <c r="DI209" s="2"/>
      <c r="DJ209" s="2"/>
      <c r="DK209" s="2"/>
      <c r="DL209" s="2"/>
      <c r="DM209" s="493"/>
    </row>
    <row r="210" spans="112:117">
      <c r="DH210" s="2"/>
      <c r="DI210" s="2"/>
      <c r="DJ210" s="2"/>
      <c r="DK210" s="2"/>
      <c r="DL210" s="2"/>
      <c r="DM210" s="493"/>
    </row>
    <row r="211" spans="112:117">
      <c r="DH211" s="2"/>
      <c r="DI211" s="2"/>
      <c r="DJ211" s="2"/>
      <c r="DK211" s="2"/>
      <c r="DL211" s="2"/>
      <c r="DM211" s="493"/>
    </row>
    <row r="212" spans="112:117">
      <c r="DH212" s="2"/>
      <c r="DI212" s="2"/>
      <c r="DJ212" s="2"/>
      <c r="DK212" s="2"/>
      <c r="DL212" s="2"/>
      <c r="DM212" s="493"/>
    </row>
    <row r="213" spans="112:117">
      <c r="DH213" s="2"/>
      <c r="DI213" s="2"/>
      <c r="DJ213" s="2"/>
      <c r="DK213" s="2"/>
      <c r="DL213" s="2"/>
      <c r="DM213" s="493"/>
    </row>
    <row r="214" spans="112:117">
      <c r="DH214" s="2"/>
      <c r="DI214" s="2"/>
      <c r="DJ214" s="2"/>
      <c r="DK214" s="2"/>
      <c r="DL214" s="2"/>
      <c r="DM214" s="493"/>
    </row>
    <row r="215" spans="112:117">
      <c r="DH215" s="2"/>
      <c r="DI215" s="2"/>
      <c r="DJ215" s="2"/>
      <c r="DK215" s="2"/>
      <c r="DL215" s="2"/>
      <c r="DM215" s="493"/>
    </row>
    <row r="216" spans="112:117">
      <c r="DH216" s="2"/>
      <c r="DI216" s="2"/>
      <c r="DJ216" s="2"/>
      <c r="DK216" s="2"/>
      <c r="DL216" s="2"/>
      <c r="DM216" s="493"/>
    </row>
    <row r="217" spans="112:117">
      <c r="DH217" s="2"/>
      <c r="DI217" s="2"/>
      <c r="DJ217" s="2"/>
      <c r="DK217" s="2"/>
      <c r="DL217" s="2"/>
      <c r="DM217" s="493"/>
    </row>
    <row r="218" spans="112:117">
      <c r="DH218" s="2"/>
      <c r="DI218" s="2"/>
      <c r="DJ218" s="2"/>
      <c r="DK218" s="2"/>
      <c r="DL218" s="2"/>
      <c r="DM218" s="493"/>
    </row>
    <row r="219" spans="112:117">
      <c r="DH219" s="2"/>
      <c r="DI219" s="2"/>
      <c r="DJ219" s="2"/>
      <c r="DK219" s="2"/>
      <c r="DL219" s="2"/>
      <c r="DM219" s="493"/>
    </row>
    <row r="220" spans="112:117">
      <c r="DH220" s="2"/>
      <c r="DI220" s="2"/>
      <c r="DJ220" s="2"/>
      <c r="DK220" s="2"/>
      <c r="DL220" s="2"/>
      <c r="DM220" s="493"/>
    </row>
    <row r="221" spans="112:117">
      <c r="DH221" s="2"/>
      <c r="DI221" s="2"/>
      <c r="DJ221" s="2"/>
      <c r="DK221" s="2"/>
      <c r="DL221" s="2"/>
      <c r="DM221" s="493"/>
    </row>
    <row r="222" spans="112:117">
      <c r="DH222" s="2"/>
      <c r="DI222" s="2"/>
      <c r="DJ222" s="2"/>
      <c r="DK222" s="2"/>
      <c r="DL222" s="2"/>
      <c r="DM222" s="493"/>
    </row>
    <row r="223" spans="112:117">
      <c r="DH223" s="2"/>
      <c r="DI223" s="2"/>
      <c r="DJ223" s="2"/>
      <c r="DK223" s="2"/>
      <c r="DL223" s="2"/>
      <c r="DM223" s="493"/>
    </row>
    <row r="224" spans="112:117">
      <c r="DH224" s="2"/>
      <c r="DI224" s="2"/>
      <c r="DJ224" s="2"/>
      <c r="DK224" s="2"/>
      <c r="DL224" s="2"/>
      <c r="DM224" s="493"/>
    </row>
    <row r="225" spans="112:117">
      <c r="DH225" s="2"/>
      <c r="DI225" s="2"/>
      <c r="DJ225" s="2"/>
      <c r="DK225" s="2"/>
      <c r="DL225" s="2"/>
      <c r="DM225" s="493"/>
    </row>
    <row r="226" spans="112:117">
      <c r="DH226" s="2"/>
      <c r="DI226" s="2"/>
      <c r="DJ226" s="2"/>
      <c r="DK226" s="2"/>
      <c r="DL226" s="2"/>
      <c r="DM226" s="493"/>
    </row>
    <row r="227" spans="112:117">
      <c r="DH227" s="2"/>
      <c r="DI227" s="2"/>
      <c r="DJ227" s="2"/>
      <c r="DK227" s="2"/>
      <c r="DL227" s="2"/>
      <c r="DM227" s="493"/>
    </row>
    <row r="228" spans="112:117">
      <c r="DH228" s="2"/>
      <c r="DI228" s="2"/>
      <c r="DJ228" s="2"/>
      <c r="DK228" s="2"/>
      <c r="DL228" s="2"/>
      <c r="DM228" s="493"/>
    </row>
    <row r="229" spans="112:117">
      <c r="DH229" s="2"/>
      <c r="DI229" s="2"/>
      <c r="DJ229" s="2"/>
      <c r="DK229" s="2"/>
      <c r="DL229" s="2"/>
      <c r="DM229" s="493"/>
    </row>
    <row r="230" spans="112:117">
      <c r="DH230" s="2"/>
      <c r="DI230" s="2"/>
      <c r="DJ230" s="2"/>
      <c r="DK230" s="2"/>
      <c r="DL230" s="2"/>
      <c r="DM230" s="493"/>
    </row>
    <row r="231" spans="112:117">
      <c r="DH231" s="2"/>
      <c r="DI231" s="2"/>
      <c r="DJ231" s="2"/>
      <c r="DK231" s="2"/>
      <c r="DL231" s="2"/>
      <c r="DM231" s="493"/>
    </row>
    <row r="232" spans="112:117">
      <c r="DH232" s="2"/>
      <c r="DI232" s="2"/>
      <c r="DJ232" s="2"/>
      <c r="DK232" s="2"/>
      <c r="DL232" s="2"/>
      <c r="DM232" s="493"/>
    </row>
    <row r="233" spans="112:117">
      <c r="DH233" s="2"/>
      <c r="DI233" s="2"/>
      <c r="DJ233" s="2"/>
      <c r="DK233" s="2"/>
      <c r="DL233" s="2"/>
      <c r="DM233" s="493"/>
    </row>
    <row r="234" spans="112:117">
      <c r="DH234" s="2"/>
      <c r="DI234" s="2"/>
      <c r="DJ234" s="2"/>
      <c r="DK234" s="2"/>
      <c r="DL234" s="2"/>
      <c r="DM234" s="493"/>
    </row>
    <row r="235" spans="112:117">
      <c r="DH235" s="2"/>
      <c r="DI235" s="2"/>
      <c r="DJ235" s="2"/>
      <c r="DK235" s="2"/>
      <c r="DL235" s="2"/>
      <c r="DM235" s="493"/>
    </row>
    <row r="319" spans="97:107" ht="60">
      <c r="CS319" s="495" t="s">
        <v>1946</v>
      </c>
      <c r="CT319" s="495" t="s">
        <v>1947</v>
      </c>
      <c r="CU319" s="160" t="s">
        <v>1948</v>
      </c>
      <c r="CV319" s="495" t="s">
        <v>1949</v>
      </c>
      <c r="CW319" s="506" t="s">
        <v>780</v>
      </c>
      <c r="CX319" s="506" t="s">
        <v>1950</v>
      </c>
      <c r="CZ319" s="495" t="s">
        <v>1588</v>
      </c>
      <c r="DA319" s="495" t="s">
        <v>1951</v>
      </c>
      <c r="DB319" s="495" t="s">
        <v>1952</v>
      </c>
      <c r="DC319" s="495" t="s">
        <v>1953</v>
      </c>
    </row>
    <row r="320" spans="97:107" ht="90">
      <c r="CS320" s="48" t="s">
        <v>497</v>
      </c>
      <c r="CT320" s="460" t="s">
        <v>498</v>
      </c>
      <c r="CU320" s="509" t="s">
        <v>1954</v>
      </c>
      <c r="CV320" s="48">
        <v>6949455771</v>
      </c>
      <c r="CW320" s="53" t="s">
        <v>1687</v>
      </c>
      <c r="CX320" s="53"/>
      <c r="CZ320" s="496" t="s">
        <v>1955</v>
      </c>
      <c r="DA320" s="494" t="s">
        <v>1956</v>
      </c>
      <c r="DB320" s="53" t="s">
        <v>1957</v>
      </c>
      <c r="DC320" s="53" t="s">
        <v>1958</v>
      </c>
    </row>
    <row r="321" spans="97:107" ht="120">
      <c r="CS321" s="48" t="s">
        <v>523</v>
      </c>
      <c r="CT321" s="460" t="s">
        <v>525</v>
      </c>
      <c r="CU321" s="509" t="s">
        <v>1959</v>
      </c>
      <c r="CV321" s="48">
        <v>6974120129</v>
      </c>
      <c r="CW321" s="53" t="s">
        <v>1197</v>
      </c>
      <c r="CX321" s="53"/>
      <c r="CZ321" s="496" t="s">
        <v>1960</v>
      </c>
      <c r="DA321" s="53"/>
      <c r="DB321" s="53" t="s">
        <v>1961</v>
      </c>
      <c r="DC321" s="53" t="s">
        <v>1962</v>
      </c>
    </row>
    <row r="322" spans="97:107" ht="75">
      <c r="CS322" s="48" t="s">
        <v>576</v>
      </c>
      <c r="CT322" s="460" t="s">
        <v>577</v>
      </c>
      <c r="CU322" s="509" t="s">
        <v>1963</v>
      </c>
      <c r="CV322" s="48">
        <v>6955515575</v>
      </c>
      <c r="CW322" s="53" t="s">
        <v>1687</v>
      </c>
      <c r="CX322" s="53"/>
      <c r="CZ322" s="496" t="s">
        <v>1964</v>
      </c>
      <c r="DA322" s="53"/>
      <c r="DB322" s="53" t="s">
        <v>1965</v>
      </c>
      <c r="DC322" s="53"/>
    </row>
    <row r="323" spans="97:107" ht="105">
      <c r="CS323" s="48" t="s">
        <v>593</v>
      </c>
      <c r="CT323" s="460" t="s">
        <v>594</v>
      </c>
      <c r="CU323" s="508" t="s">
        <v>1966</v>
      </c>
      <c r="CV323" s="48">
        <v>6948486899</v>
      </c>
      <c r="CW323" s="53" t="s">
        <v>1300</v>
      </c>
      <c r="CX323" s="53"/>
      <c r="CZ323" s="496" t="s">
        <v>1967</v>
      </c>
      <c r="DA323" s="53"/>
      <c r="DB323" s="53"/>
      <c r="DC323" s="53"/>
    </row>
    <row r="324" spans="97:107" ht="150">
      <c r="CS324" s="48" t="s">
        <v>453</v>
      </c>
      <c r="CT324" s="460" t="s">
        <v>455</v>
      </c>
      <c r="CU324" s="509" t="s">
        <v>1968</v>
      </c>
      <c r="CV324" s="53" t="s">
        <v>454</v>
      </c>
      <c r="CW324" s="53" t="s">
        <v>1125</v>
      </c>
      <c r="CX324" s="53"/>
      <c r="CZ324" s="496" t="s">
        <v>1969</v>
      </c>
      <c r="DA324" s="53"/>
      <c r="DB324" s="53"/>
      <c r="DC324" s="53" t="s">
        <v>1970</v>
      </c>
    </row>
    <row r="325" spans="97:107" ht="150">
      <c r="CS325" s="48" t="s">
        <v>475</v>
      </c>
      <c r="CT325" s="460" t="s">
        <v>487</v>
      </c>
      <c r="CU325" s="509" t="s">
        <v>1971</v>
      </c>
      <c r="CV325" s="48">
        <v>6955951660</v>
      </c>
      <c r="CW325" s="53" t="s">
        <v>1125</v>
      </c>
      <c r="CX325" s="53"/>
      <c r="CZ325" s="496" t="s">
        <v>1972</v>
      </c>
      <c r="DA325" s="53" t="s">
        <v>1973</v>
      </c>
      <c r="DB325" s="53"/>
      <c r="DC325" s="53"/>
    </row>
    <row r="326" spans="97:107" ht="90">
      <c r="CS326" s="48" t="s">
        <v>530</v>
      </c>
      <c r="CT326" s="460" t="s">
        <v>559</v>
      </c>
      <c r="CU326" s="509" t="s">
        <v>1974</v>
      </c>
      <c r="CV326" s="48">
        <v>6945452188</v>
      </c>
      <c r="CW326" s="53" t="s">
        <v>1975</v>
      </c>
      <c r="CX326" s="53"/>
    </row>
    <row r="327" spans="97:107" ht="150">
      <c r="CS327" s="48" t="s">
        <v>1976</v>
      </c>
      <c r="CT327" s="460" t="s">
        <v>1977</v>
      </c>
      <c r="CU327" s="509" t="s">
        <v>1978</v>
      </c>
      <c r="CV327" s="48">
        <v>6976616585</v>
      </c>
      <c r="CW327" s="53" t="s">
        <v>1979</v>
      </c>
      <c r="CX327" s="53"/>
    </row>
    <row r="328" spans="97:107" ht="30">
      <c r="CS328" s="48" t="s">
        <v>809</v>
      </c>
      <c r="CT328" s="460" t="s">
        <v>1980</v>
      </c>
      <c r="CU328" s="509" t="s">
        <v>1981</v>
      </c>
      <c r="CV328" s="48">
        <v>6970651783</v>
      </c>
      <c r="CW328" s="48" t="s">
        <v>1982</v>
      </c>
      <c r="CX328" s="507"/>
      <c r="CZ328" s="495" t="s">
        <v>1588</v>
      </c>
      <c r="DA328" s="495" t="s">
        <v>1951</v>
      </c>
      <c r="DB328" s="495" t="s">
        <v>1952</v>
      </c>
      <c r="DC328" s="495" t="s">
        <v>1953</v>
      </c>
    </row>
    <row r="329" spans="97:107" ht="195">
      <c r="CT329" s="3"/>
      <c r="CU329" s="3"/>
      <c r="CV329"/>
      <c r="CW329" s="81"/>
      <c r="CX329" s="81"/>
      <c r="CZ329" s="496" t="s">
        <v>1955</v>
      </c>
      <c r="DA329" s="494" t="s">
        <v>1983</v>
      </c>
      <c r="DB329" s="53" t="s">
        <v>1984</v>
      </c>
      <c r="DC329" s="505" t="s">
        <v>1985</v>
      </c>
    </row>
    <row r="330" spans="97:107" ht="165">
      <c r="CT330" s="3"/>
      <c r="CU330" s="3"/>
      <c r="CV330"/>
      <c r="CW330" s="81"/>
      <c r="CX330" s="81"/>
      <c r="CZ330" s="496" t="s">
        <v>1960</v>
      </c>
      <c r="DA330" s="53"/>
      <c r="DB330" s="53" t="s">
        <v>1986</v>
      </c>
      <c r="DC330" s="53" t="s">
        <v>1987</v>
      </c>
    </row>
    <row r="331" spans="97:107" ht="150">
      <c r="CT331" s="3"/>
      <c r="CU331" s="3"/>
      <c r="CV331"/>
      <c r="CW331" s="81"/>
      <c r="CX331" s="81"/>
      <c r="CZ331" s="496" t="s">
        <v>1964</v>
      </c>
      <c r="DA331" s="53"/>
      <c r="DB331" s="53" t="s">
        <v>1988</v>
      </c>
      <c r="DC331" s="53"/>
    </row>
    <row r="332" spans="97:107">
      <c r="CT332" s="3"/>
      <c r="CU332" s="3"/>
      <c r="CV332"/>
      <c r="CW332" s="81"/>
      <c r="CX332" s="81"/>
      <c r="CZ332" s="496" t="s">
        <v>1967</v>
      </c>
      <c r="DA332" s="53"/>
      <c r="DB332" s="53"/>
      <c r="DC332" s="53"/>
    </row>
    <row r="333" spans="97:107" ht="195">
      <c r="CT333" s="3"/>
      <c r="CU333" s="3"/>
      <c r="CV333"/>
      <c r="CW333" s="81"/>
      <c r="CX333" s="81"/>
      <c r="CZ333" s="496" t="s">
        <v>1969</v>
      </c>
      <c r="DA333" s="53" t="s">
        <v>1989</v>
      </c>
      <c r="DB333" s="53"/>
      <c r="DC333" s="53" t="s">
        <v>1990</v>
      </c>
    </row>
    <row r="334" spans="97:107" ht="165">
      <c r="CT334" s="3"/>
      <c r="CU334" s="3"/>
      <c r="CV334"/>
      <c r="CW334" s="81"/>
      <c r="CX334" s="81"/>
      <c r="CZ334" s="496" t="s">
        <v>1972</v>
      </c>
      <c r="DA334" s="53" t="s">
        <v>1991</v>
      </c>
      <c r="DB334" s="53"/>
      <c r="DC334" s="53"/>
    </row>
  </sheetData>
  <mergeCells count="96">
    <mergeCell ref="A29:D32"/>
    <mergeCell ref="A13:D16"/>
    <mergeCell ref="N13:Q14"/>
    <mergeCell ref="A17:D20"/>
    <mergeCell ref="A21:D24"/>
    <mergeCell ref="A25:D28"/>
    <mergeCell ref="I7:J7"/>
    <mergeCell ref="K7:L7"/>
    <mergeCell ref="N7:O7"/>
    <mergeCell ref="P7:Q7"/>
    <mergeCell ref="A9:D12"/>
    <mergeCell ref="N9:Q10"/>
    <mergeCell ref="N11:Q12"/>
    <mergeCell ref="A5:D8"/>
    <mergeCell ref="I5:J5"/>
    <mergeCell ref="K5:L5"/>
    <mergeCell ref="N5:O5"/>
    <mergeCell ref="P5:Q5"/>
    <mergeCell ref="I6:J6"/>
    <mergeCell ref="K6:L6"/>
    <mergeCell ref="N6:O6"/>
    <mergeCell ref="P6:Q6"/>
    <mergeCell ref="A1:G3"/>
    <mergeCell ref="I1:L3"/>
    <mergeCell ref="N1:Q3"/>
    <mergeCell ref="A4:D4"/>
    <mergeCell ref="I4:J4"/>
    <mergeCell ref="K4:L4"/>
    <mergeCell ref="N4:O4"/>
    <mergeCell ref="P4:Q4"/>
    <mergeCell ref="U17:W17"/>
    <mergeCell ref="BL1:BU1"/>
    <mergeCell ref="BX1:CA1"/>
    <mergeCell ref="CC1:CL1"/>
    <mergeCell ref="T2:W2"/>
    <mergeCell ref="T3:U3"/>
    <mergeCell ref="T11:W11"/>
    <mergeCell ref="T1:W1"/>
    <mergeCell ref="Y1:AB1"/>
    <mergeCell ref="AD1:AM1"/>
    <mergeCell ref="AP1:AS1"/>
    <mergeCell ref="AU1:BD1"/>
    <mergeCell ref="BG1:BJ1"/>
    <mergeCell ref="U12:W12"/>
    <mergeCell ref="U13:W13"/>
    <mergeCell ref="U14:W14"/>
    <mergeCell ref="U15:W15"/>
    <mergeCell ref="U16:W16"/>
    <mergeCell ref="CP29:CS32"/>
    <mergeCell ref="CP17:CS20"/>
    <mergeCell ref="CP21:CS24"/>
    <mergeCell ref="CP25:CS28"/>
    <mergeCell ref="U24:W24"/>
    <mergeCell ref="T25:W25"/>
    <mergeCell ref="U26:W26"/>
    <mergeCell ref="U27:W27"/>
    <mergeCell ref="U28:W28"/>
    <mergeCell ref="U29:W29"/>
    <mergeCell ref="U18:W18"/>
    <mergeCell ref="U19:W19"/>
    <mergeCell ref="T20:W20"/>
    <mergeCell ref="U21:W21"/>
    <mergeCell ref="U22:W22"/>
    <mergeCell ref="U23:W23"/>
    <mergeCell ref="U30:W30"/>
    <mergeCell ref="T31:W31"/>
    <mergeCell ref="U32:W32"/>
    <mergeCell ref="U33:W33"/>
    <mergeCell ref="U34:W34"/>
    <mergeCell ref="CP1:CV3"/>
    <mergeCell ref="CX1:DA3"/>
    <mergeCell ref="DC1:DF3"/>
    <mergeCell ref="CP4:CS4"/>
    <mergeCell ref="CX4:CY4"/>
    <mergeCell ref="CZ4:DA4"/>
    <mergeCell ref="DC4:DD4"/>
    <mergeCell ref="DE4:DF4"/>
    <mergeCell ref="CP13:CS16"/>
    <mergeCell ref="DC13:DF14"/>
    <mergeCell ref="CZ7:DA7"/>
    <mergeCell ref="DC7:DD7"/>
    <mergeCell ref="DE7:DF7"/>
    <mergeCell ref="CP9:CS12"/>
    <mergeCell ref="DC9:DF10"/>
    <mergeCell ref="DC11:DF12"/>
    <mergeCell ref="CP5:CS8"/>
    <mergeCell ref="CX5:CY5"/>
    <mergeCell ref="CZ5:DA5"/>
    <mergeCell ref="DC5:DD5"/>
    <mergeCell ref="CX7:CY7"/>
    <mergeCell ref="DN2:DP2"/>
    <mergeCell ref="DE5:DF5"/>
    <mergeCell ref="CX6:CY6"/>
    <mergeCell ref="CZ6:DA6"/>
    <mergeCell ref="DC6:DD6"/>
    <mergeCell ref="DE6:DF6"/>
  </mergeCells>
  <hyperlinks>
    <hyperlink ref="DL2" r:id="rId1" xr:uid="{210E78F6-5CAA-4DE5-A360-484D9C0F84EA}"/>
    <hyperlink ref="DL3" r:id="rId2" xr:uid="{9F7C5003-B056-42E4-835F-5C784036D9ED}"/>
    <hyperlink ref="DL4" r:id="rId3" xr:uid="{6D205307-651C-4988-B6C0-0E6239A8C8AA}"/>
    <hyperlink ref="DL5" r:id="rId4" xr:uid="{5808E52E-EF2B-4F07-8F51-94A1C4B22674}"/>
    <hyperlink ref="DL6" r:id="rId5" xr:uid="{178991F6-4C3D-446B-9D30-AAD96DBBE883}"/>
    <hyperlink ref="DL7" r:id="rId6" xr:uid="{54CE222E-A364-4105-A8FC-11CB5D52DD31}"/>
    <hyperlink ref="DL10" r:id="rId7" xr:uid="{6A78C379-CEDC-46CB-A78A-93BBD55E4814}"/>
    <hyperlink ref="DL12" r:id="rId8" xr:uid="{0F36C6EA-AABD-4A35-8811-8012BAA87D1A}"/>
    <hyperlink ref="DL13" r:id="rId9" xr:uid="{7E853353-A830-4332-8C91-F1E30B807AAE}"/>
    <hyperlink ref="DL14" r:id="rId10" xr:uid="{A568EAA5-6C53-4B3F-8A59-B4AF88AB9BCB}"/>
    <hyperlink ref="DL15" r:id="rId11" xr:uid="{94FBAB7A-7E2F-47E7-9237-4607A45EC839}"/>
    <hyperlink ref="DL16" r:id="rId12" xr:uid="{4F8A11FF-3C56-4DCC-BBEF-157F54F046A0}"/>
    <hyperlink ref="DL17" r:id="rId13" xr:uid="{BC95F231-529E-4ABE-9298-40E2AB5CECCF}"/>
    <hyperlink ref="DL18" r:id="rId14" xr:uid="{15E3154B-510A-4549-806B-42A356C5173E}"/>
    <hyperlink ref="DL19" r:id="rId15" xr:uid="{5FFF8D5A-7E37-4348-9FD3-F93A5277CC0A}"/>
    <hyperlink ref="DL20" r:id="rId16" xr:uid="{EA03B0C2-F72F-4E94-BED1-A20ADE2B8F84}"/>
    <hyperlink ref="DL21" r:id="rId17" xr:uid="{4627E3C9-0232-4377-8AEF-DB362DE0D251}"/>
    <hyperlink ref="DL22" r:id="rId18" xr:uid="{B7A27EEC-F623-4848-BFFA-4ABDE2F26FCC}"/>
    <hyperlink ref="DL23" r:id="rId19" xr:uid="{F6C1D9E7-29E7-41D6-B965-D9736BF6232F}"/>
    <hyperlink ref="DL24" r:id="rId20" xr:uid="{A76BA129-6E22-4CBB-A814-6A88D28660D2}"/>
    <hyperlink ref="DL26" r:id="rId21" xr:uid="{7E667146-A991-4296-A1C2-C7838CAEAB01}"/>
    <hyperlink ref="DL27" r:id="rId22" xr:uid="{68C7CF01-3AB8-439F-A3EF-DCB6AD76FFFE}"/>
    <hyperlink ref="CT320" r:id="rId23" xr:uid="{4497F10C-BD17-43C1-AF54-C18AECE693BB}"/>
    <hyperlink ref="CT321" r:id="rId24" xr:uid="{A36F061F-4876-4B5A-8E36-BEF93A6A12C3}"/>
    <hyperlink ref="CT322" r:id="rId25" xr:uid="{9FA2B75A-AEC7-4DAA-8473-98B03EFE4447}"/>
    <hyperlink ref="CT324" r:id="rId26" xr:uid="{127FD67A-38AD-408F-BFE8-017B4143CAA3}"/>
    <hyperlink ref="CT325" r:id="rId27" xr:uid="{E888E5ED-5347-47A3-BE0F-1CF575B51059}"/>
    <hyperlink ref="CT327" r:id="rId28" xr:uid="{DDE230EB-C6BB-454C-8908-5348FE5EEFDF}"/>
    <hyperlink ref="CT328" r:id="rId29" xr:uid="{2771A4F6-369D-427A-8240-08AEBBE78B93}"/>
    <hyperlink ref="CT326" r:id="rId30" xr:uid="{96684FF1-D059-4868-9E7F-102A8BFB806A}"/>
    <hyperlink ref="CT323" r:id="rId31" xr:uid="{286DB84C-8F40-44CF-A413-F385F86C24C4}"/>
  </hyperlinks>
  <pageMargins left="0.7" right="0.7" top="0.75" bottom="0.75" header="0.3" footer="0.3"/>
  <legacyDrawing r:id="rId3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83F89-8621-4B5F-90BB-43D230823674}">
  <sheetPr>
    <tabColor rgb="FFCCFFFF"/>
  </sheetPr>
  <dimension ref="A2:Q309"/>
  <sheetViews>
    <sheetView zoomScaleNormal="100" workbookViewId="0">
      <selection activeCell="B19" sqref="B19:E28"/>
    </sheetView>
  </sheetViews>
  <sheetFormatPr defaultRowHeight="24" customHeight="1"/>
  <cols>
    <col min="2" max="2" width="29.140625" style="272" customWidth="1"/>
    <col min="3" max="3" width="27.5703125" style="272" customWidth="1"/>
    <col min="4" max="4" width="13.7109375" customWidth="1"/>
    <col min="5" max="5" width="19.140625" customWidth="1"/>
    <col min="8" max="8" width="28.85546875" customWidth="1"/>
    <col min="9" max="9" width="26.7109375" customWidth="1"/>
    <col min="10" max="10" width="18" customWidth="1"/>
    <col min="11" max="11" width="20.5703125" customWidth="1"/>
    <col min="14" max="14" width="21.5703125" customWidth="1"/>
    <col min="15" max="15" width="32.28515625" customWidth="1"/>
    <col min="16" max="16" width="25.5703125" customWidth="1"/>
    <col min="17" max="17" width="27.140625" customWidth="1"/>
  </cols>
  <sheetData>
    <row r="2" spans="1:16" s="3" customFormat="1" ht="24" customHeight="1">
      <c r="A2"/>
      <c r="B2" s="272"/>
      <c r="C2" s="272"/>
      <c r="D2"/>
      <c r="E2"/>
      <c r="F2"/>
      <c r="G2"/>
      <c r="N2" s="1303"/>
      <c r="O2" s="1303"/>
      <c r="P2" s="1303"/>
    </row>
    <row r="3" spans="1:16" s="3" customFormat="1" ht="24" customHeight="1">
      <c r="A3"/>
      <c r="B3" s="1304" t="s">
        <v>1992</v>
      </c>
      <c r="C3" s="1305" t="s">
        <v>781</v>
      </c>
      <c r="D3" s="1304" t="s">
        <v>1993</v>
      </c>
      <c r="E3" s="1304" t="s">
        <v>1994</v>
      </c>
      <c r="F3"/>
      <c r="G3"/>
      <c r="H3" s="1304" t="s">
        <v>1992</v>
      </c>
      <c r="I3" s="1305" t="s">
        <v>781</v>
      </c>
      <c r="J3" s="1304" t="s">
        <v>1993</v>
      </c>
      <c r="K3" s="1304" t="s">
        <v>1994</v>
      </c>
      <c r="N3" s="1304" t="s">
        <v>1992</v>
      </c>
      <c r="O3" s="1304" t="s">
        <v>781</v>
      </c>
      <c r="P3" s="1304" t="s">
        <v>1994</v>
      </c>
    </row>
    <row r="4" spans="1:16" ht="24" customHeight="1">
      <c r="B4" s="1304"/>
      <c r="C4" s="1306"/>
      <c r="D4" s="1304"/>
      <c r="E4" s="1304"/>
      <c r="H4" s="1304"/>
      <c r="I4" s="1306"/>
      <c r="J4" s="1304"/>
      <c r="K4" s="1304"/>
      <c r="N4" s="1304"/>
      <c r="O4" s="1304"/>
      <c r="P4" s="1304"/>
    </row>
    <row r="5" spans="1:16" ht="15">
      <c r="B5" s="273"/>
      <c r="C5" s="274"/>
      <c r="D5" s="274"/>
      <c r="E5" s="274"/>
      <c r="H5" s="273"/>
      <c r="I5" s="274"/>
      <c r="J5" s="274"/>
      <c r="K5" s="274"/>
      <c r="N5" s="382"/>
      <c r="O5" s="383"/>
      <c r="P5" s="383"/>
    </row>
    <row r="6" spans="1:16" ht="24" customHeight="1">
      <c r="B6" s="273"/>
      <c r="C6" s="274"/>
      <c r="D6" s="274"/>
      <c r="E6" s="274"/>
      <c r="H6" s="273"/>
      <c r="I6" s="274"/>
      <c r="J6" s="274"/>
      <c r="K6" s="274"/>
      <c r="N6" s="382"/>
      <c r="O6" s="383"/>
      <c r="P6" s="383"/>
    </row>
    <row r="7" spans="1:16" ht="24" customHeight="1">
      <c r="B7" s="273"/>
      <c r="C7" s="274"/>
      <c r="D7" s="274"/>
      <c r="E7" s="274"/>
      <c r="H7" s="273"/>
      <c r="I7" s="274"/>
      <c r="J7" s="274"/>
      <c r="K7" s="274"/>
      <c r="N7" s="382"/>
      <c r="O7" s="383"/>
      <c r="P7" s="383"/>
    </row>
    <row r="8" spans="1:16" ht="24" customHeight="1">
      <c r="B8" s="275"/>
      <c r="C8" s="276"/>
      <c r="D8" s="276"/>
      <c r="E8" s="276"/>
      <c r="H8" s="275"/>
      <c r="I8" s="276"/>
      <c r="J8" s="276"/>
      <c r="K8" s="276"/>
      <c r="N8" s="382"/>
      <c r="O8" s="383"/>
      <c r="P8" s="383"/>
    </row>
    <row r="9" spans="1:16" ht="24" customHeight="1">
      <c r="B9" s="275"/>
      <c r="C9" s="276"/>
      <c r="D9" s="276"/>
      <c r="E9" s="276"/>
      <c r="H9" s="275"/>
      <c r="I9" s="276"/>
      <c r="J9" s="276"/>
      <c r="K9" s="276"/>
      <c r="N9" s="382"/>
      <c r="O9" s="383"/>
      <c r="P9" s="383"/>
    </row>
    <row r="10" spans="1:16" ht="24" customHeight="1">
      <c r="B10" s="275"/>
      <c r="C10" s="276"/>
      <c r="D10" s="276"/>
      <c r="E10" s="276"/>
      <c r="H10" s="275"/>
      <c r="I10" s="276"/>
      <c r="J10" s="276"/>
      <c r="K10" s="276"/>
      <c r="N10" s="382"/>
      <c r="O10" s="383"/>
      <c r="P10" s="383"/>
    </row>
    <row r="11" spans="1:16" ht="24" customHeight="1">
      <c r="B11" s="273"/>
      <c r="C11" s="274"/>
      <c r="D11" s="274"/>
      <c r="E11" s="274"/>
      <c r="H11" s="273"/>
      <c r="I11" s="274"/>
      <c r="J11" s="274"/>
      <c r="K11" s="274"/>
      <c r="N11" s="382"/>
      <c r="O11" s="383"/>
      <c r="P11" s="383"/>
    </row>
    <row r="12" spans="1:16" ht="24" customHeight="1">
      <c r="B12" s="273"/>
      <c r="C12" s="274"/>
      <c r="D12" s="274"/>
      <c r="E12" s="274"/>
      <c r="H12" s="273"/>
      <c r="I12" s="274"/>
      <c r="J12" s="274"/>
      <c r="K12" s="274"/>
      <c r="N12" s="382"/>
      <c r="O12" s="383"/>
      <c r="P12" s="383"/>
    </row>
    <row r="13" spans="1:16" ht="24" customHeight="1">
      <c r="B13" s="273"/>
      <c r="C13" s="274"/>
      <c r="D13" s="274"/>
      <c r="E13" s="274"/>
      <c r="H13" s="273"/>
      <c r="I13" s="274"/>
      <c r="J13" s="274"/>
      <c r="K13" s="274"/>
      <c r="N13" s="382"/>
      <c r="O13" s="383"/>
      <c r="P13" s="383"/>
    </row>
    <row r="14" spans="1:16" ht="24" customHeight="1">
      <c r="B14" s="275"/>
      <c r="C14" s="276"/>
      <c r="D14" s="276"/>
      <c r="E14" s="276"/>
      <c r="H14" s="275"/>
      <c r="I14" s="276"/>
      <c r="J14" s="276"/>
      <c r="K14" s="276"/>
      <c r="N14" s="382"/>
      <c r="O14" s="383"/>
      <c r="P14" s="383"/>
    </row>
    <row r="15" spans="1:16" ht="24" customHeight="1">
      <c r="B15" s="275"/>
      <c r="C15" s="276"/>
      <c r="D15" s="276"/>
      <c r="E15" s="276"/>
      <c r="H15" s="275"/>
      <c r="I15" s="276"/>
      <c r="J15" s="276"/>
      <c r="K15" s="276"/>
      <c r="N15" s="382"/>
      <c r="O15" s="383"/>
      <c r="P15" s="383"/>
    </row>
    <row r="16" spans="1:16" ht="24" customHeight="1">
      <c r="B16" s="275"/>
      <c r="C16" s="276"/>
      <c r="D16" s="276"/>
      <c r="E16" s="276"/>
      <c r="H16" s="275"/>
      <c r="I16" s="276"/>
      <c r="J16" s="276"/>
      <c r="K16" s="276"/>
      <c r="N16" s="382"/>
      <c r="O16" s="383"/>
      <c r="P16" s="383"/>
    </row>
    <row r="19" spans="2:17" ht="24" customHeight="1">
      <c r="B19" s="1304" t="s">
        <v>1992</v>
      </c>
      <c r="C19" s="1305" t="s">
        <v>781</v>
      </c>
      <c r="D19" s="1304" t="s">
        <v>1993</v>
      </c>
      <c r="E19" s="1304" t="s">
        <v>1994</v>
      </c>
      <c r="H19" s="1304" t="s">
        <v>1992</v>
      </c>
      <c r="I19" s="1305" t="s">
        <v>781</v>
      </c>
      <c r="J19" s="1304" t="s">
        <v>1993</v>
      </c>
      <c r="K19" s="1304" t="s">
        <v>1994</v>
      </c>
    </row>
    <row r="20" spans="2:17" ht="24" customHeight="1">
      <c r="B20" s="1304"/>
      <c r="C20" s="1306"/>
      <c r="D20" s="1304"/>
      <c r="E20" s="1304"/>
      <c r="H20" s="1304"/>
      <c r="I20" s="1306"/>
      <c r="J20" s="1304"/>
      <c r="K20" s="1304"/>
    </row>
    <row r="21" spans="2:17" ht="24" customHeight="1">
      <c r="B21" s="273"/>
      <c r="C21" s="274"/>
      <c r="D21" s="274"/>
      <c r="E21" s="274"/>
      <c r="H21" s="273"/>
      <c r="I21" s="274"/>
      <c r="J21" s="274"/>
      <c r="K21" s="274"/>
    </row>
    <row r="22" spans="2:17" ht="24" customHeight="1">
      <c r="B22" s="273"/>
      <c r="C22" s="274"/>
      <c r="D22" s="274"/>
      <c r="E22" s="274"/>
      <c r="H22" s="273"/>
      <c r="I22" s="274"/>
      <c r="J22" s="274"/>
      <c r="K22" s="274"/>
    </row>
    <row r="23" spans="2:17" ht="24" customHeight="1">
      <c r="B23" s="275"/>
      <c r="C23" s="276"/>
      <c r="D23" s="276"/>
      <c r="E23" s="276"/>
      <c r="H23" s="275"/>
      <c r="I23" s="276"/>
      <c r="J23" s="276"/>
      <c r="K23" s="276"/>
      <c r="N23" s="799" t="s">
        <v>1992</v>
      </c>
      <c r="O23" s="800" t="s">
        <v>781</v>
      </c>
      <c r="P23" s="799" t="s">
        <v>1993</v>
      </c>
      <c r="Q23" s="799" t="s">
        <v>1994</v>
      </c>
    </row>
    <row r="24" spans="2:17" ht="24" customHeight="1">
      <c r="B24" s="275"/>
      <c r="C24" s="276"/>
      <c r="D24" s="276"/>
      <c r="E24" s="276"/>
      <c r="H24" s="275"/>
      <c r="I24" s="276"/>
      <c r="J24" s="276"/>
      <c r="K24" s="276"/>
      <c r="N24" s="273"/>
      <c r="O24" s="274"/>
      <c r="P24" s="274"/>
      <c r="Q24" s="274"/>
    </row>
    <row r="25" spans="2:17" ht="24" customHeight="1">
      <c r="B25" s="273"/>
      <c r="C25" s="274"/>
      <c r="D25" s="274"/>
      <c r="E25" s="274"/>
      <c r="H25" s="273"/>
      <c r="I25" s="274"/>
      <c r="J25" s="274"/>
      <c r="K25" s="274"/>
      <c r="N25" s="273"/>
      <c r="O25" s="274"/>
      <c r="P25" s="274"/>
      <c r="Q25" s="274"/>
    </row>
    <row r="26" spans="2:17" ht="24" customHeight="1">
      <c r="B26" s="273"/>
      <c r="C26" s="274"/>
      <c r="D26" s="274"/>
      <c r="E26" s="274"/>
      <c r="H26" s="273"/>
      <c r="I26" s="274"/>
      <c r="J26" s="274"/>
      <c r="K26" s="274"/>
      <c r="N26" s="273"/>
      <c r="O26" s="274"/>
      <c r="P26" s="274"/>
      <c r="Q26" s="274"/>
    </row>
    <row r="27" spans="2:17" ht="24" customHeight="1">
      <c r="B27" s="275"/>
      <c r="C27" s="276"/>
      <c r="D27" s="276"/>
      <c r="E27" s="276"/>
      <c r="H27" s="275"/>
      <c r="I27" s="276"/>
      <c r="J27" s="276"/>
      <c r="K27" s="276"/>
      <c r="N27" s="273"/>
      <c r="O27" s="274"/>
      <c r="P27" s="274"/>
      <c r="Q27" s="274"/>
    </row>
    <row r="28" spans="2:17" ht="24" customHeight="1">
      <c r="B28" s="275"/>
      <c r="C28" s="276"/>
      <c r="D28" s="276"/>
      <c r="E28" s="276"/>
      <c r="H28" s="275"/>
      <c r="I28" s="276"/>
      <c r="J28" s="276"/>
      <c r="K28" s="276"/>
      <c r="N28" s="273"/>
      <c r="O28" s="274"/>
      <c r="P28" s="274"/>
      <c r="Q28" s="274"/>
    </row>
    <row r="29" spans="2:17" ht="24" customHeight="1">
      <c r="H29" s="272"/>
      <c r="I29" s="272"/>
      <c r="N29" s="273"/>
      <c r="O29" s="274"/>
      <c r="P29" s="274"/>
      <c r="Q29" s="274"/>
    </row>
    <row r="30" spans="2:17" ht="24" customHeight="1">
      <c r="H30" s="272"/>
      <c r="I30" s="272"/>
      <c r="N30" s="273"/>
      <c r="O30" s="274"/>
      <c r="P30" s="274"/>
      <c r="Q30" s="274"/>
    </row>
    <row r="31" spans="2:17" ht="24" customHeight="1">
      <c r="B31" s="1304" t="s">
        <v>1992</v>
      </c>
      <c r="C31" s="1305" t="s">
        <v>781</v>
      </c>
      <c r="D31" s="1304" t="s">
        <v>1993</v>
      </c>
      <c r="E31" s="1304" t="s">
        <v>1994</v>
      </c>
      <c r="H31" s="1304" t="s">
        <v>1992</v>
      </c>
      <c r="I31" s="1305" t="s">
        <v>781</v>
      </c>
      <c r="J31" s="1304" t="s">
        <v>1993</v>
      </c>
      <c r="K31" s="1304" t="s">
        <v>1994</v>
      </c>
      <c r="N31" s="273"/>
      <c r="O31" s="274"/>
      <c r="P31" s="274"/>
      <c r="Q31" s="274"/>
    </row>
    <row r="32" spans="2:17" ht="24" customHeight="1">
      <c r="B32" s="1304"/>
      <c r="C32" s="1306"/>
      <c r="D32" s="1304"/>
      <c r="E32" s="1304"/>
      <c r="H32" s="1304"/>
      <c r="I32" s="1306"/>
      <c r="J32" s="1304"/>
      <c r="K32" s="1304"/>
      <c r="N32" s="273"/>
      <c r="O32" s="274"/>
      <c r="P32" s="274"/>
      <c r="Q32" s="274"/>
    </row>
    <row r="33" spans="2:17" ht="24" customHeight="1">
      <c r="B33" s="273"/>
      <c r="C33" s="274"/>
      <c r="D33" s="274"/>
      <c r="E33" s="274"/>
      <c r="H33" s="273"/>
      <c r="I33" s="274"/>
      <c r="J33" s="274"/>
      <c r="K33" s="274"/>
      <c r="N33" s="273"/>
      <c r="O33" s="274"/>
      <c r="P33" s="274"/>
      <c r="Q33" s="274"/>
    </row>
    <row r="34" spans="2:17" ht="24" customHeight="1">
      <c r="B34" s="273"/>
      <c r="C34" s="274"/>
      <c r="D34" s="274"/>
      <c r="E34" s="274"/>
      <c r="H34" s="273"/>
      <c r="I34" s="274"/>
      <c r="J34" s="274"/>
      <c r="K34" s="274"/>
      <c r="N34" s="273"/>
      <c r="O34" s="274"/>
      <c r="P34" s="274"/>
      <c r="Q34" s="274"/>
    </row>
    <row r="35" spans="2:17" ht="24" customHeight="1">
      <c r="B35" s="273"/>
      <c r="C35" s="274"/>
      <c r="D35" s="274"/>
      <c r="E35" s="274"/>
      <c r="H35" s="273"/>
      <c r="I35" s="274"/>
      <c r="J35" s="274"/>
      <c r="K35" s="274"/>
      <c r="N35" s="273"/>
      <c r="O35" s="274"/>
      <c r="P35" s="274"/>
      <c r="Q35" s="274"/>
    </row>
    <row r="36" spans="2:17" ht="24" customHeight="1">
      <c r="B36" s="275"/>
      <c r="C36" s="276"/>
      <c r="D36" s="276"/>
      <c r="E36" s="276"/>
      <c r="H36" s="275"/>
      <c r="I36" s="276"/>
      <c r="J36" s="276"/>
      <c r="K36" s="276"/>
      <c r="N36" s="273"/>
      <c r="O36" s="274"/>
      <c r="P36" s="274"/>
      <c r="Q36" s="274"/>
    </row>
    <row r="37" spans="2:17" ht="24" customHeight="1">
      <c r="B37" s="275"/>
      <c r="C37" s="276"/>
      <c r="D37" s="276"/>
      <c r="E37" s="276"/>
      <c r="H37" s="275"/>
      <c r="I37" s="276"/>
      <c r="J37" s="276"/>
      <c r="K37" s="276"/>
      <c r="N37" s="273"/>
      <c r="O37" s="274"/>
      <c r="P37" s="274"/>
      <c r="Q37" s="274"/>
    </row>
    <row r="38" spans="2:17" ht="24" customHeight="1">
      <c r="B38" s="275"/>
      <c r="C38" s="276"/>
      <c r="D38" s="276"/>
      <c r="E38" s="276"/>
      <c r="H38" s="275"/>
      <c r="I38" s="276"/>
      <c r="J38" s="276"/>
      <c r="K38" s="276"/>
      <c r="N38" s="273"/>
      <c r="O38" s="274"/>
      <c r="P38" s="274"/>
      <c r="Q38" s="274"/>
    </row>
    <row r="39" spans="2:17" ht="24" customHeight="1">
      <c r="B39" s="273"/>
      <c r="C39" s="274"/>
      <c r="D39" s="274"/>
      <c r="E39" s="274"/>
      <c r="H39" s="273"/>
      <c r="I39" s="274"/>
      <c r="J39" s="274"/>
      <c r="K39" s="274"/>
      <c r="N39" s="273"/>
      <c r="O39" s="274"/>
      <c r="P39" s="274"/>
      <c r="Q39" s="274"/>
    </row>
    <row r="40" spans="2:17" ht="24" customHeight="1">
      <c r="B40" s="273"/>
      <c r="C40" s="274"/>
      <c r="D40" s="274"/>
      <c r="E40" s="274"/>
      <c r="H40" s="273"/>
      <c r="I40" s="274"/>
      <c r="J40" s="274"/>
      <c r="K40" s="274"/>
      <c r="N40" s="273"/>
      <c r="O40" s="274"/>
      <c r="P40" s="274"/>
      <c r="Q40" s="274"/>
    </row>
    <row r="41" spans="2:17" ht="24" customHeight="1">
      <c r="B41" s="273"/>
      <c r="C41" s="274"/>
      <c r="D41" s="274"/>
      <c r="E41" s="274"/>
      <c r="H41" s="273"/>
      <c r="I41" s="274"/>
      <c r="J41" s="274"/>
      <c r="K41" s="274"/>
      <c r="N41" s="273"/>
      <c r="O41" s="274"/>
      <c r="P41" s="274"/>
      <c r="Q41" s="274"/>
    </row>
    <row r="42" spans="2:17" ht="24" customHeight="1">
      <c r="B42" s="275"/>
      <c r="C42" s="276"/>
      <c r="D42" s="276"/>
      <c r="E42" s="276"/>
      <c r="H42" s="275"/>
      <c r="I42" s="276"/>
      <c r="J42" s="276"/>
      <c r="K42" s="276"/>
      <c r="N42" s="273"/>
      <c r="O42" s="274"/>
      <c r="P42" s="274"/>
      <c r="Q42" s="274"/>
    </row>
    <row r="43" spans="2:17" ht="24" customHeight="1">
      <c r="B43" s="275"/>
      <c r="C43" s="276"/>
      <c r="D43" s="276"/>
      <c r="E43" s="276"/>
      <c r="H43" s="275"/>
      <c r="I43" s="276"/>
      <c r="J43" s="276"/>
      <c r="K43" s="276"/>
      <c r="N43" s="273"/>
      <c r="O43" s="274"/>
      <c r="P43" s="274"/>
      <c r="Q43" s="274"/>
    </row>
    <row r="44" spans="2:17" ht="24" customHeight="1">
      <c r="B44" s="275"/>
      <c r="C44" s="276"/>
      <c r="D44" s="276"/>
      <c r="E44" s="276"/>
      <c r="H44" s="275"/>
      <c r="I44" s="276"/>
      <c r="J44" s="276"/>
      <c r="K44" s="276"/>
    </row>
    <row r="45" spans="2:17" ht="24" customHeight="1">
      <c r="H45" s="272"/>
      <c r="I45" s="272"/>
    </row>
    <row r="46" spans="2:17" ht="24" customHeight="1">
      <c r="H46" s="272"/>
      <c r="I46" s="272"/>
    </row>
    <row r="47" spans="2:17" ht="24" customHeight="1">
      <c r="B47" s="1304" t="s">
        <v>1992</v>
      </c>
      <c r="C47" s="1305" t="s">
        <v>781</v>
      </c>
      <c r="D47" s="1304" t="s">
        <v>1993</v>
      </c>
      <c r="E47" s="1304" t="s">
        <v>1994</v>
      </c>
      <c r="H47" s="1304" t="s">
        <v>1992</v>
      </c>
      <c r="I47" s="1305" t="s">
        <v>781</v>
      </c>
      <c r="J47" s="1304" t="s">
        <v>1993</v>
      </c>
      <c r="K47" s="1304" t="s">
        <v>1994</v>
      </c>
    </row>
    <row r="48" spans="2:17" ht="24" customHeight="1">
      <c r="B48" s="1304"/>
      <c r="C48" s="1306"/>
      <c r="D48" s="1304"/>
      <c r="E48" s="1304"/>
      <c r="H48" s="1304"/>
      <c r="I48" s="1306"/>
      <c r="J48" s="1304"/>
      <c r="K48" s="1304"/>
    </row>
    <row r="49" spans="2:11" ht="24" customHeight="1">
      <c r="B49" s="273"/>
      <c r="C49" s="274"/>
      <c r="D49" s="274"/>
      <c r="E49" s="274"/>
      <c r="H49" s="273"/>
      <c r="I49" s="274"/>
      <c r="J49" s="274"/>
      <c r="K49" s="274"/>
    </row>
    <row r="50" spans="2:11" ht="24" customHeight="1">
      <c r="B50" s="273"/>
      <c r="C50" s="274"/>
      <c r="D50" s="274"/>
      <c r="E50" s="274"/>
      <c r="H50" s="273"/>
      <c r="I50" s="274"/>
      <c r="J50" s="274"/>
      <c r="K50" s="274"/>
    </row>
    <row r="51" spans="2:11" ht="24" customHeight="1">
      <c r="B51" s="273"/>
      <c r="C51" s="274"/>
      <c r="D51" s="274"/>
      <c r="E51" s="274"/>
      <c r="H51" s="273"/>
      <c r="I51" s="274"/>
      <c r="J51" s="274"/>
      <c r="K51" s="274"/>
    </row>
    <row r="52" spans="2:11" ht="24" customHeight="1">
      <c r="B52" s="275"/>
      <c r="C52" s="276"/>
      <c r="D52" s="276"/>
      <c r="E52" s="276"/>
      <c r="H52" s="275"/>
      <c r="I52" s="276"/>
      <c r="J52" s="276"/>
      <c r="K52" s="276"/>
    </row>
    <row r="53" spans="2:11" ht="24" customHeight="1">
      <c r="B53" s="275"/>
      <c r="C53" s="276"/>
      <c r="D53" s="276"/>
      <c r="E53" s="276"/>
      <c r="H53" s="275"/>
      <c r="I53" s="276"/>
      <c r="J53" s="276"/>
      <c r="K53" s="276"/>
    </row>
    <row r="54" spans="2:11" ht="24" customHeight="1">
      <c r="B54" s="275"/>
      <c r="C54" s="276"/>
      <c r="D54" s="276"/>
      <c r="E54" s="276"/>
      <c r="H54" s="275"/>
      <c r="I54" s="276"/>
      <c r="J54" s="276"/>
      <c r="K54" s="276"/>
    </row>
    <row r="55" spans="2:11" ht="24" customHeight="1">
      <c r="B55" s="273"/>
      <c r="C55" s="274"/>
      <c r="D55" s="274"/>
      <c r="E55" s="274"/>
      <c r="H55" s="273"/>
      <c r="I55" s="274"/>
      <c r="J55" s="274"/>
      <c r="K55" s="274"/>
    </row>
    <row r="56" spans="2:11" ht="24" customHeight="1">
      <c r="B56" s="273"/>
      <c r="C56" s="274"/>
      <c r="D56" s="274"/>
      <c r="E56" s="274"/>
      <c r="H56" s="273"/>
      <c r="I56" s="274"/>
      <c r="J56" s="274"/>
      <c r="K56" s="274"/>
    </row>
    <row r="57" spans="2:11" ht="24" customHeight="1">
      <c r="B57" s="273"/>
      <c r="C57" s="274"/>
      <c r="D57" s="274"/>
      <c r="E57" s="274"/>
      <c r="H57" s="273"/>
      <c r="I57" s="274"/>
      <c r="J57" s="274"/>
      <c r="K57" s="274"/>
    </row>
    <row r="58" spans="2:11" ht="24" customHeight="1">
      <c r="B58" s="275"/>
      <c r="C58" s="276"/>
      <c r="D58" s="276"/>
      <c r="E58" s="276"/>
      <c r="H58" s="275"/>
      <c r="I58" s="276"/>
      <c r="J58" s="276"/>
      <c r="K58" s="276"/>
    </row>
    <row r="59" spans="2:11" ht="24" customHeight="1">
      <c r="B59" s="275"/>
      <c r="C59" s="276"/>
      <c r="D59" s="276"/>
      <c r="E59" s="276"/>
      <c r="H59" s="275"/>
      <c r="I59" s="276"/>
      <c r="J59" s="276"/>
      <c r="K59" s="276"/>
    </row>
    <row r="60" spans="2:11" ht="24" customHeight="1">
      <c r="B60" s="275"/>
      <c r="C60" s="276"/>
      <c r="D60" s="276"/>
      <c r="E60" s="276"/>
      <c r="H60" s="275"/>
      <c r="I60" s="276"/>
      <c r="J60" s="276"/>
      <c r="K60" s="276"/>
    </row>
    <row r="61" spans="2:11" ht="24" customHeight="1">
      <c r="H61" s="272"/>
      <c r="I61" s="272"/>
    </row>
    <row r="62" spans="2:11" ht="24" customHeight="1">
      <c r="H62" s="272"/>
      <c r="I62" s="272"/>
    </row>
    <row r="63" spans="2:11" ht="24" customHeight="1">
      <c r="B63" s="1304" t="s">
        <v>1992</v>
      </c>
      <c r="C63" s="1305" t="s">
        <v>781</v>
      </c>
      <c r="D63" s="1304" t="s">
        <v>1993</v>
      </c>
      <c r="E63" s="1304" t="s">
        <v>1994</v>
      </c>
      <c r="H63" s="1304" t="s">
        <v>1992</v>
      </c>
      <c r="I63" s="1305" t="s">
        <v>781</v>
      </c>
      <c r="J63" s="1304" t="s">
        <v>1993</v>
      </c>
      <c r="K63" s="1304" t="s">
        <v>1994</v>
      </c>
    </row>
    <row r="64" spans="2:11" ht="24" customHeight="1">
      <c r="B64" s="1304"/>
      <c r="C64" s="1306"/>
      <c r="D64" s="1304"/>
      <c r="E64" s="1304"/>
      <c r="H64" s="1304"/>
      <c r="I64" s="1306"/>
      <c r="J64" s="1304"/>
      <c r="K64" s="1304"/>
    </row>
    <row r="65" spans="2:11" ht="24" customHeight="1">
      <c r="B65" s="273"/>
      <c r="C65" s="274"/>
      <c r="D65" s="274"/>
      <c r="E65" s="274"/>
      <c r="H65" s="273"/>
      <c r="I65" s="274"/>
      <c r="J65" s="274"/>
      <c r="K65" s="274"/>
    </row>
    <row r="66" spans="2:11" ht="24" customHeight="1">
      <c r="B66" s="273"/>
      <c r="C66" s="274"/>
      <c r="D66" s="274"/>
      <c r="E66" s="274"/>
      <c r="H66" s="273"/>
      <c r="I66" s="274"/>
      <c r="J66" s="274"/>
      <c r="K66" s="274"/>
    </row>
    <row r="67" spans="2:11" ht="24" customHeight="1">
      <c r="B67" s="275"/>
      <c r="C67" s="276"/>
      <c r="D67" s="276"/>
      <c r="E67" s="276"/>
      <c r="H67" s="275"/>
      <c r="I67" s="276"/>
      <c r="J67" s="276"/>
      <c r="K67" s="276"/>
    </row>
    <row r="68" spans="2:11" ht="24" customHeight="1">
      <c r="B68" s="275"/>
      <c r="C68" s="276"/>
      <c r="D68" s="276"/>
      <c r="E68" s="276"/>
      <c r="H68" s="275"/>
      <c r="I68" s="276"/>
      <c r="J68" s="276"/>
      <c r="K68" s="276"/>
    </row>
    <row r="69" spans="2:11" ht="24" customHeight="1">
      <c r="B69" s="273"/>
      <c r="C69" s="274"/>
      <c r="D69" s="274"/>
      <c r="E69" s="274"/>
      <c r="H69" s="273"/>
      <c r="I69" s="274"/>
      <c r="J69" s="274"/>
      <c r="K69" s="274"/>
    </row>
    <row r="70" spans="2:11" ht="24" customHeight="1">
      <c r="B70" s="273"/>
      <c r="C70" s="274"/>
      <c r="D70" s="274"/>
      <c r="E70" s="274"/>
      <c r="H70" s="273"/>
      <c r="I70" s="274"/>
      <c r="J70" s="274"/>
      <c r="K70" s="274"/>
    </row>
    <row r="71" spans="2:11" ht="24" customHeight="1">
      <c r="B71" s="275"/>
      <c r="C71" s="276"/>
      <c r="D71" s="276"/>
      <c r="E71" s="276"/>
      <c r="H71" s="275"/>
      <c r="I71" s="276"/>
      <c r="J71" s="276"/>
      <c r="K71" s="276"/>
    </row>
    <row r="72" spans="2:11" ht="24" customHeight="1">
      <c r="B72" s="275"/>
      <c r="C72" s="276"/>
      <c r="D72" s="276"/>
      <c r="E72" s="276"/>
      <c r="H72" s="275"/>
      <c r="I72" s="276"/>
      <c r="J72" s="276"/>
      <c r="K72" s="276"/>
    </row>
    <row r="73" spans="2:11" ht="24" customHeight="1">
      <c r="H73" s="272"/>
      <c r="I73" s="272"/>
    </row>
    <row r="74" spans="2:11" ht="24" customHeight="1">
      <c r="H74" s="272"/>
      <c r="I74" s="272"/>
    </row>
    <row r="75" spans="2:11" ht="24" customHeight="1">
      <c r="B75" s="1304" t="s">
        <v>1992</v>
      </c>
      <c r="C75" s="1305" t="s">
        <v>781</v>
      </c>
      <c r="D75" s="1304" t="s">
        <v>1993</v>
      </c>
      <c r="E75" s="1304" t="s">
        <v>1994</v>
      </c>
      <c r="H75" s="1304" t="s">
        <v>1992</v>
      </c>
      <c r="I75" s="1305" t="s">
        <v>781</v>
      </c>
      <c r="J75" s="1304" t="s">
        <v>1993</v>
      </c>
      <c r="K75" s="1304" t="s">
        <v>1994</v>
      </c>
    </row>
    <row r="76" spans="2:11" ht="24" customHeight="1">
      <c r="B76" s="1304"/>
      <c r="C76" s="1306"/>
      <c r="D76" s="1304"/>
      <c r="E76" s="1304"/>
      <c r="H76" s="1304"/>
      <c r="I76" s="1306"/>
      <c r="J76" s="1304"/>
      <c r="K76" s="1304"/>
    </row>
    <row r="77" spans="2:11" ht="24" customHeight="1">
      <c r="B77" s="273"/>
      <c r="C77" s="274"/>
      <c r="D77" s="274"/>
      <c r="E77" s="274"/>
      <c r="H77" s="273"/>
      <c r="I77" s="274"/>
      <c r="J77" s="274"/>
      <c r="K77" s="274"/>
    </row>
    <row r="78" spans="2:11" ht="24" customHeight="1">
      <c r="B78" s="273"/>
      <c r="C78" s="274"/>
      <c r="D78" s="274"/>
      <c r="E78" s="274"/>
      <c r="H78" s="273"/>
      <c r="I78" s="274"/>
      <c r="J78" s="274"/>
      <c r="K78" s="274"/>
    </row>
    <row r="79" spans="2:11" ht="24" customHeight="1">
      <c r="B79" s="273"/>
      <c r="C79" s="274"/>
      <c r="D79" s="274"/>
      <c r="E79" s="274"/>
      <c r="H79" s="273"/>
      <c r="I79" s="274"/>
      <c r="J79" s="274"/>
      <c r="K79" s="274"/>
    </row>
    <row r="80" spans="2:11" ht="24" customHeight="1">
      <c r="B80" s="275"/>
      <c r="C80" s="276"/>
      <c r="D80" s="276"/>
      <c r="E80" s="276"/>
      <c r="H80" s="275"/>
      <c r="I80" s="276"/>
      <c r="J80" s="276"/>
      <c r="K80" s="276"/>
    </row>
    <row r="81" spans="2:11" ht="24" customHeight="1">
      <c r="B81" s="275"/>
      <c r="C81" s="276"/>
      <c r="D81" s="276"/>
      <c r="E81" s="276"/>
      <c r="H81" s="275"/>
      <c r="I81" s="276"/>
      <c r="J81" s="276"/>
      <c r="K81" s="276"/>
    </row>
    <row r="82" spans="2:11" ht="24" customHeight="1">
      <c r="B82" s="275"/>
      <c r="C82" s="276"/>
      <c r="D82" s="276"/>
      <c r="E82" s="276"/>
      <c r="H82" s="275"/>
      <c r="I82" s="276"/>
      <c r="J82" s="276"/>
      <c r="K82" s="276"/>
    </row>
    <row r="83" spans="2:11" ht="24" customHeight="1">
      <c r="B83" s="273"/>
      <c r="C83" s="274"/>
      <c r="D83" s="274"/>
      <c r="E83" s="274"/>
      <c r="H83" s="273"/>
      <c r="I83" s="274"/>
      <c r="J83" s="274"/>
      <c r="K83" s="274"/>
    </row>
    <row r="84" spans="2:11" ht="24" customHeight="1">
      <c r="B84" s="273"/>
      <c r="C84" s="274"/>
      <c r="D84" s="274"/>
      <c r="E84" s="274"/>
      <c r="H84" s="273"/>
      <c r="I84" s="274"/>
      <c r="J84" s="274"/>
      <c r="K84" s="274"/>
    </row>
    <row r="85" spans="2:11" ht="24" customHeight="1">
      <c r="B85" s="273"/>
      <c r="C85" s="274"/>
      <c r="D85" s="274"/>
      <c r="E85" s="274"/>
      <c r="H85" s="273"/>
      <c r="I85" s="274"/>
      <c r="J85" s="274"/>
      <c r="K85" s="274"/>
    </row>
    <row r="86" spans="2:11" ht="24" customHeight="1">
      <c r="B86" s="275"/>
      <c r="C86" s="276"/>
      <c r="D86" s="276"/>
      <c r="E86" s="276"/>
      <c r="H86" s="275"/>
      <c r="I86" s="276"/>
      <c r="J86" s="276"/>
      <c r="K86" s="276"/>
    </row>
    <row r="87" spans="2:11" ht="24" customHeight="1">
      <c r="B87" s="275"/>
      <c r="C87" s="276"/>
      <c r="D87" s="276"/>
      <c r="E87" s="276"/>
      <c r="H87" s="275"/>
      <c r="I87" s="276"/>
      <c r="J87" s="276"/>
      <c r="K87" s="276"/>
    </row>
    <row r="88" spans="2:11" ht="24" customHeight="1">
      <c r="B88" s="275"/>
      <c r="C88" s="276"/>
      <c r="D88" s="276"/>
      <c r="E88" s="276"/>
      <c r="H88" s="275"/>
      <c r="I88" s="276"/>
      <c r="J88" s="276"/>
      <c r="K88" s="276"/>
    </row>
    <row r="89" spans="2:11" ht="24" customHeight="1">
      <c r="H89" s="272"/>
      <c r="I89" s="272"/>
    </row>
    <row r="90" spans="2:11" ht="24" customHeight="1">
      <c r="H90" s="272"/>
      <c r="I90" s="272"/>
    </row>
    <row r="91" spans="2:11" ht="24" customHeight="1">
      <c r="B91" s="1304" t="s">
        <v>1992</v>
      </c>
      <c r="C91" s="1305" t="s">
        <v>781</v>
      </c>
      <c r="D91" s="1304" t="s">
        <v>1993</v>
      </c>
      <c r="E91" s="1304" t="s">
        <v>1994</v>
      </c>
      <c r="H91" s="1304" t="s">
        <v>1992</v>
      </c>
      <c r="I91" s="1305" t="s">
        <v>781</v>
      </c>
      <c r="J91" s="1304" t="s">
        <v>1993</v>
      </c>
      <c r="K91" s="1304" t="s">
        <v>1994</v>
      </c>
    </row>
    <row r="92" spans="2:11" ht="24" customHeight="1">
      <c r="B92" s="1304"/>
      <c r="C92" s="1306"/>
      <c r="D92" s="1304"/>
      <c r="E92" s="1304"/>
      <c r="H92" s="1304"/>
      <c r="I92" s="1306"/>
      <c r="J92" s="1304"/>
      <c r="K92" s="1304"/>
    </row>
    <row r="93" spans="2:11" ht="24" customHeight="1">
      <c r="B93" s="273"/>
      <c r="C93" s="274"/>
      <c r="D93" s="274"/>
      <c r="E93" s="274"/>
      <c r="H93" s="273"/>
      <c r="I93" s="274"/>
      <c r="J93" s="274"/>
      <c r="K93" s="274"/>
    </row>
    <row r="94" spans="2:11" ht="24" customHeight="1">
      <c r="B94" s="273"/>
      <c r="C94" s="274"/>
      <c r="D94" s="274"/>
      <c r="E94" s="274"/>
      <c r="H94" s="273"/>
      <c r="I94" s="274"/>
      <c r="J94" s="274"/>
      <c r="K94" s="274"/>
    </row>
    <row r="95" spans="2:11" ht="24" customHeight="1">
      <c r="B95" s="273"/>
      <c r="C95" s="274"/>
      <c r="D95" s="274"/>
      <c r="E95" s="274"/>
      <c r="H95" s="273"/>
      <c r="I95" s="274"/>
      <c r="J95" s="274"/>
      <c r="K95" s="274"/>
    </row>
    <row r="96" spans="2:11" ht="24" customHeight="1">
      <c r="B96" s="275"/>
      <c r="C96" s="276"/>
      <c r="D96" s="276"/>
      <c r="E96" s="276"/>
      <c r="H96" s="275"/>
      <c r="I96" s="276"/>
      <c r="J96" s="276"/>
      <c r="K96" s="276"/>
    </row>
    <row r="97" spans="2:11" ht="24" customHeight="1">
      <c r="B97" s="275"/>
      <c r="C97" s="276"/>
      <c r="D97" s="276"/>
      <c r="E97" s="276"/>
      <c r="H97" s="275"/>
      <c r="I97" s="276"/>
      <c r="J97" s="276"/>
      <c r="K97" s="276"/>
    </row>
    <row r="98" spans="2:11" ht="24" customHeight="1">
      <c r="B98" s="275"/>
      <c r="C98" s="276"/>
      <c r="D98" s="276"/>
      <c r="E98" s="276"/>
      <c r="H98" s="275"/>
      <c r="I98" s="276"/>
      <c r="J98" s="276"/>
      <c r="K98" s="276"/>
    </row>
    <row r="99" spans="2:11" ht="24" customHeight="1">
      <c r="B99" s="273"/>
      <c r="C99" s="274"/>
      <c r="D99" s="274"/>
      <c r="E99" s="274"/>
      <c r="H99" s="273"/>
      <c r="I99" s="274"/>
      <c r="J99" s="274"/>
      <c r="K99" s="274"/>
    </row>
    <row r="100" spans="2:11" ht="24" customHeight="1">
      <c r="B100" s="273"/>
      <c r="C100" s="274"/>
      <c r="D100" s="274"/>
      <c r="E100" s="274"/>
      <c r="H100" s="273"/>
      <c r="I100" s="274"/>
      <c r="J100" s="274"/>
      <c r="K100" s="274"/>
    </row>
    <row r="101" spans="2:11" ht="24" customHeight="1">
      <c r="B101" s="273"/>
      <c r="C101" s="274"/>
      <c r="D101" s="274"/>
      <c r="E101" s="274"/>
      <c r="H101" s="273"/>
      <c r="I101" s="274"/>
      <c r="J101" s="274"/>
      <c r="K101" s="274"/>
    </row>
    <row r="102" spans="2:11" ht="24" customHeight="1">
      <c r="B102" s="275"/>
      <c r="C102" s="276"/>
      <c r="D102" s="276"/>
      <c r="E102" s="276"/>
      <c r="H102" s="275"/>
      <c r="I102" s="276"/>
      <c r="J102" s="276"/>
      <c r="K102" s="276"/>
    </row>
    <row r="103" spans="2:11" ht="24" customHeight="1">
      <c r="B103" s="275"/>
      <c r="C103" s="276"/>
      <c r="D103" s="276"/>
      <c r="E103" s="276"/>
      <c r="H103" s="275"/>
      <c r="I103" s="276"/>
      <c r="J103" s="276"/>
      <c r="K103" s="276"/>
    </row>
    <row r="104" spans="2:11" ht="24" customHeight="1">
      <c r="B104" s="275"/>
      <c r="C104" s="276"/>
      <c r="D104" s="276"/>
      <c r="E104" s="276"/>
      <c r="H104" s="275"/>
      <c r="I104" s="276"/>
      <c r="J104" s="276"/>
      <c r="K104" s="276"/>
    </row>
    <row r="105" spans="2:11" ht="24" customHeight="1">
      <c r="H105" s="272"/>
      <c r="I105" s="272"/>
    </row>
    <row r="106" spans="2:11" ht="24" customHeight="1">
      <c r="H106" s="272"/>
      <c r="I106" s="272"/>
    </row>
    <row r="107" spans="2:11" ht="24" customHeight="1">
      <c r="B107" s="1304" t="s">
        <v>1992</v>
      </c>
      <c r="C107" s="1305" t="s">
        <v>781</v>
      </c>
      <c r="D107" s="1304" t="s">
        <v>1993</v>
      </c>
      <c r="E107" s="1304" t="s">
        <v>1994</v>
      </c>
      <c r="H107" s="1304" t="s">
        <v>1992</v>
      </c>
      <c r="I107" s="1305" t="s">
        <v>781</v>
      </c>
      <c r="J107" s="1304" t="s">
        <v>1993</v>
      </c>
      <c r="K107" s="1304" t="s">
        <v>1994</v>
      </c>
    </row>
    <row r="108" spans="2:11" ht="24" customHeight="1">
      <c r="B108" s="1304"/>
      <c r="C108" s="1306"/>
      <c r="D108" s="1304"/>
      <c r="E108" s="1304"/>
      <c r="H108" s="1304"/>
      <c r="I108" s="1306"/>
      <c r="J108" s="1304"/>
      <c r="K108" s="1304"/>
    </row>
    <row r="109" spans="2:11" ht="24" customHeight="1">
      <c r="B109" s="273"/>
      <c r="C109" s="274"/>
      <c r="D109" s="274"/>
      <c r="E109" s="274"/>
      <c r="H109" s="273"/>
      <c r="I109" s="274"/>
      <c r="J109" s="274"/>
      <c r="K109" s="274"/>
    </row>
    <row r="110" spans="2:11" ht="24" customHeight="1">
      <c r="B110" s="273"/>
      <c r="C110" s="274"/>
      <c r="D110" s="274"/>
      <c r="E110" s="274"/>
      <c r="H110" s="273"/>
      <c r="I110" s="274"/>
      <c r="J110" s="274"/>
      <c r="K110" s="274"/>
    </row>
    <row r="111" spans="2:11" ht="24" customHeight="1">
      <c r="B111" s="273"/>
      <c r="C111" s="274"/>
      <c r="D111" s="274"/>
      <c r="E111" s="274"/>
      <c r="H111" s="273"/>
      <c r="I111" s="274"/>
      <c r="J111" s="274"/>
      <c r="K111" s="274"/>
    </row>
    <row r="112" spans="2:11" ht="24" customHeight="1">
      <c r="B112" s="275"/>
      <c r="C112" s="276"/>
      <c r="D112" s="276"/>
      <c r="E112" s="276"/>
      <c r="H112" s="275"/>
      <c r="I112" s="276"/>
      <c r="J112" s="276"/>
      <c r="K112" s="276"/>
    </row>
    <row r="113" spans="2:11" ht="24" customHeight="1">
      <c r="B113" s="275"/>
      <c r="C113" s="276"/>
      <c r="D113" s="276"/>
      <c r="E113" s="276"/>
      <c r="H113" s="275"/>
      <c r="I113" s="276"/>
      <c r="J113" s="276"/>
      <c r="K113" s="276"/>
    </row>
    <row r="114" spans="2:11" ht="24" customHeight="1">
      <c r="B114" s="275"/>
      <c r="C114" s="276"/>
      <c r="D114" s="276"/>
      <c r="E114" s="276"/>
      <c r="H114" s="275"/>
      <c r="I114" s="276"/>
      <c r="J114" s="276"/>
      <c r="K114" s="276"/>
    </row>
    <row r="115" spans="2:11" ht="24" customHeight="1">
      <c r="B115" s="273"/>
      <c r="C115" s="274"/>
      <c r="D115" s="274"/>
      <c r="E115" s="274"/>
      <c r="H115" s="273"/>
      <c r="I115" s="274"/>
      <c r="J115" s="274"/>
      <c r="K115" s="274"/>
    </row>
    <row r="116" spans="2:11" ht="24" customHeight="1">
      <c r="B116" s="273"/>
      <c r="C116" s="274"/>
      <c r="D116" s="274"/>
      <c r="E116" s="274"/>
      <c r="H116" s="273"/>
      <c r="I116" s="274"/>
      <c r="J116" s="274"/>
      <c r="K116" s="274"/>
    </row>
    <row r="117" spans="2:11" ht="24" customHeight="1">
      <c r="B117" s="273"/>
      <c r="C117" s="274"/>
      <c r="D117" s="274"/>
      <c r="E117" s="274"/>
      <c r="H117" s="273"/>
      <c r="I117" s="274"/>
      <c r="J117" s="274"/>
      <c r="K117" s="274"/>
    </row>
    <row r="118" spans="2:11" ht="24" customHeight="1">
      <c r="B118" s="275"/>
      <c r="C118" s="276"/>
      <c r="D118" s="276"/>
      <c r="E118" s="276"/>
      <c r="H118" s="275"/>
      <c r="I118" s="276"/>
      <c r="J118" s="276"/>
      <c r="K118" s="276"/>
    </row>
    <row r="119" spans="2:11" ht="24" customHeight="1">
      <c r="B119" s="275"/>
      <c r="C119" s="276"/>
      <c r="D119" s="276"/>
      <c r="E119" s="276"/>
      <c r="H119" s="275"/>
      <c r="I119" s="276"/>
      <c r="J119" s="276"/>
      <c r="K119" s="276"/>
    </row>
    <row r="120" spans="2:11" ht="24" customHeight="1">
      <c r="B120" s="275"/>
      <c r="C120" s="276"/>
      <c r="D120" s="276"/>
      <c r="E120" s="276"/>
      <c r="H120" s="275"/>
      <c r="I120" s="276"/>
      <c r="J120" s="276"/>
      <c r="K120" s="276"/>
    </row>
    <row r="121" spans="2:11" ht="24" customHeight="1">
      <c r="H121" s="272"/>
      <c r="I121" s="272"/>
    </row>
    <row r="122" spans="2:11" ht="24" customHeight="1">
      <c r="H122" s="272"/>
      <c r="I122" s="272"/>
    </row>
    <row r="123" spans="2:11" ht="24" customHeight="1">
      <c r="B123" s="1304" t="s">
        <v>1992</v>
      </c>
      <c r="C123" s="1305" t="s">
        <v>781</v>
      </c>
      <c r="D123" s="1304" t="s">
        <v>1993</v>
      </c>
      <c r="E123" s="1304" t="s">
        <v>1994</v>
      </c>
      <c r="H123" s="1304" t="s">
        <v>1992</v>
      </c>
      <c r="I123" s="1305" t="s">
        <v>781</v>
      </c>
      <c r="J123" s="1304" t="s">
        <v>1993</v>
      </c>
      <c r="K123" s="1304" t="s">
        <v>1994</v>
      </c>
    </row>
    <row r="124" spans="2:11" ht="24" customHeight="1">
      <c r="B124" s="1304"/>
      <c r="C124" s="1306"/>
      <c r="D124" s="1304"/>
      <c r="E124" s="1304"/>
      <c r="H124" s="1304"/>
      <c r="I124" s="1306"/>
      <c r="J124" s="1304"/>
      <c r="K124" s="1304"/>
    </row>
    <row r="125" spans="2:11" ht="24" customHeight="1">
      <c r="B125" s="273"/>
      <c r="C125" s="274"/>
      <c r="D125" s="274"/>
      <c r="E125" s="274"/>
      <c r="H125" s="273"/>
      <c r="I125" s="274"/>
      <c r="J125" s="274"/>
      <c r="K125" s="274"/>
    </row>
    <row r="126" spans="2:11" ht="24" customHeight="1">
      <c r="B126" s="273"/>
      <c r="C126" s="274"/>
      <c r="D126" s="274"/>
      <c r="E126" s="274"/>
      <c r="H126" s="273"/>
      <c r="I126" s="274"/>
      <c r="J126" s="274"/>
      <c r="K126" s="274"/>
    </row>
    <row r="127" spans="2:11" ht="24" customHeight="1">
      <c r="B127" s="273"/>
      <c r="C127" s="274"/>
      <c r="D127" s="274"/>
      <c r="E127" s="274"/>
      <c r="H127" s="273"/>
      <c r="I127" s="274"/>
      <c r="J127" s="274"/>
      <c r="K127" s="274"/>
    </row>
    <row r="128" spans="2:11" ht="24" customHeight="1">
      <c r="B128" s="273"/>
      <c r="C128" s="274"/>
      <c r="D128" s="274"/>
      <c r="E128" s="274"/>
      <c r="H128" s="273"/>
      <c r="I128" s="274"/>
      <c r="J128" s="274"/>
      <c r="K128" s="274"/>
    </row>
    <row r="129" spans="2:11" ht="24" customHeight="1">
      <c r="B129" s="275"/>
      <c r="C129" s="276"/>
      <c r="D129" s="276"/>
      <c r="E129" s="276"/>
      <c r="H129" s="275"/>
      <c r="I129" s="276"/>
      <c r="J129" s="276"/>
      <c r="K129" s="276"/>
    </row>
    <row r="130" spans="2:11" ht="24" customHeight="1">
      <c r="B130" s="275"/>
      <c r="C130" s="276"/>
      <c r="D130" s="276"/>
      <c r="E130" s="276"/>
      <c r="H130" s="275"/>
      <c r="I130" s="276"/>
      <c r="J130" s="276"/>
      <c r="K130" s="276"/>
    </row>
    <row r="131" spans="2:11" ht="24" customHeight="1">
      <c r="B131" s="275"/>
      <c r="C131" s="276"/>
      <c r="D131" s="276"/>
      <c r="E131" s="276"/>
      <c r="H131" s="275"/>
      <c r="I131" s="276"/>
      <c r="J131" s="276"/>
      <c r="K131" s="276"/>
    </row>
    <row r="132" spans="2:11" ht="24" customHeight="1">
      <c r="B132" s="275"/>
      <c r="C132" s="276"/>
      <c r="D132" s="276"/>
      <c r="E132" s="276"/>
      <c r="H132" s="275"/>
      <c r="I132" s="276"/>
      <c r="J132" s="276"/>
      <c r="K132" s="276"/>
    </row>
    <row r="133" spans="2:11" ht="24" customHeight="1">
      <c r="B133" s="273"/>
      <c r="C133" s="274"/>
      <c r="D133" s="274"/>
      <c r="E133" s="274"/>
      <c r="H133" s="273"/>
      <c r="I133" s="274"/>
      <c r="J133" s="274"/>
      <c r="K133" s="274"/>
    </row>
    <row r="134" spans="2:11" ht="24" customHeight="1">
      <c r="B134" s="273"/>
      <c r="C134" s="274"/>
      <c r="D134" s="274"/>
      <c r="E134" s="274"/>
      <c r="H134" s="273"/>
      <c r="I134" s="274"/>
      <c r="J134" s="274"/>
      <c r="K134" s="274"/>
    </row>
    <row r="135" spans="2:11" ht="24" customHeight="1">
      <c r="B135" s="273"/>
      <c r="C135" s="274"/>
      <c r="D135" s="274"/>
      <c r="E135" s="274"/>
      <c r="H135" s="273"/>
      <c r="I135" s="274"/>
      <c r="J135" s="274"/>
      <c r="K135" s="274"/>
    </row>
    <row r="136" spans="2:11" ht="24" customHeight="1">
      <c r="B136" s="273"/>
      <c r="C136" s="274"/>
      <c r="D136" s="274"/>
      <c r="E136" s="274"/>
      <c r="H136" s="273"/>
      <c r="I136" s="274"/>
      <c r="J136" s="274"/>
      <c r="K136" s="274"/>
    </row>
    <row r="137" spans="2:11" ht="24" customHeight="1">
      <c r="B137" s="275"/>
      <c r="C137" s="276"/>
      <c r="D137" s="276"/>
      <c r="E137" s="276"/>
      <c r="H137" s="275"/>
      <c r="I137" s="276"/>
      <c r="J137" s="276"/>
      <c r="K137" s="276"/>
    </row>
    <row r="138" spans="2:11" ht="24" customHeight="1">
      <c r="B138" s="275"/>
      <c r="C138" s="276"/>
      <c r="D138" s="276"/>
      <c r="E138" s="276"/>
      <c r="H138" s="275"/>
      <c r="I138" s="276"/>
      <c r="J138" s="276"/>
      <c r="K138" s="276"/>
    </row>
    <row r="139" spans="2:11" ht="24" customHeight="1">
      <c r="B139" s="275"/>
      <c r="C139" s="276"/>
      <c r="D139" s="276"/>
      <c r="E139" s="276"/>
      <c r="H139" s="275"/>
      <c r="I139" s="276"/>
      <c r="J139" s="276"/>
      <c r="K139" s="276"/>
    </row>
    <row r="140" spans="2:11" ht="24" customHeight="1">
      <c r="B140" s="275"/>
      <c r="C140" s="276"/>
      <c r="D140" s="276"/>
      <c r="E140" s="276"/>
      <c r="H140" s="275"/>
      <c r="I140" s="276"/>
      <c r="J140" s="276"/>
      <c r="K140" s="276"/>
    </row>
    <row r="141" spans="2:11" ht="24" customHeight="1">
      <c r="H141" s="272"/>
      <c r="I141" s="272"/>
    </row>
    <row r="142" spans="2:11" ht="24" customHeight="1">
      <c r="H142" s="272"/>
      <c r="I142" s="272"/>
    </row>
    <row r="143" spans="2:11" ht="24" customHeight="1">
      <c r="B143" s="1304" t="s">
        <v>1992</v>
      </c>
      <c r="C143" s="1305" t="s">
        <v>781</v>
      </c>
      <c r="D143" s="1304" t="s">
        <v>1993</v>
      </c>
      <c r="E143" s="1304" t="s">
        <v>1994</v>
      </c>
      <c r="H143" s="1304" t="s">
        <v>1992</v>
      </c>
      <c r="I143" s="1305" t="s">
        <v>781</v>
      </c>
      <c r="J143" s="1304" t="s">
        <v>1993</v>
      </c>
      <c r="K143" s="1304" t="s">
        <v>1994</v>
      </c>
    </row>
    <row r="144" spans="2:11" ht="24" customHeight="1">
      <c r="B144" s="1304"/>
      <c r="C144" s="1306"/>
      <c r="D144" s="1304"/>
      <c r="E144" s="1304"/>
      <c r="H144" s="1304"/>
      <c r="I144" s="1306"/>
      <c r="J144" s="1304"/>
      <c r="K144" s="1304"/>
    </row>
    <row r="145" spans="2:11" ht="24" customHeight="1">
      <c r="B145" s="273"/>
      <c r="C145" s="274"/>
      <c r="D145" s="274"/>
      <c r="E145" s="274"/>
      <c r="H145" s="273"/>
      <c r="I145" s="274"/>
      <c r="J145" s="274"/>
      <c r="K145" s="274"/>
    </row>
    <row r="146" spans="2:11" ht="24" customHeight="1">
      <c r="B146" s="273"/>
      <c r="C146" s="274"/>
      <c r="D146" s="274"/>
      <c r="E146" s="274"/>
      <c r="H146" s="273"/>
      <c r="I146" s="274"/>
      <c r="J146" s="274"/>
      <c r="K146" s="274"/>
    </row>
    <row r="147" spans="2:11" ht="24" customHeight="1">
      <c r="B147" s="275"/>
      <c r="C147" s="276"/>
      <c r="D147" s="276"/>
      <c r="E147" s="276"/>
      <c r="H147" s="275"/>
      <c r="I147" s="276"/>
      <c r="J147" s="276"/>
      <c r="K147" s="276"/>
    </row>
    <row r="148" spans="2:11" ht="24" customHeight="1">
      <c r="B148" s="275"/>
      <c r="C148" s="276"/>
      <c r="D148" s="276"/>
      <c r="E148" s="276"/>
      <c r="H148" s="275"/>
      <c r="I148" s="276"/>
      <c r="J148" s="276"/>
      <c r="K148" s="276"/>
    </row>
    <row r="149" spans="2:11" ht="24" customHeight="1">
      <c r="B149" s="273"/>
      <c r="C149" s="274"/>
      <c r="D149" s="274"/>
      <c r="E149" s="274"/>
      <c r="H149" s="273"/>
      <c r="I149" s="274"/>
      <c r="J149" s="274"/>
      <c r="K149" s="274"/>
    </row>
    <row r="150" spans="2:11" ht="24" customHeight="1">
      <c r="B150" s="273"/>
      <c r="C150" s="274"/>
      <c r="D150" s="274"/>
      <c r="E150" s="274"/>
      <c r="H150" s="273"/>
      <c r="I150" s="274"/>
      <c r="J150" s="274"/>
      <c r="K150" s="274"/>
    </row>
    <row r="151" spans="2:11" ht="24" customHeight="1">
      <c r="B151" s="275"/>
      <c r="C151" s="276"/>
      <c r="D151" s="276"/>
      <c r="E151" s="276"/>
      <c r="H151" s="275"/>
      <c r="I151" s="276"/>
      <c r="J151" s="276"/>
      <c r="K151" s="276"/>
    </row>
    <row r="152" spans="2:11" ht="24" customHeight="1">
      <c r="B152" s="275"/>
      <c r="C152" s="276"/>
      <c r="D152" s="276"/>
      <c r="E152" s="276"/>
      <c r="H152" s="275"/>
      <c r="I152" s="276"/>
      <c r="J152" s="276"/>
      <c r="K152" s="276"/>
    </row>
    <row r="153" spans="2:11" ht="24" customHeight="1">
      <c r="H153" s="272"/>
      <c r="I153" s="272"/>
    </row>
    <row r="154" spans="2:11" ht="24" customHeight="1">
      <c r="H154" s="272"/>
      <c r="I154" s="272"/>
    </row>
    <row r="155" spans="2:11" ht="24" customHeight="1">
      <c r="B155" s="1304" t="s">
        <v>1992</v>
      </c>
      <c r="C155" s="1305" t="s">
        <v>437</v>
      </c>
      <c r="D155" s="1304" t="s">
        <v>1993</v>
      </c>
      <c r="E155" s="1304" t="s">
        <v>1994</v>
      </c>
      <c r="H155" s="1304" t="s">
        <v>1992</v>
      </c>
      <c r="I155" s="1305" t="s">
        <v>437</v>
      </c>
      <c r="J155" s="1304" t="s">
        <v>1993</v>
      </c>
      <c r="K155" s="1304" t="s">
        <v>1994</v>
      </c>
    </row>
    <row r="156" spans="2:11" ht="24" customHeight="1">
      <c r="B156" s="1304"/>
      <c r="C156" s="1306"/>
      <c r="D156" s="1304"/>
      <c r="E156" s="1304"/>
      <c r="H156" s="1304"/>
      <c r="I156" s="1306"/>
      <c r="J156" s="1304"/>
      <c r="K156" s="1304"/>
    </row>
    <row r="157" spans="2:11" ht="24" customHeight="1">
      <c r="B157" s="273"/>
      <c r="C157" s="274"/>
      <c r="D157" s="274"/>
      <c r="E157" s="274"/>
      <c r="H157" s="273"/>
      <c r="I157" s="274"/>
      <c r="J157" s="274"/>
      <c r="K157" s="274"/>
    </row>
    <row r="158" spans="2:11" ht="24" customHeight="1">
      <c r="B158" s="273"/>
      <c r="C158" s="274"/>
      <c r="D158" s="274"/>
      <c r="E158" s="274"/>
      <c r="H158" s="273"/>
      <c r="I158" s="274"/>
      <c r="J158" s="274"/>
      <c r="K158" s="274"/>
    </row>
    <row r="159" spans="2:11" ht="24" customHeight="1">
      <c r="B159" s="273"/>
      <c r="C159" s="274"/>
      <c r="D159" s="274"/>
      <c r="E159" s="274"/>
      <c r="H159" s="273"/>
      <c r="I159" s="274"/>
      <c r="J159" s="274"/>
      <c r="K159" s="274"/>
    </row>
    <row r="160" spans="2:11" ht="24" customHeight="1">
      <c r="B160" s="273"/>
      <c r="C160" s="274"/>
      <c r="D160" s="274"/>
      <c r="E160" s="274"/>
      <c r="H160" s="273"/>
      <c r="I160" s="274"/>
      <c r="J160" s="274"/>
      <c r="K160" s="274"/>
    </row>
    <row r="161" spans="2:11" ht="24" customHeight="1">
      <c r="B161" s="273"/>
      <c r="C161" s="274"/>
      <c r="D161" s="274"/>
      <c r="E161" s="274"/>
      <c r="H161" s="273"/>
      <c r="I161" s="274"/>
      <c r="J161" s="274"/>
      <c r="K161" s="274"/>
    </row>
    <row r="162" spans="2:11" ht="24" customHeight="1">
      <c r="B162" s="275"/>
      <c r="C162" s="276"/>
      <c r="D162" s="276"/>
      <c r="E162" s="276"/>
      <c r="H162" s="275"/>
      <c r="I162" s="276"/>
      <c r="J162" s="276"/>
      <c r="K162" s="276"/>
    </row>
    <row r="163" spans="2:11" ht="24" customHeight="1">
      <c r="B163" s="275"/>
      <c r="C163" s="276"/>
      <c r="D163" s="276"/>
      <c r="E163" s="276"/>
      <c r="H163" s="275"/>
      <c r="I163" s="276"/>
      <c r="J163" s="276"/>
      <c r="K163" s="276"/>
    </row>
    <row r="164" spans="2:11" ht="24" customHeight="1">
      <c r="B164" s="275"/>
      <c r="C164" s="276"/>
      <c r="D164" s="276"/>
      <c r="E164" s="276"/>
      <c r="H164" s="275"/>
      <c r="I164" s="276"/>
      <c r="J164" s="276"/>
      <c r="K164" s="276"/>
    </row>
    <row r="165" spans="2:11" ht="24" customHeight="1">
      <c r="B165" s="275"/>
      <c r="C165" s="276"/>
      <c r="D165" s="276"/>
      <c r="E165" s="276"/>
      <c r="H165" s="275"/>
      <c r="I165" s="276"/>
      <c r="J165" s="276"/>
      <c r="K165" s="276"/>
    </row>
    <row r="166" spans="2:11" ht="24" customHeight="1">
      <c r="B166" s="275"/>
      <c r="C166" s="276"/>
      <c r="D166" s="276"/>
      <c r="E166" s="276"/>
      <c r="H166" s="275"/>
      <c r="I166" s="276"/>
      <c r="J166" s="276"/>
      <c r="K166" s="276"/>
    </row>
    <row r="167" spans="2:11" ht="24" customHeight="1">
      <c r="B167" s="273"/>
      <c r="C167" s="274"/>
      <c r="D167" s="274"/>
      <c r="E167" s="274"/>
      <c r="H167" s="273"/>
      <c r="I167" s="274"/>
      <c r="J167" s="274"/>
      <c r="K167" s="274"/>
    </row>
    <row r="168" spans="2:11" ht="24" customHeight="1">
      <c r="B168" s="273"/>
      <c r="C168" s="274"/>
      <c r="D168" s="274"/>
      <c r="E168" s="274"/>
      <c r="H168" s="273"/>
      <c r="I168" s="274"/>
      <c r="J168" s="274"/>
      <c r="K168" s="274"/>
    </row>
    <row r="169" spans="2:11" ht="24" customHeight="1">
      <c r="B169" s="273"/>
      <c r="C169" s="274"/>
      <c r="D169" s="274"/>
      <c r="E169" s="274"/>
      <c r="H169" s="273"/>
      <c r="I169" s="274"/>
      <c r="J169" s="274"/>
      <c r="K169" s="274"/>
    </row>
    <row r="170" spans="2:11" ht="24" customHeight="1">
      <c r="B170" s="273"/>
      <c r="C170" s="274"/>
      <c r="D170" s="274"/>
      <c r="E170" s="274"/>
      <c r="H170" s="273"/>
      <c r="I170" s="274"/>
      <c r="J170" s="274"/>
      <c r="K170" s="274"/>
    </row>
    <row r="171" spans="2:11" ht="24" customHeight="1">
      <c r="B171" s="273"/>
      <c r="C171" s="274"/>
      <c r="D171" s="274"/>
      <c r="E171" s="274"/>
      <c r="H171" s="273"/>
      <c r="I171" s="274"/>
      <c r="J171" s="274"/>
      <c r="K171" s="274"/>
    </row>
    <row r="172" spans="2:11" ht="24" customHeight="1">
      <c r="B172" s="275"/>
      <c r="C172" s="276"/>
      <c r="D172" s="276"/>
      <c r="E172" s="276"/>
      <c r="H172" s="275"/>
      <c r="I172" s="276"/>
      <c r="J172" s="276"/>
      <c r="K172" s="276"/>
    </row>
    <row r="173" spans="2:11" ht="24" customHeight="1">
      <c r="B173" s="275"/>
      <c r="C173" s="276"/>
      <c r="D173" s="276"/>
      <c r="E173" s="276"/>
      <c r="H173" s="275"/>
      <c r="I173" s="276"/>
      <c r="J173" s="276"/>
      <c r="K173" s="276"/>
    </row>
    <row r="174" spans="2:11" ht="24" customHeight="1">
      <c r="B174" s="275"/>
      <c r="C174" s="276"/>
      <c r="D174" s="276"/>
      <c r="E174" s="276"/>
      <c r="H174" s="275"/>
      <c r="I174" s="276"/>
      <c r="J174" s="276"/>
      <c r="K174" s="276"/>
    </row>
    <row r="175" spans="2:11" ht="24" customHeight="1">
      <c r="B175" s="275"/>
      <c r="C175" s="276"/>
      <c r="D175" s="276"/>
      <c r="E175" s="276"/>
      <c r="H175" s="275"/>
      <c r="I175" s="276"/>
      <c r="J175" s="276"/>
      <c r="K175" s="276"/>
    </row>
    <row r="176" spans="2:11" ht="24" customHeight="1">
      <c r="B176" s="275"/>
      <c r="C176" s="276"/>
      <c r="D176" s="276"/>
      <c r="E176" s="276"/>
      <c r="H176" s="275"/>
      <c r="I176" s="276"/>
      <c r="J176" s="276"/>
      <c r="K176" s="276"/>
    </row>
    <row r="177" spans="2:11" ht="24" customHeight="1">
      <c r="H177" s="272"/>
      <c r="I177" s="272"/>
    </row>
    <row r="178" spans="2:11" ht="24" customHeight="1">
      <c r="H178" s="272"/>
      <c r="I178" s="272"/>
    </row>
    <row r="179" spans="2:11" ht="24" customHeight="1">
      <c r="B179" s="1304" t="s">
        <v>1992</v>
      </c>
      <c r="C179" s="1305" t="s">
        <v>437</v>
      </c>
      <c r="D179" s="1304" t="s">
        <v>1993</v>
      </c>
      <c r="E179" s="1304" t="s">
        <v>1994</v>
      </c>
      <c r="H179" s="1304" t="s">
        <v>1992</v>
      </c>
      <c r="I179" s="1305" t="s">
        <v>437</v>
      </c>
      <c r="J179" s="1304" t="s">
        <v>1993</v>
      </c>
      <c r="K179" s="1304" t="s">
        <v>1994</v>
      </c>
    </row>
    <row r="180" spans="2:11" ht="24" customHeight="1">
      <c r="B180" s="1304"/>
      <c r="C180" s="1306"/>
      <c r="D180" s="1304"/>
      <c r="E180" s="1304"/>
      <c r="H180" s="1304"/>
      <c r="I180" s="1306"/>
      <c r="J180" s="1304"/>
      <c r="K180" s="1304"/>
    </row>
    <row r="181" spans="2:11" ht="24" customHeight="1">
      <c r="B181" s="273"/>
      <c r="C181" s="274"/>
      <c r="D181" s="274"/>
      <c r="E181" s="274"/>
      <c r="H181" s="273"/>
      <c r="I181" s="274"/>
      <c r="J181" s="274"/>
      <c r="K181" s="274"/>
    </row>
    <row r="182" spans="2:11" ht="24" customHeight="1">
      <c r="B182" s="273"/>
      <c r="C182" s="274"/>
      <c r="D182" s="274"/>
      <c r="E182" s="274"/>
      <c r="H182" s="273"/>
      <c r="I182" s="274"/>
      <c r="J182" s="274"/>
      <c r="K182" s="274"/>
    </row>
    <row r="183" spans="2:11" ht="24" customHeight="1">
      <c r="B183" s="273"/>
      <c r="C183" s="274"/>
      <c r="D183" s="274"/>
      <c r="E183" s="274"/>
      <c r="H183" s="273"/>
      <c r="I183" s="274"/>
      <c r="J183" s="274"/>
      <c r="K183" s="274"/>
    </row>
    <row r="184" spans="2:11" ht="24" customHeight="1">
      <c r="B184" s="273"/>
      <c r="C184" s="274"/>
      <c r="D184" s="274"/>
      <c r="E184" s="274"/>
      <c r="H184" s="275"/>
      <c r="I184" s="276"/>
      <c r="J184" s="276"/>
      <c r="K184" s="276"/>
    </row>
    <row r="185" spans="2:11" ht="24" customHeight="1">
      <c r="B185" s="275"/>
      <c r="C185" s="276"/>
      <c r="D185" s="276"/>
      <c r="E185" s="276"/>
      <c r="H185" s="275"/>
      <c r="I185" s="276"/>
      <c r="J185" s="276"/>
      <c r="K185" s="276"/>
    </row>
    <row r="186" spans="2:11" ht="24" customHeight="1">
      <c r="B186" s="275"/>
      <c r="C186" s="276"/>
      <c r="D186" s="276"/>
      <c r="E186" s="276"/>
      <c r="H186" s="275"/>
      <c r="I186" s="276"/>
      <c r="J186" s="276"/>
      <c r="K186" s="276"/>
    </row>
    <row r="187" spans="2:11" ht="24" customHeight="1">
      <c r="B187" s="275"/>
      <c r="C187" s="276"/>
      <c r="D187" s="276"/>
      <c r="E187" s="276"/>
      <c r="H187" s="273"/>
      <c r="I187" s="274"/>
      <c r="J187" s="274"/>
      <c r="K187" s="274"/>
    </row>
    <row r="188" spans="2:11" ht="24" customHeight="1">
      <c r="B188" s="275"/>
      <c r="C188" s="276"/>
      <c r="D188" s="276"/>
      <c r="E188" s="276"/>
      <c r="H188" s="273"/>
      <c r="I188" s="274"/>
      <c r="J188" s="274"/>
      <c r="K188" s="274"/>
    </row>
    <row r="189" spans="2:11" ht="24" customHeight="1">
      <c r="B189" s="273"/>
      <c r="C189" s="274"/>
      <c r="D189" s="274"/>
      <c r="E189" s="274"/>
      <c r="H189" s="273"/>
      <c r="I189" s="274"/>
      <c r="J189" s="274"/>
      <c r="K189" s="274"/>
    </row>
    <row r="190" spans="2:11" ht="24" customHeight="1">
      <c r="B190" s="273"/>
      <c r="C190" s="274"/>
      <c r="D190" s="274"/>
      <c r="E190" s="274"/>
      <c r="H190" s="275"/>
      <c r="I190" s="276"/>
      <c r="J190" s="276"/>
      <c r="K190" s="276"/>
    </row>
    <row r="191" spans="2:11" ht="24" customHeight="1">
      <c r="B191" s="273"/>
      <c r="C191" s="274"/>
      <c r="D191" s="274"/>
      <c r="E191" s="274"/>
      <c r="H191" s="275"/>
      <c r="I191" s="276"/>
      <c r="J191" s="276"/>
      <c r="K191" s="276"/>
    </row>
    <row r="192" spans="2:11" ht="24" customHeight="1">
      <c r="B192" s="273"/>
      <c r="C192" s="274"/>
      <c r="D192" s="274"/>
      <c r="E192" s="274"/>
      <c r="H192" s="275"/>
      <c r="I192" s="276"/>
      <c r="J192" s="276"/>
      <c r="K192" s="276"/>
    </row>
    <row r="193" spans="2:11" ht="24" customHeight="1">
      <c r="B193" s="275"/>
      <c r="C193" s="276"/>
      <c r="D193" s="276"/>
      <c r="E193" s="276"/>
      <c r="H193" s="272"/>
      <c r="I193" s="272"/>
    </row>
    <row r="194" spans="2:11" ht="24" customHeight="1">
      <c r="B194" s="275"/>
      <c r="C194" s="276"/>
      <c r="D194" s="276"/>
      <c r="E194" s="276"/>
      <c r="H194" s="272"/>
      <c r="I194" s="272"/>
    </row>
    <row r="195" spans="2:11" ht="24" customHeight="1">
      <c r="B195" s="275"/>
      <c r="C195" s="276"/>
      <c r="D195" s="276"/>
      <c r="E195" s="276"/>
      <c r="H195" s="272"/>
      <c r="I195" s="272"/>
    </row>
    <row r="196" spans="2:11" ht="24" customHeight="1">
      <c r="B196" s="275"/>
      <c r="C196" s="276"/>
      <c r="D196" s="276"/>
      <c r="E196" s="276"/>
      <c r="H196" s="272"/>
      <c r="I196" s="272"/>
    </row>
    <row r="197" spans="2:11" ht="24" customHeight="1">
      <c r="H197" s="272"/>
      <c r="I197" s="272"/>
    </row>
    <row r="198" spans="2:11" ht="24" customHeight="1">
      <c r="H198" s="272"/>
      <c r="I198" s="272"/>
    </row>
    <row r="199" spans="2:11" ht="24" customHeight="1">
      <c r="B199" s="1304" t="s">
        <v>1992</v>
      </c>
      <c r="C199" s="1305" t="s">
        <v>437</v>
      </c>
      <c r="D199" s="1304" t="s">
        <v>1993</v>
      </c>
      <c r="E199" s="1304" t="s">
        <v>1994</v>
      </c>
      <c r="H199" s="1304" t="s">
        <v>1992</v>
      </c>
      <c r="I199" s="1305" t="s">
        <v>437</v>
      </c>
      <c r="J199" s="1304" t="s">
        <v>1993</v>
      </c>
      <c r="K199" s="1304" t="s">
        <v>1994</v>
      </c>
    </row>
    <row r="200" spans="2:11" ht="24" customHeight="1">
      <c r="B200" s="1304"/>
      <c r="C200" s="1306"/>
      <c r="D200" s="1304"/>
      <c r="E200" s="1304"/>
      <c r="H200" s="1304"/>
      <c r="I200" s="1306"/>
      <c r="J200" s="1304"/>
      <c r="K200" s="1304"/>
    </row>
    <row r="201" spans="2:11" ht="24" customHeight="1">
      <c r="B201" s="273"/>
      <c r="C201" s="274"/>
      <c r="D201" s="274"/>
      <c r="E201" s="274"/>
      <c r="H201" s="273"/>
      <c r="I201" s="274"/>
      <c r="J201" s="274"/>
      <c r="K201" s="274"/>
    </row>
    <row r="202" spans="2:11" ht="24" customHeight="1">
      <c r="B202" s="273"/>
      <c r="C202" s="274"/>
      <c r="D202" s="274"/>
      <c r="E202" s="274"/>
      <c r="H202" s="273"/>
      <c r="I202" s="274"/>
      <c r="J202" s="274"/>
      <c r="K202" s="274"/>
    </row>
    <row r="203" spans="2:11" ht="24" customHeight="1">
      <c r="B203" s="273"/>
      <c r="C203" s="274"/>
      <c r="D203" s="274"/>
      <c r="E203" s="274"/>
      <c r="H203" s="273"/>
      <c r="I203" s="274"/>
      <c r="J203" s="274"/>
      <c r="K203" s="274"/>
    </row>
    <row r="204" spans="2:11" ht="24" customHeight="1">
      <c r="B204" s="275"/>
      <c r="C204" s="276"/>
      <c r="D204" s="276"/>
      <c r="E204" s="276"/>
      <c r="H204" s="275"/>
      <c r="I204" s="276"/>
      <c r="J204" s="276"/>
      <c r="K204" s="276"/>
    </row>
    <row r="205" spans="2:11" ht="24" customHeight="1">
      <c r="B205" s="275"/>
      <c r="C205" s="276"/>
      <c r="D205" s="276"/>
      <c r="E205" s="276"/>
      <c r="H205" s="275"/>
      <c r="I205" s="276"/>
      <c r="J205" s="276"/>
      <c r="K205" s="276"/>
    </row>
    <row r="206" spans="2:11" ht="24" customHeight="1">
      <c r="B206" s="275"/>
      <c r="C206" s="276"/>
      <c r="D206" s="276"/>
      <c r="E206" s="276"/>
      <c r="H206" s="275"/>
      <c r="I206" s="276"/>
      <c r="J206" s="276"/>
      <c r="K206" s="276"/>
    </row>
    <row r="207" spans="2:11" ht="24" customHeight="1">
      <c r="B207" s="273"/>
      <c r="C207" s="274"/>
      <c r="D207" s="274"/>
      <c r="E207" s="274"/>
      <c r="H207" s="273"/>
      <c r="I207" s="274"/>
      <c r="J207" s="274"/>
      <c r="K207" s="274"/>
    </row>
    <row r="208" spans="2:11" ht="24" customHeight="1">
      <c r="B208" s="273"/>
      <c r="C208" s="274"/>
      <c r="D208" s="274"/>
      <c r="E208" s="274"/>
      <c r="H208" s="273"/>
      <c r="I208" s="274"/>
      <c r="J208" s="274"/>
      <c r="K208" s="274"/>
    </row>
    <row r="209" spans="2:11" ht="24" customHeight="1">
      <c r="B209" s="273"/>
      <c r="C209" s="274"/>
      <c r="D209" s="274"/>
      <c r="E209" s="274"/>
      <c r="H209" s="273"/>
      <c r="I209" s="274"/>
      <c r="J209" s="274"/>
      <c r="K209" s="274"/>
    </row>
    <row r="210" spans="2:11" ht="24" customHeight="1">
      <c r="B210" s="275"/>
      <c r="C210" s="276"/>
      <c r="D210" s="276"/>
      <c r="E210" s="276"/>
      <c r="H210" s="275"/>
      <c r="I210" s="276"/>
      <c r="J210" s="276"/>
      <c r="K210" s="276"/>
    </row>
    <row r="211" spans="2:11" ht="24" customHeight="1">
      <c r="B211" s="275"/>
      <c r="C211" s="276"/>
      <c r="D211" s="276"/>
      <c r="E211" s="276"/>
      <c r="H211" s="275"/>
      <c r="I211" s="276"/>
      <c r="J211" s="276"/>
      <c r="K211" s="276"/>
    </row>
    <row r="212" spans="2:11" ht="24" customHeight="1">
      <c r="B212" s="275"/>
      <c r="C212" s="276"/>
      <c r="D212" s="276"/>
      <c r="E212" s="276"/>
      <c r="H212" s="275"/>
      <c r="I212" s="276"/>
      <c r="J212" s="276"/>
      <c r="K212" s="276"/>
    </row>
    <row r="213" spans="2:11" ht="24" customHeight="1">
      <c r="H213" s="272"/>
      <c r="I213" s="272"/>
    </row>
    <row r="214" spans="2:11" ht="24" customHeight="1">
      <c r="H214" s="272"/>
      <c r="I214" s="272"/>
    </row>
    <row r="215" spans="2:11" ht="24" customHeight="1">
      <c r="B215" s="1304" t="s">
        <v>1992</v>
      </c>
      <c r="C215" s="1305" t="s">
        <v>437</v>
      </c>
      <c r="D215" s="1304" t="s">
        <v>1993</v>
      </c>
      <c r="E215" s="1304" t="s">
        <v>1994</v>
      </c>
      <c r="H215" s="1304" t="s">
        <v>1992</v>
      </c>
      <c r="I215" s="1305" t="s">
        <v>437</v>
      </c>
      <c r="J215" s="1304" t="s">
        <v>1993</v>
      </c>
      <c r="K215" s="1304" t="s">
        <v>1994</v>
      </c>
    </row>
    <row r="216" spans="2:11" ht="24" customHeight="1">
      <c r="B216" s="1304"/>
      <c r="C216" s="1306"/>
      <c r="D216" s="1304"/>
      <c r="E216" s="1304"/>
      <c r="H216" s="1304"/>
      <c r="I216" s="1306"/>
      <c r="J216" s="1304"/>
      <c r="K216" s="1304"/>
    </row>
    <row r="217" spans="2:11" ht="24" customHeight="1">
      <c r="B217" s="273"/>
      <c r="C217" s="274"/>
      <c r="D217" s="274"/>
      <c r="E217" s="274"/>
      <c r="H217" s="273"/>
      <c r="I217" s="274"/>
      <c r="J217" s="274"/>
      <c r="K217" s="274"/>
    </row>
    <row r="218" spans="2:11" ht="24" customHeight="1">
      <c r="B218" s="273"/>
      <c r="C218" s="274"/>
      <c r="D218" s="274"/>
      <c r="E218" s="274"/>
      <c r="H218" s="273"/>
      <c r="I218" s="274"/>
      <c r="J218" s="274"/>
      <c r="K218" s="274"/>
    </row>
    <row r="219" spans="2:11" ht="24" customHeight="1">
      <c r="B219" s="275"/>
      <c r="C219" s="276"/>
      <c r="D219" s="276"/>
      <c r="E219" s="276"/>
      <c r="H219" s="275"/>
      <c r="I219" s="276"/>
      <c r="J219" s="276"/>
      <c r="K219" s="276"/>
    </row>
    <row r="220" spans="2:11" ht="24" customHeight="1">
      <c r="B220" s="275"/>
      <c r="C220" s="276"/>
      <c r="D220" s="276"/>
      <c r="E220" s="276"/>
      <c r="H220" s="275"/>
      <c r="I220" s="276"/>
      <c r="J220" s="276"/>
      <c r="K220" s="276"/>
    </row>
    <row r="221" spans="2:11" ht="24" customHeight="1">
      <c r="B221" s="273"/>
      <c r="C221" s="274"/>
      <c r="D221" s="274"/>
      <c r="E221" s="274"/>
      <c r="H221" s="273"/>
      <c r="I221" s="274"/>
      <c r="J221" s="274"/>
      <c r="K221" s="274"/>
    </row>
    <row r="222" spans="2:11" ht="24" customHeight="1">
      <c r="B222" s="273"/>
      <c r="C222" s="274"/>
      <c r="D222" s="274"/>
      <c r="E222" s="274"/>
      <c r="H222" s="273"/>
      <c r="I222" s="274"/>
      <c r="J222" s="274"/>
      <c r="K222" s="274"/>
    </row>
    <row r="223" spans="2:11" ht="24" customHeight="1">
      <c r="B223" s="275"/>
      <c r="C223" s="276"/>
      <c r="D223" s="276"/>
      <c r="E223" s="276"/>
      <c r="H223" s="275"/>
      <c r="I223" s="276"/>
      <c r="J223" s="276"/>
      <c r="K223" s="276"/>
    </row>
    <row r="224" spans="2:11" ht="24" customHeight="1">
      <c r="B224" s="275"/>
      <c r="C224" s="276"/>
      <c r="D224" s="276"/>
      <c r="E224" s="276"/>
      <c r="H224" s="275"/>
      <c r="I224" s="276"/>
      <c r="J224" s="276"/>
      <c r="K224" s="276"/>
    </row>
    <row r="225" spans="2:11" ht="24" customHeight="1">
      <c r="H225" s="272"/>
      <c r="I225" s="272"/>
    </row>
    <row r="226" spans="2:11" ht="24" customHeight="1">
      <c r="H226" s="272"/>
      <c r="I226" s="272"/>
    </row>
    <row r="227" spans="2:11" ht="24" customHeight="1">
      <c r="B227" s="1304" t="s">
        <v>1992</v>
      </c>
      <c r="C227" s="1305" t="s">
        <v>437</v>
      </c>
      <c r="D227" s="1304" t="s">
        <v>1993</v>
      </c>
      <c r="E227" s="1304" t="s">
        <v>1994</v>
      </c>
      <c r="H227" s="1304" t="s">
        <v>1992</v>
      </c>
      <c r="I227" s="1305" t="s">
        <v>437</v>
      </c>
      <c r="J227" s="1304" t="s">
        <v>1993</v>
      </c>
      <c r="K227" s="1304" t="s">
        <v>1994</v>
      </c>
    </row>
    <row r="228" spans="2:11" ht="24" customHeight="1">
      <c r="B228" s="1304"/>
      <c r="C228" s="1306"/>
      <c r="D228" s="1304"/>
      <c r="E228" s="1304"/>
      <c r="H228" s="1304"/>
      <c r="I228" s="1306"/>
      <c r="J228" s="1304"/>
      <c r="K228" s="1304"/>
    </row>
    <row r="229" spans="2:11" ht="24" customHeight="1">
      <c r="B229" s="273"/>
      <c r="C229" s="274"/>
      <c r="D229" s="274"/>
      <c r="E229" s="274"/>
      <c r="H229" s="273"/>
      <c r="I229" s="274"/>
      <c r="J229" s="274"/>
      <c r="K229" s="274"/>
    </row>
    <row r="230" spans="2:11" ht="24" customHeight="1">
      <c r="B230" s="273"/>
      <c r="C230" s="274"/>
      <c r="D230" s="274"/>
      <c r="E230" s="274"/>
      <c r="H230" s="273"/>
      <c r="I230" s="274"/>
      <c r="J230" s="274"/>
      <c r="K230" s="274"/>
    </row>
    <row r="231" spans="2:11" ht="24" customHeight="1">
      <c r="B231" s="275"/>
      <c r="C231" s="276"/>
      <c r="D231" s="276"/>
      <c r="E231" s="276"/>
      <c r="H231" s="275"/>
      <c r="I231" s="276"/>
      <c r="J231" s="276"/>
      <c r="K231" s="276"/>
    </row>
    <row r="232" spans="2:11" ht="24" customHeight="1">
      <c r="B232" s="275"/>
      <c r="C232" s="276"/>
      <c r="D232" s="276"/>
      <c r="E232" s="276"/>
      <c r="H232" s="275"/>
      <c r="I232" s="276"/>
      <c r="J232" s="276"/>
      <c r="K232" s="276"/>
    </row>
    <row r="233" spans="2:11" ht="24" customHeight="1">
      <c r="B233" s="273"/>
      <c r="C233" s="274"/>
      <c r="D233" s="274"/>
      <c r="E233" s="274"/>
      <c r="H233" s="273"/>
      <c r="I233" s="274"/>
      <c r="J233" s="274"/>
      <c r="K233" s="274"/>
    </row>
    <row r="234" spans="2:11" ht="24" customHeight="1">
      <c r="B234" s="273"/>
      <c r="C234" s="274"/>
      <c r="D234" s="274"/>
      <c r="E234" s="274"/>
      <c r="H234" s="273"/>
      <c r="I234" s="274"/>
      <c r="J234" s="274"/>
      <c r="K234" s="274"/>
    </row>
    <row r="235" spans="2:11" ht="24" customHeight="1">
      <c r="B235" s="275"/>
      <c r="C235" s="276"/>
      <c r="D235" s="276"/>
      <c r="E235" s="276"/>
      <c r="H235" s="275"/>
      <c r="I235" s="276"/>
      <c r="J235" s="276"/>
      <c r="K235" s="276"/>
    </row>
    <row r="236" spans="2:11" ht="24" customHeight="1">
      <c r="B236" s="275"/>
      <c r="C236" s="276"/>
      <c r="D236" s="276"/>
      <c r="E236" s="276"/>
      <c r="H236" s="275"/>
      <c r="I236" s="276"/>
      <c r="J236" s="276"/>
      <c r="K236" s="276"/>
    </row>
    <row r="237" spans="2:11" ht="24" customHeight="1">
      <c r="H237" s="272"/>
      <c r="I237" s="272"/>
    </row>
    <row r="238" spans="2:11" ht="24" customHeight="1">
      <c r="H238" s="272"/>
      <c r="I238" s="272"/>
    </row>
    <row r="239" spans="2:11" ht="24" customHeight="1">
      <c r="B239" s="1304" t="s">
        <v>1992</v>
      </c>
      <c r="C239" s="1305" t="s">
        <v>437</v>
      </c>
      <c r="D239" s="1304" t="s">
        <v>1993</v>
      </c>
      <c r="E239" s="1304" t="s">
        <v>1994</v>
      </c>
      <c r="H239" s="1304" t="s">
        <v>1992</v>
      </c>
      <c r="I239" s="1305" t="s">
        <v>437</v>
      </c>
      <c r="J239" s="1304" t="s">
        <v>1993</v>
      </c>
      <c r="K239" s="1304" t="s">
        <v>1994</v>
      </c>
    </row>
    <row r="240" spans="2:11" ht="24" customHeight="1">
      <c r="B240" s="1304"/>
      <c r="C240" s="1306"/>
      <c r="D240" s="1304"/>
      <c r="E240" s="1304"/>
      <c r="H240" s="1304"/>
      <c r="I240" s="1306"/>
      <c r="J240" s="1304"/>
      <c r="K240" s="1304"/>
    </row>
    <row r="241" spans="2:11" ht="24" customHeight="1">
      <c r="B241" s="273"/>
      <c r="C241" s="274"/>
      <c r="D241" s="274"/>
      <c r="E241" s="274"/>
      <c r="H241" s="273"/>
      <c r="I241" s="274"/>
      <c r="J241" s="274"/>
      <c r="K241" s="274"/>
    </row>
    <row r="242" spans="2:11" ht="24" customHeight="1">
      <c r="B242" s="273"/>
      <c r="C242" s="274"/>
      <c r="D242" s="274"/>
      <c r="E242" s="274"/>
      <c r="H242" s="273"/>
      <c r="I242" s="274"/>
      <c r="J242" s="274"/>
      <c r="K242" s="274"/>
    </row>
    <row r="243" spans="2:11" ht="24" customHeight="1">
      <c r="B243" s="275"/>
      <c r="C243" s="276"/>
      <c r="D243" s="276"/>
      <c r="E243" s="276"/>
      <c r="H243" s="275"/>
      <c r="I243" s="276"/>
      <c r="J243" s="276"/>
      <c r="K243" s="276"/>
    </row>
    <row r="244" spans="2:11" ht="24" customHeight="1">
      <c r="B244" s="275"/>
      <c r="C244" s="276"/>
      <c r="D244" s="276"/>
      <c r="E244" s="276"/>
      <c r="H244" s="275"/>
      <c r="I244" s="276"/>
      <c r="J244" s="276"/>
      <c r="K244" s="276"/>
    </row>
    <row r="245" spans="2:11" ht="24" customHeight="1">
      <c r="B245" s="273"/>
      <c r="C245" s="274"/>
      <c r="D245" s="274"/>
      <c r="E245" s="274"/>
      <c r="H245" s="273"/>
      <c r="I245" s="274"/>
      <c r="J245" s="274"/>
      <c r="K245" s="274"/>
    </row>
    <row r="246" spans="2:11" ht="24" customHeight="1">
      <c r="B246" s="273"/>
      <c r="C246" s="274"/>
      <c r="D246" s="274"/>
      <c r="E246" s="274"/>
      <c r="H246" s="273"/>
      <c r="I246" s="274"/>
      <c r="J246" s="274"/>
      <c r="K246" s="274"/>
    </row>
    <row r="247" spans="2:11" ht="24" customHeight="1">
      <c r="B247" s="275"/>
      <c r="C247" s="276"/>
      <c r="D247" s="276"/>
      <c r="E247" s="276"/>
      <c r="H247" s="275"/>
      <c r="I247" s="276"/>
      <c r="J247" s="276"/>
      <c r="K247" s="276"/>
    </row>
    <row r="248" spans="2:11" ht="24" customHeight="1">
      <c r="B248" s="275"/>
      <c r="C248" s="276"/>
      <c r="D248" s="276"/>
      <c r="E248" s="276"/>
      <c r="H248" s="275"/>
      <c r="I248" s="276"/>
      <c r="J248" s="276"/>
      <c r="K248" s="276"/>
    </row>
    <row r="249" spans="2:11" ht="24" customHeight="1">
      <c r="H249" s="272"/>
      <c r="I249" s="272"/>
    </row>
    <row r="250" spans="2:11" ht="24" customHeight="1">
      <c r="H250" s="272"/>
      <c r="I250" s="272"/>
    </row>
    <row r="251" spans="2:11" ht="24" customHeight="1">
      <c r="B251" s="1304" t="s">
        <v>1992</v>
      </c>
      <c r="C251" s="1305" t="s">
        <v>437</v>
      </c>
      <c r="D251" s="1304" t="s">
        <v>1993</v>
      </c>
      <c r="E251" s="1304" t="s">
        <v>1994</v>
      </c>
      <c r="H251" s="1304" t="s">
        <v>1992</v>
      </c>
      <c r="I251" s="1305" t="s">
        <v>437</v>
      </c>
      <c r="J251" s="1304" t="s">
        <v>1993</v>
      </c>
      <c r="K251" s="1304" t="s">
        <v>1994</v>
      </c>
    </row>
    <row r="252" spans="2:11" ht="24" customHeight="1">
      <c r="B252" s="1304"/>
      <c r="C252" s="1306"/>
      <c r="D252" s="1304"/>
      <c r="E252" s="1304"/>
      <c r="H252" s="1304"/>
      <c r="I252" s="1306"/>
      <c r="J252" s="1304"/>
      <c r="K252" s="1304"/>
    </row>
    <row r="253" spans="2:11" ht="24" customHeight="1">
      <c r="B253" s="273"/>
      <c r="C253" s="274"/>
      <c r="D253" s="274"/>
      <c r="E253" s="274"/>
      <c r="H253" s="273"/>
      <c r="I253" s="274"/>
      <c r="J253" s="274"/>
      <c r="K253" s="274"/>
    </row>
    <row r="254" spans="2:11" ht="24" customHeight="1">
      <c r="B254" s="273"/>
      <c r="C254" s="274"/>
      <c r="D254" s="274"/>
      <c r="E254" s="274"/>
      <c r="H254" s="273"/>
      <c r="I254" s="274"/>
      <c r="J254" s="274"/>
      <c r="K254" s="274"/>
    </row>
    <row r="255" spans="2:11" ht="24" customHeight="1">
      <c r="B255" s="273"/>
      <c r="C255" s="274"/>
      <c r="D255" s="274"/>
      <c r="E255" s="274"/>
      <c r="H255" s="273"/>
      <c r="I255" s="274"/>
      <c r="J255" s="274"/>
      <c r="K255" s="274"/>
    </row>
    <row r="256" spans="2:11" ht="24" customHeight="1">
      <c r="B256" s="275"/>
      <c r="C256" s="276"/>
      <c r="D256" s="276"/>
      <c r="E256" s="276"/>
      <c r="H256" s="275"/>
      <c r="I256" s="276"/>
      <c r="J256" s="276"/>
      <c r="K256" s="276"/>
    </row>
    <row r="257" spans="2:11" ht="24" customHeight="1">
      <c r="B257" s="275"/>
      <c r="C257" s="276"/>
      <c r="D257" s="276"/>
      <c r="E257" s="276"/>
      <c r="H257" s="275"/>
      <c r="I257" s="276"/>
      <c r="J257" s="276"/>
      <c r="K257" s="276"/>
    </row>
    <row r="258" spans="2:11" ht="24" customHeight="1">
      <c r="B258" s="275"/>
      <c r="C258" s="276"/>
      <c r="D258" s="276"/>
      <c r="E258" s="276"/>
      <c r="H258" s="275"/>
      <c r="I258" s="276"/>
      <c r="J258" s="276"/>
      <c r="K258" s="276"/>
    </row>
    <row r="259" spans="2:11" ht="24" customHeight="1">
      <c r="B259" s="273"/>
      <c r="C259" s="274"/>
      <c r="D259" s="274"/>
      <c r="E259" s="274"/>
      <c r="H259" s="273"/>
      <c r="I259" s="274"/>
      <c r="J259" s="274"/>
      <c r="K259" s="274"/>
    </row>
    <row r="260" spans="2:11" ht="24" customHeight="1">
      <c r="B260" s="273"/>
      <c r="C260" s="274"/>
      <c r="D260" s="274"/>
      <c r="E260" s="274"/>
      <c r="H260" s="273"/>
      <c r="I260" s="274"/>
      <c r="J260" s="274"/>
      <c r="K260" s="274"/>
    </row>
    <row r="261" spans="2:11" ht="24" customHeight="1">
      <c r="B261" s="273"/>
      <c r="C261" s="274"/>
      <c r="D261" s="274"/>
      <c r="E261" s="274"/>
      <c r="H261" s="273"/>
      <c r="I261" s="274"/>
      <c r="J261" s="274"/>
      <c r="K261" s="274"/>
    </row>
    <row r="262" spans="2:11" ht="24" customHeight="1">
      <c r="B262" s="275"/>
      <c r="C262" s="276"/>
      <c r="D262" s="276"/>
      <c r="E262" s="276"/>
      <c r="H262" s="275"/>
      <c r="I262" s="276"/>
      <c r="J262" s="276"/>
      <c r="K262" s="276"/>
    </row>
    <row r="263" spans="2:11" ht="24" customHeight="1">
      <c r="B263" s="275"/>
      <c r="C263" s="276"/>
      <c r="D263" s="276"/>
      <c r="E263" s="276"/>
      <c r="H263" s="275"/>
      <c r="I263" s="276"/>
      <c r="J263" s="276"/>
      <c r="K263" s="276"/>
    </row>
    <row r="264" spans="2:11" ht="24" customHeight="1">
      <c r="H264" s="272"/>
      <c r="I264" s="272"/>
    </row>
    <row r="265" spans="2:11" ht="24" customHeight="1">
      <c r="H265" s="272"/>
      <c r="I265" s="272"/>
    </row>
    <row r="266" spans="2:11" ht="24" customHeight="1">
      <c r="B266" s="1304" t="s">
        <v>1992</v>
      </c>
      <c r="C266" s="1305" t="s">
        <v>437</v>
      </c>
      <c r="D266" s="1304" t="s">
        <v>1993</v>
      </c>
      <c r="E266" s="1304" t="s">
        <v>1994</v>
      </c>
      <c r="H266" s="1304" t="s">
        <v>1992</v>
      </c>
      <c r="I266" s="1305" t="s">
        <v>437</v>
      </c>
      <c r="J266" s="1304" t="s">
        <v>1993</v>
      </c>
      <c r="K266" s="1304" t="s">
        <v>1994</v>
      </c>
    </row>
    <row r="267" spans="2:11" ht="24" customHeight="1">
      <c r="B267" s="1304"/>
      <c r="C267" s="1306"/>
      <c r="D267" s="1304"/>
      <c r="E267" s="1304"/>
      <c r="H267" s="1304"/>
      <c r="I267" s="1306"/>
      <c r="J267" s="1304"/>
      <c r="K267" s="1304"/>
    </row>
    <row r="268" spans="2:11" ht="24" customHeight="1">
      <c r="B268" s="273"/>
      <c r="C268" s="274"/>
      <c r="D268" s="274"/>
      <c r="E268" s="274"/>
      <c r="H268" s="273"/>
      <c r="I268" s="274"/>
      <c r="J268" s="274"/>
      <c r="K268" s="274"/>
    </row>
    <row r="269" spans="2:11" ht="24" customHeight="1">
      <c r="B269" s="273"/>
      <c r="C269" s="274"/>
      <c r="D269" s="274"/>
      <c r="E269" s="274"/>
      <c r="H269" s="273"/>
      <c r="I269" s="274"/>
      <c r="J269" s="274"/>
      <c r="K269" s="274"/>
    </row>
    <row r="270" spans="2:11" ht="24" customHeight="1">
      <c r="B270" s="275"/>
      <c r="C270" s="276"/>
      <c r="D270" s="276"/>
      <c r="E270" s="276"/>
      <c r="H270" s="275"/>
      <c r="I270" s="276"/>
      <c r="J270" s="276"/>
      <c r="K270" s="276"/>
    </row>
    <row r="271" spans="2:11" ht="24" customHeight="1">
      <c r="B271" s="275"/>
      <c r="C271" s="276"/>
      <c r="D271" s="276"/>
      <c r="E271" s="276"/>
      <c r="H271" s="275"/>
      <c r="I271" s="276"/>
      <c r="J271" s="276"/>
      <c r="K271" s="276"/>
    </row>
    <row r="272" spans="2:11" ht="24" customHeight="1">
      <c r="B272" s="273"/>
      <c r="C272" s="274"/>
      <c r="D272" s="274"/>
      <c r="E272" s="274"/>
      <c r="H272" s="273"/>
      <c r="I272" s="274"/>
      <c r="J272" s="274"/>
      <c r="K272" s="274"/>
    </row>
    <row r="273" spans="2:11" ht="24" customHeight="1">
      <c r="B273" s="273"/>
      <c r="C273" s="274"/>
      <c r="D273" s="274"/>
      <c r="E273" s="274"/>
      <c r="H273" s="273"/>
      <c r="I273" s="274"/>
      <c r="J273" s="274"/>
      <c r="K273" s="274"/>
    </row>
    <row r="274" spans="2:11" ht="24" customHeight="1">
      <c r="B274" s="275"/>
      <c r="C274" s="276"/>
      <c r="D274" s="276"/>
      <c r="E274" s="276"/>
      <c r="H274" s="275"/>
      <c r="I274" s="276"/>
      <c r="J274" s="276"/>
      <c r="K274" s="276"/>
    </row>
    <row r="275" spans="2:11" ht="24" customHeight="1">
      <c r="B275" s="275"/>
      <c r="C275" s="276"/>
      <c r="D275" s="276"/>
      <c r="E275" s="276"/>
      <c r="H275" s="275"/>
      <c r="I275" s="276"/>
      <c r="J275" s="276"/>
      <c r="K275" s="276"/>
    </row>
    <row r="276" spans="2:11" ht="24" customHeight="1">
      <c r="H276" s="272"/>
      <c r="I276" s="272"/>
    </row>
    <row r="277" spans="2:11" ht="24" customHeight="1">
      <c r="H277" s="272"/>
      <c r="I277" s="272"/>
    </row>
    <row r="278" spans="2:11" ht="24" customHeight="1">
      <c r="H278" s="272"/>
      <c r="I278" s="272"/>
    </row>
    <row r="279" spans="2:11" ht="24" customHeight="1">
      <c r="H279" s="272"/>
      <c r="I279" s="272"/>
    </row>
    <row r="280" spans="2:11" ht="24" customHeight="1">
      <c r="H280" s="272"/>
      <c r="I280" s="272"/>
    </row>
    <row r="281" spans="2:11" ht="24" customHeight="1">
      <c r="H281" s="272"/>
      <c r="I281" s="272"/>
    </row>
    <row r="282" spans="2:11" ht="24" customHeight="1">
      <c r="H282" s="272"/>
      <c r="I282" s="272"/>
    </row>
    <row r="308" ht="18.75" customHeight="1"/>
    <row r="309" ht="8.25" hidden="1" customHeight="1"/>
  </sheetData>
  <mergeCells count="148">
    <mergeCell ref="J251:J252"/>
    <mergeCell ref="K251:K252"/>
    <mergeCell ref="B266:B267"/>
    <mergeCell ref="C266:C267"/>
    <mergeCell ref="D266:D267"/>
    <mergeCell ref="E266:E267"/>
    <mergeCell ref="H266:H267"/>
    <mergeCell ref="I266:I267"/>
    <mergeCell ref="J266:J267"/>
    <mergeCell ref="K266:K267"/>
    <mergeCell ref="B251:B252"/>
    <mergeCell ref="C251:C252"/>
    <mergeCell ref="D251:D252"/>
    <mergeCell ref="E251:E252"/>
    <mergeCell ref="H251:H252"/>
    <mergeCell ref="I251:I252"/>
    <mergeCell ref="J227:J228"/>
    <mergeCell ref="K227:K228"/>
    <mergeCell ref="B239:B240"/>
    <mergeCell ref="C239:C240"/>
    <mergeCell ref="D239:D240"/>
    <mergeCell ref="E239:E240"/>
    <mergeCell ref="H239:H240"/>
    <mergeCell ref="I239:I240"/>
    <mergeCell ref="J239:J240"/>
    <mergeCell ref="K239:K240"/>
    <mergeCell ref="B227:B228"/>
    <mergeCell ref="C227:C228"/>
    <mergeCell ref="D227:D228"/>
    <mergeCell ref="E227:E228"/>
    <mergeCell ref="H227:H228"/>
    <mergeCell ref="I227:I228"/>
    <mergeCell ref="J199:J200"/>
    <mergeCell ref="K199:K200"/>
    <mergeCell ref="B215:B216"/>
    <mergeCell ref="C215:C216"/>
    <mergeCell ref="D215:D216"/>
    <mergeCell ref="E215:E216"/>
    <mergeCell ref="H215:H216"/>
    <mergeCell ref="I215:I216"/>
    <mergeCell ref="J215:J216"/>
    <mergeCell ref="K215:K216"/>
    <mergeCell ref="B199:B200"/>
    <mergeCell ref="C199:C200"/>
    <mergeCell ref="D199:D200"/>
    <mergeCell ref="E199:E200"/>
    <mergeCell ref="H199:H200"/>
    <mergeCell ref="I199:I200"/>
    <mergeCell ref="J155:J156"/>
    <mergeCell ref="K155:K156"/>
    <mergeCell ref="B179:B180"/>
    <mergeCell ref="C179:C180"/>
    <mergeCell ref="D179:D180"/>
    <mergeCell ref="E179:E180"/>
    <mergeCell ref="H179:H180"/>
    <mergeCell ref="I179:I180"/>
    <mergeCell ref="J179:J180"/>
    <mergeCell ref="K179:K180"/>
    <mergeCell ref="B155:B156"/>
    <mergeCell ref="C155:C156"/>
    <mergeCell ref="D155:D156"/>
    <mergeCell ref="E155:E156"/>
    <mergeCell ref="H155:H156"/>
    <mergeCell ref="I155:I156"/>
    <mergeCell ref="J123:J124"/>
    <mergeCell ref="K123:K124"/>
    <mergeCell ref="B143:B144"/>
    <mergeCell ref="C143:C144"/>
    <mergeCell ref="D143:D144"/>
    <mergeCell ref="E143:E144"/>
    <mergeCell ref="H143:H144"/>
    <mergeCell ref="I143:I144"/>
    <mergeCell ref="J143:J144"/>
    <mergeCell ref="K143:K144"/>
    <mergeCell ref="B123:B124"/>
    <mergeCell ref="C123:C124"/>
    <mergeCell ref="D123:D124"/>
    <mergeCell ref="E123:E124"/>
    <mergeCell ref="H123:H124"/>
    <mergeCell ref="I123:I124"/>
    <mergeCell ref="J91:J92"/>
    <mergeCell ref="K91:K92"/>
    <mergeCell ref="B107:B108"/>
    <mergeCell ref="C107:C108"/>
    <mergeCell ref="D107:D108"/>
    <mergeCell ref="E107:E108"/>
    <mergeCell ref="H107:H108"/>
    <mergeCell ref="I107:I108"/>
    <mergeCell ref="J107:J108"/>
    <mergeCell ref="K107:K108"/>
    <mergeCell ref="B91:B92"/>
    <mergeCell ref="C91:C92"/>
    <mergeCell ref="D91:D92"/>
    <mergeCell ref="E91:E92"/>
    <mergeCell ref="H91:H92"/>
    <mergeCell ref="I91:I92"/>
    <mergeCell ref="J63:J64"/>
    <mergeCell ref="K63:K64"/>
    <mergeCell ref="B75:B76"/>
    <mergeCell ref="C75:C76"/>
    <mergeCell ref="D75:D76"/>
    <mergeCell ref="E75:E76"/>
    <mergeCell ref="H75:H76"/>
    <mergeCell ref="I75:I76"/>
    <mergeCell ref="J75:J76"/>
    <mergeCell ref="K75:K76"/>
    <mergeCell ref="B63:B64"/>
    <mergeCell ref="C63:C64"/>
    <mergeCell ref="D63:D64"/>
    <mergeCell ref="E63:E64"/>
    <mergeCell ref="H63:H64"/>
    <mergeCell ref="I63:I64"/>
    <mergeCell ref="B47:B48"/>
    <mergeCell ref="C47:C48"/>
    <mergeCell ref="D47:D48"/>
    <mergeCell ref="E47:E48"/>
    <mergeCell ref="H47:H48"/>
    <mergeCell ref="I47:I48"/>
    <mergeCell ref="J47:J48"/>
    <mergeCell ref="K47:K48"/>
    <mergeCell ref="B31:B32"/>
    <mergeCell ref="C31:C32"/>
    <mergeCell ref="D31:D32"/>
    <mergeCell ref="E31:E32"/>
    <mergeCell ref="H31:H32"/>
    <mergeCell ref="I31:I32"/>
    <mergeCell ref="B19:B20"/>
    <mergeCell ref="C19:C20"/>
    <mergeCell ref="D19:D20"/>
    <mergeCell ref="E19:E20"/>
    <mergeCell ref="H19:H20"/>
    <mergeCell ref="I19:I20"/>
    <mergeCell ref="J19:J20"/>
    <mergeCell ref="K19:K20"/>
    <mergeCell ref="J31:J32"/>
    <mergeCell ref="K31:K32"/>
    <mergeCell ref="N2:P2"/>
    <mergeCell ref="B3:B4"/>
    <mergeCell ref="C3:C4"/>
    <mergeCell ref="D3:D4"/>
    <mergeCell ref="E3:E4"/>
    <mergeCell ref="H3:H4"/>
    <mergeCell ref="I3:I4"/>
    <mergeCell ref="J3:J4"/>
    <mergeCell ref="K3:K4"/>
    <mergeCell ref="N3:N4"/>
    <mergeCell ref="O3:O4"/>
    <mergeCell ref="P3:P4"/>
  </mergeCells>
  <printOptions horizontalCentered="1" verticalCentered="1"/>
  <pageMargins left="0" right="0" top="0" bottom="0" header="0" footer="0"/>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57CC-5653-4924-9E21-06B4D3414D20}">
  <sheetPr>
    <tabColor rgb="FF00B0F0"/>
  </sheetPr>
  <dimension ref="A1:AA123"/>
  <sheetViews>
    <sheetView topLeftCell="A100" zoomScaleNormal="100" workbookViewId="0">
      <selection activeCell="D103" sqref="D103"/>
    </sheetView>
  </sheetViews>
  <sheetFormatPr defaultRowHeight="13.5"/>
  <cols>
    <col min="1" max="1" width="83.85546875" style="667" bestFit="1" customWidth="1"/>
    <col min="2" max="2" width="31.140625" style="678" customWidth="1"/>
    <col min="3" max="3" width="17.28515625" style="712" customWidth="1"/>
    <col min="4" max="4" width="45.7109375" style="678" customWidth="1"/>
    <col min="5" max="5" width="11" style="666" bestFit="1" customWidth="1"/>
    <col min="6" max="27" width="9.140625" style="666"/>
    <col min="28" max="256" width="9.140625" style="667"/>
    <col min="257" max="257" width="83.85546875" style="667" bestFit="1" customWidth="1"/>
    <col min="258" max="258" width="31.140625" style="667" customWidth="1"/>
    <col min="259" max="259" width="17.28515625" style="667" customWidth="1"/>
    <col min="260" max="260" width="45.7109375" style="667" customWidth="1"/>
    <col min="261" max="261" width="11" style="667" bestFit="1" customWidth="1"/>
    <col min="262" max="512" width="9.140625" style="667"/>
    <col min="513" max="513" width="83.85546875" style="667" bestFit="1" customWidth="1"/>
    <col min="514" max="514" width="31.140625" style="667" customWidth="1"/>
    <col min="515" max="515" width="17.28515625" style="667" customWidth="1"/>
    <col min="516" max="516" width="45.7109375" style="667" customWidth="1"/>
    <col min="517" max="517" width="11" style="667" bestFit="1" customWidth="1"/>
    <col min="518" max="768" width="9.140625" style="667"/>
    <col min="769" max="769" width="83.85546875" style="667" bestFit="1" customWidth="1"/>
    <col min="770" max="770" width="31.140625" style="667" customWidth="1"/>
    <col min="771" max="771" width="17.28515625" style="667" customWidth="1"/>
    <col min="772" max="772" width="45.7109375" style="667" customWidth="1"/>
    <col min="773" max="773" width="11" style="667" bestFit="1" customWidth="1"/>
    <col min="774" max="1024" width="9.140625" style="667"/>
    <col min="1025" max="1025" width="83.85546875" style="667" bestFit="1" customWidth="1"/>
    <col min="1026" max="1026" width="31.140625" style="667" customWidth="1"/>
    <col min="1027" max="1027" width="17.28515625" style="667" customWidth="1"/>
    <col min="1028" max="1028" width="45.7109375" style="667" customWidth="1"/>
    <col min="1029" max="1029" width="11" style="667" bestFit="1" customWidth="1"/>
    <col min="1030" max="1280" width="9.140625" style="667"/>
    <col min="1281" max="1281" width="83.85546875" style="667" bestFit="1" customWidth="1"/>
    <col min="1282" max="1282" width="31.140625" style="667" customWidth="1"/>
    <col min="1283" max="1283" width="17.28515625" style="667" customWidth="1"/>
    <col min="1284" max="1284" width="45.7109375" style="667" customWidth="1"/>
    <col min="1285" max="1285" width="11" style="667" bestFit="1" customWidth="1"/>
    <col min="1286" max="1536" width="9.140625" style="667"/>
    <col min="1537" max="1537" width="83.85546875" style="667" bestFit="1" customWidth="1"/>
    <col min="1538" max="1538" width="31.140625" style="667" customWidth="1"/>
    <col min="1539" max="1539" width="17.28515625" style="667" customWidth="1"/>
    <col min="1540" max="1540" width="45.7109375" style="667" customWidth="1"/>
    <col min="1541" max="1541" width="11" style="667" bestFit="1" customWidth="1"/>
    <col min="1542" max="1792" width="9.140625" style="667"/>
    <col min="1793" max="1793" width="83.85546875" style="667" bestFit="1" customWidth="1"/>
    <col min="1794" max="1794" width="31.140625" style="667" customWidth="1"/>
    <col min="1795" max="1795" width="17.28515625" style="667" customWidth="1"/>
    <col min="1796" max="1796" width="45.7109375" style="667" customWidth="1"/>
    <col min="1797" max="1797" width="11" style="667" bestFit="1" customWidth="1"/>
    <col min="1798" max="2048" width="9.140625" style="667"/>
    <col min="2049" max="2049" width="83.85546875" style="667" bestFit="1" customWidth="1"/>
    <col min="2050" max="2050" width="31.140625" style="667" customWidth="1"/>
    <col min="2051" max="2051" width="17.28515625" style="667" customWidth="1"/>
    <col min="2052" max="2052" width="45.7109375" style="667" customWidth="1"/>
    <col min="2053" max="2053" width="11" style="667" bestFit="1" customWidth="1"/>
    <col min="2054" max="2304" width="9.140625" style="667"/>
    <col min="2305" max="2305" width="83.85546875" style="667" bestFit="1" customWidth="1"/>
    <col min="2306" max="2306" width="31.140625" style="667" customWidth="1"/>
    <col min="2307" max="2307" width="17.28515625" style="667" customWidth="1"/>
    <col min="2308" max="2308" width="45.7109375" style="667" customWidth="1"/>
    <col min="2309" max="2309" width="11" style="667" bestFit="1" customWidth="1"/>
    <col min="2310" max="2560" width="9.140625" style="667"/>
    <col min="2561" max="2561" width="83.85546875" style="667" bestFit="1" customWidth="1"/>
    <col min="2562" max="2562" width="31.140625" style="667" customWidth="1"/>
    <col min="2563" max="2563" width="17.28515625" style="667" customWidth="1"/>
    <col min="2564" max="2564" width="45.7109375" style="667" customWidth="1"/>
    <col min="2565" max="2565" width="11" style="667" bestFit="1" customWidth="1"/>
    <col min="2566" max="2816" width="9.140625" style="667"/>
    <col min="2817" max="2817" width="83.85546875" style="667" bestFit="1" customWidth="1"/>
    <col min="2818" max="2818" width="31.140625" style="667" customWidth="1"/>
    <col min="2819" max="2819" width="17.28515625" style="667" customWidth="1"/>
    <col min="2820" max="2820" width="45.7109375" style="667" customWidth="1"/>
    <col min="2821" max="2821" width="11" style="667" bestFit="1" customWidth="1"/>
    <col min="2822" max="3072" width="9.140625" style="667"/>
    <col min="3073" max="3073" width="83.85546875" style="667" bestFit="1" customWidth="1"/>
    <col min="3074" max="3074" width="31.140625" style="667" customWidth="1"/>
    <col min="3075" max="3075" width="17.28515625" style="667" customWidth="1"/>
    <col min="3076" max="3076" width="45.7109375" style="667" customWidth="1"/>
    <col min="3077" max="3077" width="11" style="667" bestFit="1" customWidth="1"/>
    <col min="3078" max="3328" width="9.140625" style="667"/>
    <col min="3329" max="3329" width="83.85546875" style="667" bestFit="1" customWidth="1"/>
    <col min="3330" max="3330" width="31.140625" style="667" customWidth="1"/>
    <col min="3331" max="3331" width="17.28515625" style="667" customWidth="1"/>
    <col min="3332" max="3332" width="45.7109375" style="667" customWidth="1"/>
    <col min="3333" max="3333" width="11" style="667" bestFit="1" customWidth="1"/>
    <col min="3334" max="3584" width="9.140625" style="667"/>
    <col min="3585" max="3585" width="83.85546875" style="667" bestFit="1" customWidth="1"/>
    <col min="3586" max="3586" width="31.140625" style="667" customWidth="1"/>
    <col min="3587" max="3587" width="17.28515625" style="667" customWidth="1"/>
    <col min="3588" max="3588" width="45.7109375" style="667" customWidth="1"/>
    <col min="3589" max="3589" width="11" style="667" bestFit="1" customWidth="1"/>
    <col min="3590" max="3840" width="9.140625" style="667"/>
    <col min="3841" max="3841" width="83.85546875" style="667" bestFit="1" customWidth="1"/>
    <col min="3842" max="3842" width="31.140625" style="667" customWidth="1"/>
    <col min="3843" max="3843" width="17.28515625" style="667" customWidth="1"/>
    <col min="3844" max="3844" width="45.7109375" style="667" customWidth="1"/>
    <col min="3845" max="3845" width="11" style="667" bestFit="1" customWidth="1"/>
    <col min="3846" max="4096" width="9.140625" style="667"/>
    <col min="4097" max="4097" width="83.85546875" style="667" bestFit="1" customWidth="1"/>
    <col min="4098" max="4098" width="31.140625" style="667" customWidth="1"/>
    <col min="4099" max="4099" width="17.28515625" style="667" customWidth="1"/>
    <col min="4100" max="4100" width="45.7109375" style="667" customWidth="1"/>
    <col min="4101" max="4101" width="11" style="667" bestFit="1" customWidth="1"/>
    <col min="4102" max="4352" width="9.140625" style="667"/>
    <col min="4353" max="4353" width="83.85546875" style="667" bestFit="1" customWidth="1"/>
    <col min="4354" max="4354" width="31.140625" style="667" customWidth="1"/>
    <col min="4355" max="4355" width="17.28515625" style="667" customWidth="1"/>
    <col min="4356" max="4356" width="45.7109375" style="667" customWidth="1"/>
    <col min="4357" max="4357" width="11" style="667" bestFit="1" customWidth="1"/>
    <col min="4358" max="4608" width="9.140625" style="667"/>
    <col min="4609" max="4609" width="83.85546875" style="667" bestFit="1" customWidth="1"/>
    <col min="4610" max="4610" width="31.140625" style="667" customWidth="1"/>
    <col min="4611" max="4611" width="17.28515625" style="667" customWidth="1"/>
    <col min="4612" max="4612" width="45.7109375" style="667" customWidth="1"/>
    <col min="4613" max="4613" width="11" style="667" bestFit="1" customWidth="1"/>
    <col min="4614" max="4864" width="9.140625" style="667"/>
    <col min="4865" max="4865" width="83.85546875" style="667" bestFit="1" customWidth="1"/>
    <col min="4866" max="4866" width="31.140625" style="667" customWidth="1"/>
    <col min="4867" max="4867" width="17.28515625" style="667" customWidth="1"/>
    <col min="4868" max="4868" width="45.7109375" style="667" customWidth="1"/>
    <col min="4869" max="4869" width="11" style="667" bestFit="1" customWidth="1"/>
    <col min="4870" max="5120" width="9.140625" style="667"/>
    <col min="5121" max="5121" width="83.85546875" style="667" bestFit="1" customWidth="1"/>
    <col min="5122" max="5122" width="31.140625" style="667" customWidth="1"/>
    <col min="5123" max="5123" width="17.28515625" style="667" customWidth="1"/>
    <col min="5124" max="5124" width="45.7109375" style="667" customWidth="1"/>
    <col min="5125" max="5125" width="11" style="667" bestFit="1" customWidth="1"/>
    <col min="5126" max="5376" width="9.140625" style="667"/>
    <col min="5377" max="5377" width="83.85546875" style="667" bestFit="1" customWidth="1"/>
    <col min="5378" max="5378" width="31.140625" style="667" customWidth="1"/>
    <col min="5379" max="5379" width="17.28515625" style="667" customWidth="1"/>
    <col min="5380" max="5380" width="45.7109375" style="667" customWidth="1"/>
    <col min="5381" max="5381" width="11" style="667" bestFit="1" customWidth="1"/>
    <col min="5382" max="5632" width="9.140625" style="667"/>
    <col min="5633" max="5633" width="83.85546875" style="667" bestFit="1" customWidth="1"/>
    <col min="5634" max="5634" width="31.140625" style="667" customWidth="1"/>
    <col min="5635" max="5635" width="17.28515625" style="667" customWidth="1"/>
    <col min="5636" max="5636" width="45.7109375" style="667" customWidth="1"/>
    <col min="5637" max="5637" width="11" style="667" bestFit="1" customWidth="1"/>
    <col min="5638" max="5888" width="9.140625" style="667"/>
    <col min="5889" max="5889" width="83.85546875" style="667" bestFit="1" customWidth="1"/>
    <col min="5890" max="5890" width="31.140625" style="667" customWidth="1"/>
    <col min="5891" max="5891" width="17.28515625" style="667" customWidth="1"/>
    <col min="5892" max="5892" width="45.7109375" style="667" customWidth="1"/>
    <col min="5893" max="5893" width="11" style="667" bestFit="1" customWidth="1"/>
    <col min="5894" max="6144" width="9.140625" style="667"/>
    <col min="6145" max="6145" width="83.85546875" style="667" bestFit="1" customWidth="1"/>
    <col min="6146" max="6146" width="31.140625" style="667" customWidth="1"/>
    <col min="6147" max="6147" width="17.28515625" style="667" customWidth="1"/>
    <col min="6148" max="6148" width="45.7109375" style="667" customWidth="1"/>
    <col min="6149" max="6149" width="11" style="667" bestFit="1" customWidth="1"/>
    <col min="6150" max="6400" width="9.140625" style="667"/>
    <col min="6401" max="6401" width="83.85546875" style="667" bestFit="1" customWidth="1"/>
    <col min="6402" max="6402" width="31.140625" style="667" customWidth="1"/>
    <col min="6403" max="6403" width="17.28515625" style="667" customWidth="1"/>
    <col min="6404" max="6404" width="45.7109375" style="667" customWidth="1"/>
    <col min="6405" max="6405" width="11" style="667" bestFit="1" customWidth="1"/>
    <col min="6406" max="6656" width="9.140625" style="667"/>
    <col min="6657" max="6657" width="83.85546875" style="667" bestFit="1" customWidth="1"/>
    <col min="6658" max="6658" width="31.140625" style="667" customWidth="1"/>
    <col min="6659" max="6659" width="17.28515625" style="667" customWidth="1"/>
    <col min="6660" max="6660" width="45.7109375" style="667" customWidth="1"/>
    <col min="6661" max="6661" width="11" style="667" bestFit="1" customWidth="1"/>
    <col min="6662" max="6912" width="9.140625" style="667"/>
    <col min="6913" max="6913" width="83.85546875" style="667" bestFit="1" customWidth="1"/>
    <col min="6914" max="6914" width="31.140625" style="667" customWidth="1"/>
    <col min="6915" max="6915" width="17.28515625" style="667" customWidth="1"/>
    <col min="6916" max="6916" width="45.7109375" style="667" customWidth="1"/>
    <col min="6917" max="6917" width="11" style="667" bestFit="1" customWidth="1"/>
    <col min="6918" max="7168" width="9.140625" style="667"/>
    <col min="7169" max="7169" width="83.85546875" style="667" bestFit="1" customWidth="1"/>
    <col min="7170" max="7170" width="31.140625" style="667" customWidth="1"/>
    <col min="7171" max="7171" width="17.28515625" style="667" customWidth="1"/>
    <col min="7172" max="7172" width="45.7109375" style="667" customWidth="1"/>
    <col min="7173" max="7173" width="11" style="667" bestFit="1" customWidth="1"/>
    <col min="7174" max="7424" width="9.140625" style="667"/>
    <col min="7425" max="7425" width="83.85546875" style="667" bestFit="1" customWidth="1"/>
    <col min="7426" max="7426" width="31.140625" style="667" customWidth="1"/>
    <col min="7427" max="7427" width="17.28515625" style="667" customWidth="1"/>
    <col min="7428" max="7428" width="45.7109375" style="667" customWidth="1"/>
    <col min="7429" max="7429" width="11" style="667" bestFit="1" customWidth="1"/>
    <col min="7430" max="7680" width="9.140625" style="667"/>
    <col min="7681" max="7681" width="83.85546875" style="667" bestFit="1" customWidth="1"/>
    <col min="7682" max="7682" width="31.140625" style="667" customWidth="1"/>
    <col min="7683" max="7683" width="17.28515625" style="667" customWidth="1"/>
    <col min="7684" max="7684" width="45.7109375" style="667" customWidth="1"/>
    <col min="7685" max="7685" width="11" style="667" bestFit="1" customWidth="1"/>
    <col min="7686" max="7936" width="9.140625" style="667"/>
    <col min="7937" max="7937" width="83.85546875" style="667" bestFit="1" customWidth="1"/>
    <col min="7938" max="7938" width="31.140625" style="667" customWidth="1"/>
    <col min="7939" max="7939" width="17.28515625" style="667" customWidth="1"/>
    <col min="7940" max="7940" width="45.7109375" style="667" customWidth="1"/>
    <col min="7941" max="7941" width="11" style="667" bestFit="1" customWidth="1"/>
    <col min="7942" max="8192" width="9.140625" style="667"/>
    <col min="8193" max="8193" width="83.85546875" style="667" bestFit="1" customWidth="1"/>
    <col min="8194" max="8194" width="31.140625" style="667" customWidth="1"/>
    <col min="8195" max="8195" width="17.28515625" style="667" customWidth="1"/>
    <col min="8196" max="8196" width="45.7109375" style="667" customWidth="1"/>
    <col min="8197" max="8197" width="11" style="667" bestFit="1" customWidth="1"/>
    <col min="8198" max="8448" width="9.140625" style="667"/>
    <col min="8449" max="8449" width="83.85546875" style="667" bestFit="1" customWidth="1"/>
    <col min="8450" max="8450" width="31.140625" style="667" customWidth="1"/>
    <col min="8451" max="8451" width="17.28515625" style="667" customWidth="1"/>
    <col min="8452" max="8452" width="45.7109375" style="667" customWidth="1"/>
    <col min="8453" max="8453" width="11" style="667" bestFit="1" customWidth="1"/>
    <col min="8454" max="8704" width="9.140625" style="667"/>
    <col min="8705" max="8705" width="83.85546875" style="667" bestFit="1" customWidth="1"/>
    <col min="8706" max="8706" width="31.140625" style="667" customWidth="1"/>
    <col min="8707" max="8707" width="17.28515625" style="667" customWidth="1"/>
    <col min="8708" max="8708" width="45.7109375" style="667" customWidth="1"/>
    <col min="8709" max="8709" width="11" style="667" bestFit="1" customWidth="1"/>
    <col min="8710" max="8960" width="9.140625" style="667"/>
    <col min="8961" max="8961" width="83.85546875" style="667" bestFit="1" customWidth="1"/>
    <col min="8962" max="8962" width="31.140625" style="667" customWidth="1"/>
    <col min="8963" max="8963" width="17.28515625" style="667" customWidth="1"/>
    <col min="8964" max="8964" width="45.7109375" style="667" customWidth="1"/>
    <col min="8965" max="8965" width="11" style="667" bestFit="1" customWidth="1"/>
    <col min="8966" max="9216" width="9.140625" style="667"/>
    <col min="9217" max="9217" width="83.85546875" style="667" bestFit="1" customWidth="1"/>
    <col min="9218" max="9218" width="31.140625" style="667" customWidth="1"/>
    <col min="9219" max="9219" width="17.28515625" style="667" customWidth="1"/>
    <col min="9220" max="9220" width="45.7109375" style="667" customWidth="1"/>
    <col min="9221" max="9221" width="11" style="667" bestFit="1" customWidth="1"/>
    <col min="9222" max="9472" width="9.140625" style="667"/>
    <col min="9473" max="9473" width="83.85546875" style="667" bestFit="1" customWidth="1"/>
    <col min="9474" max="9474" width="31.140625" style="667" customWidth="1"/>
    <col min="9475" max="9475" width="17.28515625" style="667" customWidth="1"/>
    <col min="9476" max="9476" width="45.7109375" style="667" customWidth="1"/>
    <col min="9477" max="9477" width="11" style="667" bestFit="1" customWidth="1"/>
    <col min="9478" max="9728" width="9.140625" style="667"/>
    <col min="9729" max="9729" width="83.85546875" style="667" bestFit="1" customWidth="1"/>
    <col min="9730" max="9730" width="31.140625" style="667" customWidth="1"/>
    <col min="9731" max="9731" width="17.28515625" style="667" customWidth="1"/>
    <col min="9732" max="9732" width="45.7109375" style="667" customWidth="1"/>
    <col min="9733" max="9733" width="11" style="667" bestFit="1" customWidth="1"/>
    <col min="9734" max="9984" width="9.140625" style="667"/>
    <col min="9985" max="9985" width="83.85546875" style="667" bestFit="1" customWidth="1"/>
    <col min="9986" max="9986" width="31.140625" style="667" customWidth="1"/>
    <col min="9987" max="9987" width="17.28515625" style="667" customWidth="1"/>
    <col min="9988" max="9988" width="45.7109375" style="667" customWidth="1"/>
    <col min="9989" max="9989" width="11" style="667" bestFit="1" customWidth="1"/>
    <col min="9990" max="10240" width="9.140625" style="667"/>
    <col min="10241" max="10241" width="83.85546875" style="667" bestFit="1" customWidth="1"/>
    <col min="10242" max="10242" width="31.140625" style="667" customWidth="1"/>
    <col min="10243" max="10243" width="17.28515625" style="667" customWidth="1"/>
    <col min="10244" max="10244" width="45.7109375" style="667" customWidth="1"/>
    <col min="10245" max="10245" width="11" style="667" bestFit="1" customWidth="1"/>
    <col min="10246" max="10496" width="9.140625" style="667"/>
    <col min="10497" max="10497" width="83.85546875" style="667" bestFit="1" customWidth="1"/>
    <col min="10498" max="10498" width="31.140625" style="667" customWidth="1"/>
    <col min="10499" max="10499" width="17.28515625" style="667" customWidth="1"/>
    <col min="10500" max="10500" width="45.7109375" style="667" customWidth="1"/>
    <col min="10501" max="10501" width="11" style="667" bestFit="1" customWidth="1"/>
    <col min="10502" max="10752" width="9.140625" style="667"/>
    <col min="10753" max="10753" width="83.85546875" style="667" bestFit="1" customWidth="1"/>
    <col min="10754" max="10754" width="31.140625" style="667" customWidth="1"/>
    <col min="10755" max="10755" width="17.28515625" style="667" customWidth="1"/>
    <col min="10756" max="10756" width="45.7109375" style="667" customWidth="1"/>
    <col min="10757" max="10757" width="11" style="667" bestFit="1" customWidth="1"/>
    <col min="10758" max="11008" width="9.140625" style="667"/>
    <col min="11009" max="11009" width="83.85546875" style="667" bestFit="1" customWidth="1"/>
    <col min="11010" max="11010" width="31.140625" style="667" customWidth="1"/>
    <col min="11011" max="11011" width="17.28515625" style="667" customWidth="1"/>
    <col min="11012" max="11012" width="45.7109375" style="667" customWidth="1"/>
    <col min="11013" max="11013" width="11" style="667" bestFit="1" customWidth="1"/>
    <col min="11014" max="11264" width="9.140625" style="667"/>
    <col min="11265" max="11265" width="83.85546875" style="667" bestFit="1" customWidth="1"/>
    <col min="11266" max="11266" width="31.140625" style="667" customWidth="1"/>
    <col min="11267" max="11267" width="17.28515625" style="667" customWidth="1"/>
    <col min="11268" max="11268" width="45.7109375" style="667" customWidth="1"/>
    <col min="11269" max="11269" width="11" style="667" bestFit="1" customWidth="1"/>
    <col min="11270" max="11520" width="9.140625" style="667"/>
    <col min="11521" max="11521" width="83.85546875" style="667" bestFit="1" customWidth="1"/>
    <col min="11522" max="11522" width="31.140625" style="667" customWidth="1"/>
    <col min="11523" max="11523" width="17.28515625" style="667" customWidth="1"/>
    <col min="11524" max="11524" width="45.7109375" style="667" customWidth="1"/>
    <col min="11525" max="11525" width="11" style="667" bestFit="1" customWidth="1"/>
    <col min="11526" max="11776" width="9.140625" style="667"/>
    <col min="11777" max="11777" width="83.85546875" style="667" bestFit="1" customWidth="1"/>
    <col min="11778" max="11778" width="31.140625" style="667" customWidth="1"/>
    <col min="11779" max="11779" width="17.28515625" style="667" customWidth="1"/>
    <col min="11780" max="11780" width="45.7109375" style="667" customWidth="1"/>
    <col min="11781" max="11781" width="11" style="667" bestFit="1" customWidth="1"/>
    <col min="11782" max="12032" width="9.140625" style="667"/>
    <col min="12033" max="12033" width="83.85546875" style="667" bestFit="1" customWidth="1"/>
    <col min="12034" max="12034" width="31.140625" style="667" customWidth="1"/>
    <col min="12035" max="12035" width="17.28515625" style="667" customWidth="1"/>
    <col min="12036" max="12036" width="45.7109375" style="667" customWidth="1"/>
    <col min="12037" max="12037" width="11" style="667" bestFit="1" customWidth="1"/>
    <col min="12038" max="12288" width="9.140625" style="667"/>
    <col min="12289" max="12289" width="83.85546875" style="667" bestFit="1" customWidth="1"/>
    <col min="12290" max="12290" width="31.140625" style="667" customWidth="1"/>
    <col min="12291" max="12291" width="17.28515625" style="667" customWidth="1"/>
    <col min="12292" max="12292" width="45.7109375" style="667" customWidth="1"/>
    <col min="12293" max="12293" width="11" style="667" bestFit="1" customWidth="1"/>
    <col min="12294" max="12544" width="9.140625" style="667"/>
    <col min="12545" max="12545" width="83.85546875" style="667" bestFit="1" customWidth="1"/>
    <col min="12546" max="12546" width="31.140625" style="667" customWidth="1"/>
    <col min="12547" max="12547" width="17.28515625" style="667" customWidth="1"/>
    <col min="12548" max="12548" width="45.7109375" style="667" customWidth="1"/>
    <col min="12549" max="12549" width="11" style="667" bestFit="1" customWidth="1"/>
    <col min="12550" max="12800" width="9.140625" style="667"/>
    <col min="12801" max="12801" width="83.85546875" style="667" bestFit="1" customWidth="1"/>
    <col min="12802" max="12802" width="31.140625" style="667" customWidth="1"/>
    <col min="12803" max="12803" width="17.28515625" style="667" customWidth="1"/>
    <col min="12804" max="12804" width="45.7109375" style="667" customWidth="1"/>
    <col min="12805" max="12805" width="11" style="667" bestFit="1" customWidth="1"/>
    <col min="12806" max="13056" width="9.140625" style="667"/>
    <col min="13057" max="13057" width="83.85546875" style="667" bestFit="1" customWidth="1"/>
    <col min="13058" max="13058" width="31.140625" style="667" customWidth="1"/>
    <col min="13059" max="13059" width="17.28515625" style="667" customWidth="1"/>
    <col min="13060" max="13060" width="45.7109375" style="667" customWidth="1"/>
    <col min="13061" max="13061" width="11" style="667" bestFit="1" customWidth="1"/>
    <col min="13062" max="13312" width="9.140625" style="667"/>
    <col min="13313" max="13313" width="83.85546875" style="667" bestFit="1" customWidth="1"/>
    <col min="13314" max="13314" width="31.140625" style="667" customWidth="1"/>
    <col min="13315" max="13315" width="17.28515625" style="667" customWidth="1"/>
    <col min="13316" max="13316" width="45.7109375" style="667" customWidth="1"/>
    <col min="13317" max="13317" width="11" style="667" bestFit="1" customWidth="1"/>
    <col min="13318" max="13568" width="9.140625" style="667"/>
    <col min="13569" max="13569" width="83.85546875" style="667" bestFit="1" customWidth="1"/>
    <col min="13570" max="13570" width="31.140625" style="667" customWidth="1"/>
    <col min="13571" max="13571" width="17.28515625" style="667" customWidth="1"/>
    <col min="13572" max="13572" width="45.7109375" style="667" customWidth="1"/>
    <col min="13573" max="13573" width="11" style="667" bestFit="1" customWidth="1"/>
    <col min="13574" max="13824" width="9.140625" style="667"/>
    <col min="13825" max="13825" width="83.85546875" style="667" bestFit="1" customWidth="1"/>
    <col min="13826" max="13826" width="31.140625" style="667" customWidth="1"/>
    <col min="13827" max="13827" width="17.28515625" style="667" customWidth="1"/>
    <col min="13828" max="13828" width="45.7109375" style="667" customWidth="1"/>
    <col min="13829" max="13829" width="11" style="667" bestFit="1" customWidth="1"/>
    <col min="13830" max="14080" width="9.140625" style="667"/>
    <col min="14081" max="14081" width="83.85546875" style="667" bestFit="1" customWidth="1"/>
    <col min="14082" max="14082" width="31.140625" style="667" customWidth="1"/>
    <col min="14083" max="14083" width="17.28515625" style="667" customWidth="1"/>
    <col min="14084" max="14084" width="45.7109375" style="667" customWidth="1"/>
    <col min="14085" max="14085" width="11" style="667" bestFit="1" customWidth="1"/>
    <col min="14086" max="14336" width="9.140625" style="667"/>
    <col min="14337" max="14337" width="83.85546875" style="667" bestFit="1" customWidth="1"/>
    <col min="14338" max="14338" width="31.140625" style="667" customWidth="1"/>
    <col min="14339" max="14339" width="17.28515625" style="667" customWidth="1"/>
    <col min="14340" max="14340" width="45.7109375" style="667" customWidth="1"/>
    <col min="14341" max="14341" width="11" style="667" bestFit="1" customWidth="1"/>
    <col min="14342" max="14592" width="9.140625" style="667"/>
    <col min="14593" max="14593" width="83.85546875" style="667" bestFit="1" customWidth="1"/>
    <col min="14594" max="14594" width="31.140625" style="667" customWidth="1"/>
    <col min="14595" max="14595" width="17.28515625" style="667" customWidth="1"/>
    <col min="14596" max="14596" width="45.7109375" style="667" customWidth="1"/>
    <col min="14597" max="14597" width="11" style="667" bestFit="1" customWidth="1"/>
    <col min="14598" max="14848" width="9.140625" style="667"/>
    <col min="14849" max="14849" width="83.85546875" style="667" bestFit="1" customWidth="1"/>
    <col min="14850" max="14850" width="31.140625" style="667" customWidth="1"/>
    <col min="14851" max="14851" width="17.28515625" style="667" customWidth="1"/>
    <col min="14852" max="14852" width="45.7109375" style="667" customWidth="1"/>
    <col min="14853" max="14853" width="11" style="667" bestFit="1" customWidth="1"/>
    <col min="14854" max="15104" width="9.140625" style="667"/>
    <col min="15105" max="15105" width="83.85546875" style="667" bestFit="1" customWidth="1"/>
    <col min="15106" max="15106" width="31.140625" style="667" customWidth="1"/>
    <col min="15107" max="15107" width="17.28515625" style="667" customWidth="1"/>
    <col min="15108" max="15108" width="45.7109375" style="667" customWidth="1"/>
    <col min="15109" max="15109" width="11" style="667" bestFit="1" customWidth="1"/>
    <col min="15110" max="15360" width="9.140625" style="667"/>
    <col min="15361" max="15361" width="83.85546875" style="667" bestFit="1" customWidth="1"/>
    <col min="15362" max="15362" width="31.140625" style="667" customWidth="1"/>
    <col min="15363" max="15363" width="17.28515625" style="667" customWidth="1"/>
    <col min="15364" max="15364" width="45.7109375" style="667" customWidth="1"/>
    <col min="15365" max="15365" width="11" style="667" bestFit="1" customWidth="1"/>
    <col min="15366" max="15616" width="9.140625" style="667"/>
    <col min="15617" max="15617" width="83.85546875" style="667" bestFit="1" customWidth="1"/>
    <col min="15618" max="15618" width="31.140625" style="667" customWidth="1"/>
    <col min="15619" max="15619" width="17.28515625" style="667" customWidth="1"/>
    <col min="15620" max="15620" width="45.7109375" style="667" customWidth="1"/>
    <col min="15621" max="15621" width="11" style="667" bestFit="1" customWidth="1"/>
    <col min="15622" max="15872" width="9.140625" style="667"/>
    <col min="15873" max="15873" width="83.85546875" style="667" bestFit="1" customWidth="1"/>
    <col min="15874" max="15874" width="31.140625" style="667" customWidth="1"/>
    <col min="15875" max="15875" width="17.28515625" style="667" customWidth="1"/>
    <col min="15876" max="15876" width="45.7109375" style="667" customWidth="1"/>
    <col min="15877" max="15877" width="11" style="667" bestFit="1" customWidth="1"/>
    <col min="15878" max="16128" width="9.140625" style="667"/>
    <col min="16129" max="16129" width="83.85546875" style="667" bestFit="1" customWidth="1"/>
    <col min="16130" max="16130" width="31.140625" style="667" customWidth="1"/>
    <col min="16131" max="16131" width="17.28515625" style="667" customWidth="1"/>
    <col min="16132" max="16132" width="45.7109375" style="667" customWidth="1"/>
    <col min="16133" max="16133" width="11" style="667" bestFit="1" customWidth="1"/>
    <col min="16134" max="16384" width="9.140625" style="667"/>
  </cols>
  <sheetData>
    <row r="1" spans="1:27" ht="30">
      <c r="A1" s="662" t="s">
        <v>1995</v>
      </c>
      <c r="B1" s="663" t="s">
        <v>1996</v>
      </c>
      <c r="C1" s="664">
        <v>2103443575</v>
      </c>
      <c r="D1" s="665" t="s">
        <v>1997</v>
      </c>
    </row>
    <row r="2" spans="1:27" s="666" customFormat="1" ht="30">
      <c r="A2" s="663" t="s">
        <v>1998</v>
      </c>
      <c r="B2" s="668" t="s">
        <v>1999</v>
      </c>
      <c r="C2" s="669">
        <v>2103443188</v>
      </c>
      <c r="D2" s="665" t="s">
        <v>2000</v>
      </c>
    </row>
    <row r="3" spans="1:27" s="666" customFormat="1" ht="15.75">
      <c r="A3" s="1319"/>
      <c r="B3" s="668" t="s">
        <v>2001</v>
      </c>
      <c r="C3" s="669">
        <v>2103443891</v>
      </c>
      <c r="D3" s="665" t="s">
        <v>2002</v>
      </c>
    </row>
    <row r="4" spans="1:27" s="666" customFormat="1" ht="15.75">
      <c r="A4" s="1323"/>
      <c r="B4" s="668" t="s">
        <v>2003</v>
      </c>
      <c r="C4" s="669">
        <v>2103442232</v>
      </c>
      <c r="D4" s="665" t="s">
        <v>2004</v>
      </c>
    </row>
    <row r="5" spans="1:27" s="666" customFormat="1" ht="45">
      <c r="A5" s="1323"/>
      <c r="B5" s="668" t="s">
        <v>2005</v>
      </c>
      <c r="C5" s="669">
        <v>2103443649</v>
      </c>
      <c r="D5" s="671" t="s">
        <v>2006</v>
      </c>
    </row>
    <row r="6" spans="1:27" s="666" customFormat="1" ht="15.75">
      <c r="A6" s="1323"/>
      <c r="B6" s="668" t="s">
        <v>2007</v>
      </c>
      <c r="C6" s="669">
        <v>2103443642</v>
      </c>
      <c r="D6" s="671" t="s">
        <v>2008</v>
      </c>
    </row>
    <row r="7" spans="1:27" s="666" customFormat="1" ht="15.75">
      <c r="A7" s="1323"/>
      <c r="B7" s="668" t="s">
        <v>2009</v>
      </c>
      <c r="C7" s="669">
        <v>2103443801</v>
      </c>
      <c r="D7" s="671" t="s">
        <v>2010</v>
      </c>
    </row>
    <row r="8" spans="1:27" s="666" customFormat="1" ht="15.75">
      <c r="A8" s="1323"/>
      <c r="B8" s="668" t="s">
        <v>2011</v>
      </c>
      <c r="C8" s="669">
        <v>2103443652</v>
      </c>
      <c r="D8" s="671" t="s">
        <v>2012</v>
      </c>
    </row>
    <row r="9" spans="1:27" s="666" customFormat="1" ht="15.75">
      <c r="A9" s="1311"/>
      <c r="B9" s="668"/>
      <c r="C9" s="669"/>
      <c r="D9" s="671"/>
    </row>
    <row r="10" spans="1:27" ht="21" customHeight="1">
      <c r="A10" s="672" t="s">
        <v>2013</v>
      </c>
      <c r="B10" s="673" t="s">
        <v>2014</v>
      </c>
      <c r="C10" s="664">
        <v>2103442488</v>
      </c>
      <c r="D10" s="665" t="s">
        <v>2015</v>
      </c>
    </row>
    <row r="11" spans="1:27" ht="21" customHeight="1">
      <c r="A11" s="674" t="s">
        <v>2016</v>
      </c>
      <c r="B11" s="668" t="s">
        <v>2017</v>
      </c>
      <c r="C11" s="664">
        <v>2103442371</v>
      </c>
      <c r="D11" s="665" t="s">
        <v>2018</v>
      </c>
    </row>
    <row r="12" spans="1:27" ht="15.75">
      <c r="B12" s="668" t="s">
        <v>2019</v>
      </c>
      <c r="C12" s="664">
        <v>2103442372</v>
      </c>
      <c r="D12" s="675" t="s">
        <v>2020</v>
      </c>
    </row>
    <row r="13" spans="1:27" s="678" customFormat="1" ht="26.25" customHeight="1">
      <c r="A13" s="662" t="s">
        <v>2021</v>
      </c>
      <c r="B13" s="662" t="s">
        <v>2022</v>
      </c>
      <c r="C13" s="676" t="s">
        <v>258</v>
      </c>
      <c r="D13" s="662" t="s">
        <v>428</v>
      </c>
      <c r="E13" s="677"/>
      <c r="F13" s="677"/>
      <c r="G13" s="677"/>
      <c r="H13" s="677"/>
      <c r="I13" s="677"/>
      <c r="J13" s="677"/>
      <c r="K13" s="677"/>
      <c r="L13" s="677"/>
      <c r="M13" s="677"/>
      <c r="N13" s="677"/>
      <c r="O13" s="677"/>
      <c r="P13" s="677"/>
      <c r="Q13" s="677"/>
      <c r="R13" s="677"/>
      <c r="S13" s="677"/>
      <c r="T13" s="677"/>
      <c r="U13" s="677"/>
      <c r="V13" s="677"/>
      <c r="W13" s="677"/>
      <c r="X13" s="677"/>
      <c r="Y13" s="677"/>
      <c r="Z13" s="677"/>
      <c r="AA13" s="677"/>
    </row>
    <row r="14" spans="1:27" ht="19.5" customHeight="1">
      <c r="A14" s="679" t="s">
        <v>2023</v>
      </c>
      <c r="B14" s="680"/>
      <c r="C14" s="681"/>
      <c r="D14" s="682"/>
    </row>
    <row r="15" spans="1:27" ht="63">
      <c r="A15" s="683" t="s">
        <v>2024</v>
      </c>
      <c r="B15" s="663" t="s">
        <v>2025</v>
      </c>
      <c r="C15" s="664">
        <v>2103443425</v>
      </c>
      <c r="D15" s="684" t="s">
        <v>2026</v>
      </c>
    </row>
    <row r="16" spans="1:27" ht="19.5" customHeight="1">
      <c r="A16" s="685" t="s">
        <v>2027</v>
      </c>
      <c r="B16" s="668"/>
      <c r="C16" s="664"/>
      <c r="D16" s="686"/>
    </row>
    <row r="17" spans="1:27" ht="15.75">
      <c r="A17" s="687" t="s">
        <v>2028</v>
      </c>
      <c r="B17" s="668"/>
      <c r="C17" s="664"/>
      <c r="D17" s="688"/>
    </row>
    <row r="18" spans="1:27" ht="47.25">
      <c r="A18" s="683" t="s">
        <v>2029</v>
      </c>
      <c r="B18" s="663" t="s">
        <v>2025</v>
      </c>
      <c r="C18" s="664">
        <v>2103443425</v>
      </c>
      <c r="D18" s="686" t="s">
        <v>2030</v>
      </c>
    </row>
    <row r="19" spans="1:27" ht="15.75">
      <c r="A19" s="1320"/>
      <c r="B19" s="668" t="s">
        <v>2031</v>
      </c>
      <c r="C19" s="664">
        <v>2103442774</v>
      </c>
      <c r="D19" s="665" t="s">
        <v>2032</v>
      </c>
    </row>
    <row r="20" spans="1:27" ht="30">
      <c r="A20" s="1321"/>
      <c r="B20" s="668" t="s">
        <v>2033</v>
      </c>
      <c r="C20" s="664">
        <v>2103443461</v>
      </c>
      <c r="D20" s="665" t="s">
        <v>2034</v>
      </c>
    </row>
    <row r="21" spans="1:27" ht="21.75" customHeight="1">
      <c r="A21" s="1321"/>
      <c r="B21" s="668" t="s">
        <v>2035</v>
      </c>
      <c r="C21" s="664">
        <v>2103443461</v>
      </c>
      <c r="D21" s="686" t="s">
        <v>2036</v>
      </c>
    </row>
    <row r="22" spans="1:27" ht="22.5" customHeight="1" thickBot="1">
      <c r="A22" s="1321"/>
      <c r="B22" s="668" t="s">
        <v>2037</v>
      </c>
      <c r="C22" s="664">
        <v>2103443450</v>
      </c>
      <c r="D22" s="686" t="s">
        <v>2038</v>
      </c>
    </row>
    <row r="23" spans="1:27" ht="22.5" customHeight="1" thickTop="1" thickBot="1">
      <c r="A23" s="1324"/>
      <c r="B23" s="668" t="s">
        <v>2039</v>
      </c>
      <c r="C23" s="664">
        <v>2103443450</v>
      </c>
      <c r="D23" s="686" t="s">
        <v>2040</v>
      </c>
    </row>
    <row r="24" spans="1:27" s="690" customFormat="1" ht="30.75" thickTop="1">
      <c r="A24" s="1322"/>
      <c r="B24" s="668" t="s">
        <v>2041</v>
      </c>
      <c r="C24" s="664">
        <v>2103443399</v>
      </c>
      <c r="D24" s="665" t="s">
        <v>2042</v>
      </c>
      <c r="E24" s="689"/>
      <c r="F24" s="689"/>
      <c r="G24" s="689"/>
      <c r="H24" s="689"/>
      <c r="I24" s="689"/>
      <c r="J24" s="689"/>
      <c r="K24" s="689"/>
      <c r="L24" s="689"/>
      <c r="M24" s="689"/>
      <c r="N24" s="689"/>
      <c r="O24" s="689"/>
      <c r="P24" s="689"/>
      <c r="Q24" s="689"/>
      <c r="R24" s="689"/>
      <c r="S24" s="689"/>
      <c r="T24" s="689"/>
      <c r="U24" s="689"/>
      <c r="V24" s="689"/>
      <c r="W24" s="689"/>
      <c r="X24" s="689"/>
      <c r="Y24" s="689"/>
      <c r="Z24" s="689"/>
      <c r="AA24" s="689"/>
    </row>
    <row r="25" spans="1:27" ht="20.25" customHeight="1">
      <c r="A25" s="687" t="s">
        <v>2043</v>
      </c>
      <c r="B25" s="668"/>
      <c r="C25" s="664"/>
      <c r="D25" s="688"/>
    </row>
    <row r="26" spans="1:27" ht="31.5">
      <c r="A26" s="683" t="s">
        <v>2044</v>
      </c>
      <c r="B26" s="663" t="s">
        <v>2045</v>
      </c>
      <c r="C26" s="664">
        <v>2103442926</v>
      </c>
      <c r="D26" s="686" t="s">
        <v>2046</v>
      </c>
    </row>
    <row r="27" spans="1:27" ht="30">
      <c r="A27" s="1312"/>
      <c r="B27" s="668" t="s">
        <v>2047</v>
      </c>
      <c r="C27" s="664">
        <v>2103442323</v>
      </c>
      <c r="D27" s="665" t="s">
        <v>2048</v>
      </c>
    </row>
    <row r="28" spans="1:27" ht="30">
      <c r="A28" s="1314"/>
      <c r="B28" s="668" t="s">
        <v>2049</v>
      </c>
      <c r="C28" s="664">
        <v>2103442803</v>
      </c>
      <c r="D28" s="665" t="s">
        <v>2050</v>
      </c>
    </row>
    <row r="29" spans="1:27" ht="30">
      <c r="A29" s="1314"/>
      <c r="B29" s="668" t="s">
        <v>2051</v>
      </c>
      <c r="C29" s="664">
        <v>2103442323</v>
      </c>
      <c r="D29" s="665" t="s">
        <v>2052</v>
      </c>
    </row>
    <row r="30" spans="1:27" ht="21" customHeight="1">
      <c r="A30" s="687" t="s">
        <v>2053</v>
      </c>
      <c r="B30" s="668"/>
      <c r="C30" s="664"/>
      <c r="D30" s="688"/>
    </row>
    <row r="31" spans="1:27" ht="31.5">
      <c r="A31" s="683" t="s">
        <v>2029</v>
      </c>
      <c r="B31" s="663" t="s">
        <v>2054</v>
      </c>
      <c r="C31" s="664">
        <v>2103442202</v>
      </c>
      <c r="D31" s="686" t="s">
        <v>2055</v>
      </c>
    </row>
    <row r="32" spans="1:27" ht="15.75">
      <c r="A32" s="1312"/>
      <c r="B32" s="668" t="s">
        <v>2056</v>
      </c>
      <c r="C32" s="664">
        <v>2103443862</v>
      </c>
      <c r="D32" s="665" t="s">
        <v>2057</v>
      </c>
    </row>
    <row r="33" spans="1:4" ht="15.75">
      <c r="A33" s="1313"/>
      <c r="B33" s="668" t="s">
        <v>2058</v>
      </c>
      <c r="C33" s="664">
        <v>2103442848</v>
      </c>
      <c r="D33" s="665" t="s">
        <v>2059</v>
      </c>
    </row>
    <row r="34" spans="1:4" ht="15.75">
      <c r="A34" s="1315"/>
      <c r="B34" s="668" t="s">
        <v>2060</v>
      </c>
      <c r="C34" s="664">
        <v>2103442008</v>
      </c>
      <c r="D34" s="691" t="s">
        <v>2061</v>
      </c>
    </row>
    <row r="35" spans="1:4" ht="21.75" customHeight="1">
      <c r="A35" s="679" t="s">
        <v>2062</v>
      </c>
      <c r="B35" s="692"/>
      <c r="C35" s="692"/>
      <c r="D35" s="693"/>
    </row>
    <row r="36" spans="1:4" ht="31.5" customHeight="1">
      <c r="A36" s="683" t="s">
        <v>2063</v>
      </c>
      <c r="B36" s="663" t="s">
        <v>2064</v>
      </c>
      <c r="C36" s="669">
        <v>2103442515</v>
      </c>
      <c r="D36" s="665" t="s">
        <v>2065</v>
      </c>
    </row>
    <row r="37" spans="1:4" ht="43.5" customHeight="1">
      <c r="A37" s="685" t="s">
        <v>2016</v>
      </c>
      <c r="B37" s="668" t="s">
        <v>2066</v>
      </c>
      <c r="C37" s="669">
        <v>2103442962</v>
      </c>
      <c r="D37" s="665" t="s">
        <v>2067</v>
      </c>
    </row>
    <row r="38" spans="1:4" ht="18.75" customHeight="1">
      <c r="A38" s="687" t="s">
        <v>2068</v>
      </c>
      <c r="B38" s="668"/>
      <c r="C38" s="669"/>
      <c r="D38" s="688"/>
    </row>
    <row r="39" spans="1:4" ht="31.5">
      <c r="A39" s="683" t="s">
        <v>2044</v>
      </c>
      <c r="B39" s="663" t="s">
        <v>2069</v>
      </c>
      <c r="C39" s="669">
        <v>2103442031</v>
      </c>
      <c r="D39" s="686" t="s">
        <v>2070</v>
      </c>
    </row>
    <row r="40" spans="1:4" ht="15.75">
      <c r="A40" s="1309"/>
      <c r="B40" s="668" t="s">
        <v>2071</v>
      </c>
      <c r="C40" s="669">
        <v>2103442024</v>
      </c>
      <c r="D40" s="686" t="s">
        <v>2072</v>
      </c>
    </row>
    <row r="41" spans="1:4" ht="15.75">
      <c r="A41" s="1310"/>
      <c r="B41" s="668" t="s">
        <v>2073</v>
      </c>
      <c r="C41" s="669">
        <v>2103442084</v>
      </c>
      <c r="D41" s="686" t="s">
        <v>2074</v>
      </c>
    </row>
    <row r="42" spans="1:4" ht="15.75">
      <c r="A42" s="1310"/>
      <c r="B42" s="668" t="s">
        <v>2075</v>
      </c>
      <c r="C42" s="669">
        <v>2103442430</v>
      </c>
      <c r="D42" s="686" t="s">
        <v>2076</v>
      </c>
    </row>
    <row r="43" spans="1:4" ht="15.75">
      <c r="A43" s="1311"/>
      <c r="B43" s="668" t="s">
        <v>2077</v>
      </c>
      <c r="C43" s="669">
        <v>2103442275</v>
      </c>
      <c r="D43" s="686" t="s">
        <v>2078</v>
      </c>
    </row>
    <row r="44" spans="1:4" ht="15.75">
      <c r="A44" s="687" t="s">
        <v>2079</v>
      </c>
      <c r="B44" s="668"/>
      <c r="C44" s="669"/>
      <c r="D44" s="686"/>
    </row>
    <row r="45" spans="1:4" ht="31.5">
      <c r="A45" s="683" t="s">
        <v>2080</v>
      </c>
      <c r="B45" s="663" t="s">
        <v>2081</v>
      </c>
      <c r="C45" s="669">
        <v>2103442478</v>
      </c>
      <c r="D45" s="686" t="s">
        <v>2082</v>
      </c>
    </row>
    <row r="46" spans="1:4" ht="15.75">
      <c r="A46" s="694"/>
      <c r="B46" s="668" t="s">
        <v>2083</v>
      </c>
      <c r="C46" s="669">
        <v>2103442275</v>
      </c>
      <c r="D46" s="665" t="s">
        <v>2084</v>
      </c>
    </row>
    <row r="47" spans="1:4" ht="15.75">
      <c r="A47" s="694"/>
      <c r="B47" s="668" t="s">
        <v>2085</v>
      </c>
      <c r="C47" s="669">
        <v>2103442275</v>
      </c>
      <c r="D47" s="691" t="s">
        <v>2086</v>
      </c>
    </row>
    <row r="48" spans="1:4" ht="15.75">
      <c r="A48" s="694"/>
      <c r="B48" s="668" t="s">
        <v>2087</v>
      </c>
      <c r="C48" s="669">
        <v>2103442478</v>
      </c>
      <c r="D48" s="665" t="s">
        <v>2088</v>
      </c>
    </row>
    <row r="49" spans="1:27" ht="20.25" customHeight="1">
      <c r="A49" s="687" t="s">
        <v>2089</v>
      </c>
      <c r="B49" s="693"/>
      <c r="C49" s="695"/>
      <c r="D49" s="693"/>
    </row>
    <row r="50" spans="1:27" ht="34.5" customHeight="1">
      <c r="A50" s="683" t="s">
        <v>2029</v>
      </c>
      <c r="B50" s="663" t="s">
        <v>2064</v>
      </c>
      <c r="C50" s="669">
        <v>2103442871</v>
      </c>
      <c r="D50" s="686" t="s">
        <v>2090</v>
      </c>
    </row>
    <row r="51" spans="1:27" ht="34.5" customHeight="1">
      <c r="A51" s="1320"/>
      <c r="B51" s="668" t="s">
        <v>2091</v>
      </c>
      <c r="C51" s="669">
        <v>2103442176</v>
      </c>
      <c r="D51" s="686" t="s">
        <v>2092</v>
      </c>
    </row>
    <row r="52" spans="1:27" ht="34.5" customHeight="1">
      <c r="A52" s="1321"/>
      <c r="B52" s="668" t="s">
        <v>2093</v>
      </c>
      <c r="C52" s="669">
        <v>2103442084</v>
      </c>
      <c r="D52" s="665" t="s">
        <v>2094</v>
      </c>
    </row>
    <row r="53" spans="1:27" ht="30">
      <c r="A53" s="1321"/>
      <c r="B53" s="668" t="s">
        <v>2095</v>
      </c>
      <c r="C53" s="669">
        <v>2103442176</v>
      </c>
      <c r="D53" s="665" t="s">
        <v>2096</v>
      </c>
    </row>
    <row r="54" spans="1:27" ht="30">
      <c r="A54" s="1321"/>
      <c r="B54" s="668" t="s">
        <v>2097</v>
      </c>
      <c r="C54" s="669">
        <v>2103442176</v>
      </c>
      <c r="D54" s="665" t="s">
        <v>2098</v>
      </c>
    </row>
    <row r="55" spans="1:27" ht="15.75">
      <c r="A55" s="1321"/>
      <c r="B55" s="668" t="s">
        <v>2099</v>
      </c>
      <c r="C55" s="669">
        <v>2103442515</v>
      </c>
      <c r="D55" s="665" t="s">
        <v>2100</v>
      </c>
    </row>
    <row r="56" spans="1:27" ht="31.5">
      <c r="A56" s="1321"/>
      <c r="B56" s="696" t="s">
        <v>2101</v>
      </c>
      <c r="C56" s="669">
        <v>2103442274</v>
      </c>
      <c r="D56" s="665" t="s">
        <v>2102</v>
      </c>
    </row>
    <row r="57" spans="1:27" ht="24.75" customHeight="1">
      <c r="A57" s="1321"/>
      <c r="B57" s="668" t="s">
        <v>2103</v>
      </c>
      <c r="C57" s="669">
        <v>2103442004</v>
      </c>
      <c r="D57" s="686" t="s">
        <v>2104</v>
      </c>
    </row>
    <row r="58" spans="1:27" ht="15.75">
      <c r="A58" s="1322"/>
      <c r="B58" s="668" t="s">
        <v>2105</v>
      </c>
      <c r="C58" s="669">
        <v>2103442571</v>
      </c>
      <c r="D58" s="665" t="s">
        <v>2106</v>
      </c>
    </row>
    <row r="59" spans="1:27" ht="18" customHeight="1">
      <c r="A59" s="697" t="s">
        <v>2107</v>
      </c>
      <c r="B59" s="668"/>
      <c r="C59" s="664"/>
      <c r="D59" s="698"/>
    </row>
    <row r="60" spans="1:27" ht="31.5">
      <c r="A60" s="683" t="s">
        <v>2108</v>
      </c>
      <c r="B60" s="663"/>
      <c r="C60" s="664"/>
      <c r="D60" s="686" t="s">
        <v>2109</v>
      </c>
    </row>
    <row r="61" spans="1:27" ht="15.75">
      <c r="A61" s="699" t="s">
        <v>2027</v>
      </c>
      <c r="B61" s="668" t="s">
        <v>2110</v>
      </c>
      <c r="C61" s="664">
        <v>2103442372</v>
      </c>
      <c r="D61" s="665" t="s">
        <v>2111</v>
      </c>
    </row>
    <row r="62" spans="1:27" s="690" customFormat="1" ht="17.25" customHeight="1">
      <c r="A62" s="687" t="s">
        <v>2112</v>
      </c>
      <c r="B62" s="668"/>
      <c r="C62" s="664"/>
      <c r="D62" s="698"/>
      <c r="E62" s="689"/>
      <c r="F62" s="689"/>
      <c r="G62" s="689"/>
      <c r="H62" s="689"/>
      <c r="I62" s="689"/>
      <c r="J62" s="689"/>
      <c r="K62" s="689"/>
      <c r="L62" s="689"/>
      <c r="M62" s="689"/>
      <c r="N62" s="689"/>
      <c r="O62" s="689"/>
      <c r="P62" s="689"/>
      <c r="Q62" s="689"/>
      <c r="R62" s="689"/>
      <c r="S62" s="689"/>
      <c r="T62" s="689"/>
      <c r="U62" s="689"/>
      <c r="V62" s="689"/>
      <c r="W62" s="689"/>
      <c r="X62" s="689"/>
      <c r="Y62" s="689"/>
      <c r="Z62" s="689"/>
      <c r="AA62" s="689"/>
    </row>
    <row r="63" spans="1:27" s="690" customFormat="1" ht="31.5">
      <c r="A63" s="683" t="s">
        <v>2044</v>
      </c>
      <c r="B63" s="663" t="s">
        <v>2113</v>
      </c>
      <c r="C63" s="664">
        <v>2103442459</v>
      </c>
      <c r="D63" s="686" t="s">
        <v>2114</v>
      </c>
      <c r="E63" s="689"/>
      <c r="F63" s="689"/>
      <c r="G63" s="689"/>
      <c r="H63" s="689"/>
      <c r="I63" s="689"/>
      <c r="J63" s="689"/>
      <c r="K63" s="689"/>
      <c r="L63" s="689"/>
      <c r="M63" s="689"/>
      <c r="N63" s="689"/>
      <c r="O63" s="689"/>
      <c r="P63" s="689"/>
      <c r="Q63" s="689"/>
      <c r="R63" s="689"/>
      <c r="S63" s="689"/>
      <c r="T63" s="689"/>
      <c r="U63" s="689"/>
      <c r="V63" s="689"/>
      <c r="W63" s="689"/>
      <c r="X63" s="689"/>
      <c r="Y63" s="689"/>
      <c r="Z63" s="689"/>
      <c r="AA63" s="689"/>
    </row>
    <row r="64" spans="1:27" s="690" customFormat="1" ht="31.5">
      <c r="A64" s="700"/>
      <c r="B64" s="696" t="s">
        <v>2115</v>
      </c>
      <c r="C64" s="664">
        <v>2103442407</v>
      </c>
      <c r="D64" s="686" t="s">
        <v>2116</v>
      </c>
      <c r="E64" s="689"/>
      <c r="F64" s="689"/>
      <c r="G64" s="689"/>
      <c r="H64" s="689"/>
      <c r="I64" s="689"/>
      <c r="J64" s="689"/>
      <c r="K64" s="689"/>
      <c r="L64" s="689"/>
      <c r="M64" s="689"/>
      <c r="N64" s="689"/>
      <c r="O64" s="689"/>
      <c r="P64" s="689"/>
      <c r="Q64" s="689"/>
      <c r="R64" s="689"/>
      <c r="S64" s="689"/>
      <c r="T64" s="689"/>
      <c r="U64" s="689"/>
      <c r="V64" s="689"/>
      <c r="W64" s="689"/>
      <c r="X64" s="689"/>
      <c r="Y64" s="689"/>
      <c r="Z64" s="689"/>
      <c r="AA64" s="689"/>
    </row>
    <row r="65" spans="1:27" s="690" customFormat="1" ht="30">
      <c r="A65" s="1309"/>
      <c r="B65" s="668" t="s">
        <v>2117</v>
      </c>
      <c r="C65" s="664">
        <v>2103442041</v>
      </c>
      <c r="D65" s="665" t="s">
        <v>2118</v>
      </c>
      <c r="E65" s="689"/>
      <c r="F65" s="689"/>
      <c r="G65" s="689"/>
      <c r="H65" s="689"/>
      <c r="I65" s="689"/>
      <c r="J65" s="689"/>
      <c r="K65" s="689"/>
      <c r="L65" s="689"/>
      <c r="M65" s="689"/>
      <c r="N65" s="689"/>
      <c r="O65" s="689"/>
      <c r="P65" s="689"/>
      <c r="Q65" s="689"/>
      <c r="R65" s="689"/>
      <c r="S65" s="689"/>
      <c r="T65" s="689"/>
      <c r="U65" s="689"/>
      <c r="V65" s="689"/>
      <c r="W65" s="689"/>
      <c r="X65" s="689"/>
      <c r="Y65" s="689"/>
      <c r="Z65" s="689"/>
      <c r="AA65" s="689"/>
    </row>
    <row r="66" spans="1:27" s="690" customFormat="1" ht="30">
      <c r="A66" s="1310"/>
      <c r="B66" s="668" t="s">
        <v>2119</v>
      </c>
      <c r="C66" s="664">
        <v>2103442394</v>
      </c>
      <c r="D66" s="665" t="s">
        <v>2120</v>
      </c>
      <c r="E66" s="689"/>
      <c r="F66" s="689"/>
      <c r="G66" s="689"/>
      <c r="H66" s="689"/>
      <c r="I66" s="689"/>
      <c r="J66" s="689"/>
      <c r="K66" s="689"/>
      <c r="L66" s="689"/>
      <c r="M66" s="689"/>
      <c r="N66" s="689"/>
      <c r="O66" s="689"/>
      <c r="P66" s="689"/>
      <c r="Q66" s="689"/>
      <c r="R66" s="689"/>
      <c r="S66" s="689"/>
      <c r="T66" s="689"/>
      <c r="U66" s="689"/>
      <c r="V66" s="689"/>
      <c r="W66" s="689"/>
      <c r="X66" s="689"/>
      <c r="Y66" s="689"/>
      <c r="Z66" s="689"/>
      <c r="AA66" s="689"/>
    </row>
    <row r="67" spans="1:27" s="690" customFormat="1" ht="15.75">
      <c r="A67" s="1311"/>
      <c r="B67" s="668" t="s">
        <v>2121</v>
      </c>
      <c r="C67" s="664">
        <v>2103442455</v>
      </c>
      <c r="D67" s="665" t="s">
        <v>2122</v>
      </c>
      <c r="E67" s="689"/>
      <c r="F67" s="689"/>
      <c r="G67" s="689"/>
      <c r="H67" s="689"/>
      <c r="I67" s="689"/>
      <c r="J67" s="689"/>
      <c r="K67" s="689"/>
      <c r="L67" s="689"/>
      <c r="M67" s="689"/>
      <c r="N67" s="689"/>
      <c r="O67" s="689"/>
      <c r="P67" s="689"/>
      <c r="Q67" s="689"/>
      <c r="R67" s="689"/>
      <c r="S67" s="689"/>
      <c r="T67" s="689"/>
      <c r="U67" s="689"/>
      <c r="V67" s="689"/>
      <c r="W67" s="689"/>
      <c r="X67" s="689"/>
      <c r="Y67" s="689"/>
      <c r="Z67" s="689"/>
      <c r="AA67" s="689"/>
    </row>
    <row r="68" spans="1:27" ht="15.75">
      <c r="A68" s="687" t="s">
        <v>2123</v>
      </c>
      <c r="B68" s="668"/>
      <c r="C68" s="664"/>
      <c r="D68" s="701"/>
    </row>
    <row r="69" spans="1:27" ht="31.5">
      <c r="A69" s="683" t="s">
        <v>2124</v>
      </c>
      <c r="B69" s="663" t="s">
        <v>2125</v>
      </c>
      <c r="C69" s="664">
        <v>2103342458</v>
      </c>
      <c r="D69" s="686" t="s">
        <v>2126</v>
      </c>
    </row>
    <row r="70" spans="1:27" ht="15.75">
      <c r="A70" s="1312"/>
      <c r="B70" s="668" t="s">
        <v>2127</v>
      </c>
      <c r="C70" s="664">
        <v>2103442512</v>
      </c>
      <c r="D70" s="702" t="s">
        <v>2128</v>
      </c>
    </row>
    <row r="71" spans="1:27" ht="18" customHeight="1">
      <c r="A71" s="1314"/>
      <c r="B71" s="668" t="s">
        <v>2129</v>
      </c>
      <c r="C71" s="664">
        <v>2103443838</v>
      </c>
      <c r="D71" s="686" t="s">
        <v>2130</v>
      </c>
    </row>
    <row r="72" spans="1:27" ht="17.25" customHeight="1">
      <c r="A72" s="1314"/>
      <c r="B72" s="668" t="s">
        <v>2131</v>
      </c>
      <c r="C72" s="703">
        <v>2103442411</v>
      </c>
      <c r="D72" s="686" t="s">
        <v>2132</v>
      </c>
    </row>
    <row r="73" spans="1:27" ht="17.25" customHeight="1">
      <c r="A73" s="1314"/>
      <c r="B73" s="668" t="s">
        <v>2133</v>
      </c>
      <c r="C73" s="703">
        <v>2103442411</v>
      </c>
      <c r="D73" s="665" t="s">
        <v>2134</v>
      </c>
    </row>
    <row r="74" spans="1:27" ht="17.25" customHeight="1">
      <c r="A74" s="1314"/>
      <c r="B74" s="668" t="s">
        <v>2135</v>
      </c>
      <c r="C74" s="664">
        <v>2103443412</v>
      </c>
      <c r="D74" s="686" t="s">
        <v>2136</v>
      </c>
    </row>
    <row r="75" spans="1:27" ht="18" customHeight="1">
      <c r="A75" s="1314"/>
      <c r="B75" s="668" t="s">
        <v>2137</v>
      </c>
      <c r="C75" s="664">
        <v>2103442380</v>
      </c>
      <c r="D75" s="686" t="s">
        <v>2138</v>
      </c>
    </row>
    <row r="76" spans="1:27" ht="18" customHeight="1">
      <c r="A76" s="687" t="s">
        <v>2139</v>
      </c>
      <c r="B76" s="668"/>
      <c r="C76" s="664"/>
      <c r="D76" s="688"/>
    </row>
    <row r="77" spans="1:27" ht="31.5">
      <c r="A77" s="683" t="s">
        <v>2029</v>
      </c>
      <c r="B77" s="663" t="s">
        <v>2140</v>
      </c>
      <c r="C77" s="664">
        <v>2103442094</v>
      </c>
      <c r="D77" s="686" t="s">
        <v>2141</v>
      </c>
    </row>
    <row r="78" spans="1:27" ht="30">
      <c r="A78" s="1312"/>
      <c r="B78" s="668" t="s">
        <v>2142</v>
      </c>
      <c r="C78" s="664">
        <v>2103442092</v>
      </c>
      <c r="D78" s="665" t="s">
        <v>2143</v>
      </c>
    </row>
    <row r="79" spans="1:27" ht="28.5" customHeight="1">
      <c r="A79" s="1314"/>
      <c r="B79" s="668" t="s">
        <v>2144</v>
      </c>
      <c r="C79" s="664">
        <v>2103442035</v>
      </c>
      <c r="D79" s="665" t="s">
        <v>2145</v>
      </c>
    </row>
    <row r="80" spans="1:27" ht="26.25" customHeight="1">
      <c r="A80" s="1314"/>
      <c r="B80" s="668" t="s">
        <v>2146</v>
      </c>
      <c r="C80" s="664">
        <v>2103442015</v>
      </c>
      <c r="D80" s="665" t="s">
        <v>2147</v>
      </c>
    </row>
    <row r="81" spans="1:4" ht="27" customHeight="1">
      <c r="A81" s="1314"/>
      <c r="B81" s="668" t="s">
        <v>2148</v>
      </c>
      <c r="C81" s="664">
        <v>2103442015</v>
      </c>
      <c r="D81" s="665" t="s">
        <v>2149</v>
      </c>
    </row>
    <row r="82" spans="1:4" ht="19.5" customHeight="1">
      <c r="A82" s="697" t="s">
        <v>2150</v>
      </c>
      <c r="B82" s="668"/>
      <c r="C82" s="664"/>
      <c r="D82" s="665"/>
    </row>
    <row r="83" spans="1:4" ht="21.75" customHeight="1">
      <c r="A83" s="683" t="s">
        <v>2108</v>
      </c>
      <c r="B83" s="663" t="s">
        <v>2151</v>
      </c>
      <c r="C83" s="664">
        <v>2103442014</v>
      </c>
      <c r="D83" s="702" t="s">
        <v>2152</v>
      </c>
    </row>
    <row r="84" spans="1:4" ht="27" customHeight="1">
      <c r="A84" s="704" t="s">
        <v>2016</v>
      </c>
      <c r="B84" s="668" t="s">
        <v>2153</v>
      </c>
      <c r="C84" s="664">
        <v>2103442030</v>
      </c>
      <c r="D84" s="702" t="s">
        <v>2154</v>
      </c>
    </row>
    <row r="85" spans="1:4" ht="18" customHeight="1">
      <c r="A85" s="697" t="s">
        <v>2155</v>
      </c>
      <c r="B85" s="668"/>
      <c r="C85" s="664"/>
      <c r="D85" s="702"/>
    </row>
    <row r="86" spans="1:4" ht="31.5">
      <c r="A86" s="683" t="s">
        <v>2124</v>
      </c>
      <c r="B86" s="663" t="s">
        <v>2156</v>
      </c>
      <c r="C86" s="664">
        <v>2103442050</v>
      </c>
      <c r="D86" s="686" t="s">
        <v>2157</v>
      </c>
    </row>
    <row r="87" spans="1:4">
      <c r="A87" s="1319"/>
      <c r="B87" s="1317" t="s">
        <v>2158</v>
      </c>
      <c r="C87" s="1317">
        <v>2103442216</v>
      </c>
      <c r="D87" s="1307" t="s">
        <v>2159</v>
      </c>
    </row>
    <row r="88" spans="1:4">
      <c r="A88" s="1311"/>
      <c r="B88" s="1318"/>
      <c r="C88" s="1318"/>
      <c r="D88" s="1308"/>
    </row>
    <row r="89" spans="1:4" ht="15.75">
      <c r="A89" s="697" t="s">
        <v>2160</v>
      </c>
      <c r="B89" s="668"/>
      <c r="C89" s="664"/>
      <c r="D89" s="665"/>
    </row>
    <row r="90" spans="1:4" ht="31.5">
      <c r="A90" s="683" t="s">
        <v>2029</v>
      </c>
      <c r="B90" s="663" t="s">
        <v>2161</v>
      </c>
      <c r="C90" s="669" t="s">
        <v>2162</v>
      </c>
      <c r="D90" s="705" t="s">
        <v>2163</v>
      </c>
    </row>
    <row r="91" spans="1:4" ht="31.5">
      <c r="A91" s="1309"/>
      <c r="B91" s="668" t="s">
        <v>2164</v>
      </c>
      <c r="C91" s="669" t="s">
        <v>2165</v>
      </c>
      <c r="D91" s="705" t="s">
        <v>2166</v>
      </c>
    </row>
    <row r="92" spans="1:4" ht="30">
      <c r="A92" s="1310"/>
      <c r="B92" s="668" t="s">
        <v>2167</v>
      </c>
      <c r="C92" s="669">
        <v>2103442812</v>
      </c>
      <c r="D92" s="706" t="s">
        <v>2168</v>
      </c>
    </row>
    <row r="93" spans="1:4" ht="30">
      <c r="A93" s="1310"/>
      <c r="B93" s="668" t="s">
        <v>2169</v>
      </c>
      <c r="C93" s="669">
        <v>2103442375</v>
      </c>
      <c r="D93" s="707" t="s">
        <v>2170</v>
      </c>
    </row>
    <row r="94" spans="1:4" ht="15.75">
      <c r="A94" s="1310"/>
      <c r="B94" s="668" t="s">
        <v>2171</v>
      </c>
      <c r="C94" s="669">
        <v>2103442797</v>
      </c>
      <c r="D94" s="671" t="s">
        <v>2172</v>
      </c>
    </row>
    <row r="95" spans="1:4" ht="30">
      <c r="A95" s="1310"/>
      <c r="B95" s="668" t="s">
        <v>2173</v>
      </c>
      <c r="C95" s="664">
        <v>21034423136</v>
      </c>
      <c r="D95" s="706" t="s">
        <v>2174</v>
      </c>
    </row>
    <row r="96" spans="1:4" ht="15.75">
      <c r="A96" s="1310"/>
      <c r="B96" s="668" t="s">
        <v>2175</v>
      </c>
      <c r="C96" s="669">
        <v>2103442901</v>
      </c>
      <c r="D96" s="671" t="s">
        <v>2176</v>
      </c>
    </row>
    <row r="97" spans="1:5" ht="15.75">
      <c r="A97" s="1310"/>
      <c r="B97" s="668" t="s">
        <v>2177</v>
      </c>
      <c r="C97" s="669">
        <v>2103443352</v>
      </c>
      <c r="D97" s="671" t="s">
        <v>2178</v>
      </c>
    </row>
    <row r="98" spans="1:5" ht="15.75">
      <c r="A98" s="1311"/>
      <c r="B98" s="668" t="s">
        <v>2179</v>
      </c>
      <c r="C98" s="664">
        <v>2103442317</v>
      </c>
      <c r="D98" s="705" t="s">
        <v>2180</v>
      </c>
    </row>
    <row r="99" spans="1:5" ht="15.75">
      <c r="A99" s="697" t="s">
        <v>2181</v>
      </c>
      <c r="B99" s="668"/>
      <c r="C99" s="669"/>
      <c r="D99" s="671"/>
    </row>
    <row r="100" spans="1:5" ht="48.75" customHeight="1">
      <c r="A100" s="683" t="s">
        <v>2029</v>
      </c>
      <c r="B100" s="663" t="s">
        <v>2182</v>
      </c>
      <c r="C100" s="664">
        <v>2103442291</v>
      </c>
      <c r="D100" s="665" t="s">
        <v>2183</v>
      </c>
    </row>
    <row r="101" spans="1:5" ht="20.25" customHeight="1">
      <c r="A101" s="1312"/>
      <c r="B101" s="708" t="s">
        <v>2184</v>
      </c>
      <c r="C101" s="664">
        <v>2103442498</v>
      </c>
      <c r="D101" s="665" t="s">
        <v>2185</v>
      </c>
    </row>
    <row r="102" spans="1:5" ht="22.5" customHeight="1">
      <c r="A102" s="1313"/>
      <c r="B102" s="668" t="s">
        <v>2186</v>
      </c>
      <c r="C102" s="664">
        <v>2103442147</v>
      </c>
      <c r="D102" s="665" t="s">
        <v>2187</v>
      </c>
    </row>
    <row r="103" spans="1:5" ht="21" customHeight="1">
      <c r="A103" s="1313"/>
      <c r="B103" s="988" t="s">
        <v>2188</v>
      </c>
      <c r="C103" s="989">
        <v>2103442418</v>
      </c>
      <c r="D103" s="990" t="s">
        <v>2189</v>
      </c>
      <c r="E103" s="666" t="s">
        <v>3618</v>
      </c>
    </row>
    <row r="104" spans="1:5" ht="24.75" customHeight="1">
      <c r="A104" s="1313"/>
      <c r="B104" s="708" t="s">
        <v>2190</v>
      </c>
      <c r="C104" s="664">
        <v>2103442229</v>
      </c>
      <c r="D104" s="665" t="s">
        <v>2191</v>
      </c>
    </row>
    <row r="105" spans="1:5" ht="24" customHeight="1">
      <c r="A105" s="1313"/>
      <c r="B105" s="668" t="s">
        <v>2192</v>
      </c>
      <c r="C105" s="664">
        <v>2103442295</v>
      </c>
      <c r="D105" s="665" t="s">
        <v>2193</v>
      </c>
    </row>
    <row r="106" spans="1:5" ht="19.5" customHeight="1">
      <c r="A106" s="1313"/>
      <c r="B106" s="708" t="s">
        <v>2194</v>
      </c>
      <c r="C106" s="664">
        <v>2103442324</v>
      </c>
      <c r="D106" s="665" t="s">
        <v>2195</v>
      </c>
      <c r="E106" s="666">
        <v>2103442018</v>
      </c>
    </row>
    <row r="107" spans="1:5" ht="23.25" customHeight="1">
      <c r="A107" s="1313"/>
      <c r="B107" s="668" t="s">
        <v>2196</v>
      </c>
      <c r="C107" s="664">
        <v>2103442473</v>
      </c>
      <c r="D107" s="705" t="s">
        <v>2197</v>
      </c>
    </row>
    <row r="108" spans="1:5" ht="23.25" customHeight="1">
      <c r="A108" s="687" t="s">
        <v>2198</v>
      </c>
      <c r="B108" s="709"/>
      <c r="C108" s="664"/>
      <c r="D108" s="705"/>
    </row>
    <row r="109" spans="1:5" ht="35.25" customHeight="1">
      <c r="A109" s="683" t="s">
        <v>2199</v>
      </c>
      <c r="B109" s="668" t="s">
        <v>2200</v>
      </c>
      <c r="C109" s="664">
        <v>2103442325</v>
      </c>
      <c r="D109" s="705" t="s">
        <v>2201</v>
      </c>
    </row>
    <row r="110" spans="1:5" ht="19.5" customHeight="1">
      <c r="A110" s="687" t="s">
        <v>2202</v>
      </c>
      <c r="B110" s="668"/>
      <c r="C110" s="664"/>
      <c r="D110" s="688"/>
    </row>
    <row r="111" spans="1:5" ht="31.5">
      <c r="A111" s="683" t="s">
        <v>2203</v>
      </c>
      <c r="B111" s="663" t="s">
        <v>2204</v>
      </c>
      <c r="C111" s="664">
        <v>2103442022</v>
      </c>
      <c r="D111" s="686" t="s">
        <v>2205</v>
      </c>
    </row>
    <row r="112" spans="1:5" ht="15.75">
      <c r="A112" s="1312"/>
      <c r="B112" s="668" t="s">
        <v>2206</v>
      </c>
      <c r="C112" s="664">
        <v>2103442576</v>
      </c>
      <c r="D112" s="702" t="s">
        <v>2207</v>
      </c>
    </row>
    <row r="113" spans="1:4" ht="15.75">
      <c r="A113" s="1314"/>
      <c r="B113" s="668" t="s">
        <v>2208</v>
      </c>
      <c r="C113" s="664">
        <v>2103442069</v>
      </c>
      <c r="D113" s="691" t="s">
        <v>2209</v>
      </c>
    </row>
    <row r="114" spans="1:4" ht="21.75" customHeight="1">
      <c r="A114" s="1315"/>
      <c r="B114" s="668" t="s">
        <v>2210</v>
      </c>
      <c r="C114" s="664">
        <v>2103442170</v>
      </c>
      <c r="D114" s="665" t="s">
        <v>2211</v>
      </c>
    </row>
    <row r="115" spans="1:4" ht="18.75" customHeight="1">
      <c r="A115" s="687" t="s">
        <v>2212</v>
      </c>
      <c r="B115" s="668"/>
      <c r="C115" s="664"/>
      <c r="D115" s="702"/>
    </row>
    <row r="116" spans="1:4" ht="15.75">
      <c r="A116" s="683" t="s">
        <v>2029</v>
      </c>
      <c r="B116" s="663" t="s">
        <v>2213</v>
      </c>
      <c r="C116" s="664">
        <v>2103442525</v>
      </c>
      <c r="D116" s="691" t="s">
        <v>2214</v>
      </c>
    </row>
    <row r="117" spans="1:4" ht="15.75">
      <c r="A117" s="670"/>
      <c r="B117" s="668" t="s">
        <v>2215</v>
      </c>
      <c r="C117" s="664">
        <v>2103442325</v>
      </c>
      <c r="D117" s="691" t="s">
        <v>2216</v>
      </c>
    </row>
    <row r="118" spans="1:4" ht="21" customHeight="1">
      <c r="A118" s="687" t="s">
        <v>2217</v>
      </c>
      <c r="B118" s="708"/>
      <c r="C118" s="664"/>
      <c r="D118" s="665"/>
    </row>
    <row r="119" spans="1:4" ht="31.5">
      <c r="A119" s="683" t="s">
        <v>2218</v>
      </c>
      <c r="B119" s="663" t="s">
        <v>2200</v>
      </c>
      <c r="C119" s="664">
        <v>2103442586</v>
      </c>
      <c r="D119" s="686" t="s">
        <v>2201</v>
      </c>
    </row>
    <row r="120" spans="1:4" ht="18.75" customHeight="1">
      <c r="A120" s="1314"/>
      <c r="B120" s="668" t="s">
        <v>2219</v>
      </c>
      <c r="C120" s="664">
        <v>2103442587</v>
      </c>
      <c r="D120" s="686" t="s">
        <v>2220</v>
      </c>
    </row>
    <row r="121" spans="1:4" ht="20.25" customHeight="1">
      <c r="A121" s="1316"/>
      <c r="B121" s="668" t="s">
        <v>2221</v>
      </c>
      <c r="C121" s="664">
        <v>2103442315</v>
      </c>
      <c r="D121" s="665" t="s">
        <v>2222</v>
      </c>
    </row>
    <row r="122" spans="1:4" ht="18" customHeight="1">
      <c r="A122" s="687" t="s">
        <v>2223</v>
      </c>
      <c r="B122" s="668"/>
      <c r="C122" s="664"/>
      <c r="D122" s="688"/>
    </row>
    <row r="123" spans="1:4" ht="31.5">
      <c r="A123" s="710"/>
      <c r="B123" s="708" t="s">
        <v>2224</v>
      </c>
      <c r="C123" s="711">
        <v>2310257130</v>
      </c>
      <c r="D123" s="686" t="s">
        <v>2225</v>
      </c>
    </row>
  </sheetData>
  <autoFilter ref="A13:D123" xr:uid="{E7F81E8C-8AC3-4F2F-96ED-2D2C9F08C2C5}"/>
  <mergeCells count="17">
    <mergeCell ref="A51:A58"/>
    <mergeCell ref="A3:A9"/>
    <mergeCell ref="A19:A24"/>
    <mergeCell ref="A27:A29"/>
    <mergeCell ref="A32:A34"/>
    <mergeCell ref="A40:A43"/>
    <mergeCell ref="A65:A67"/>
    <mergeCell ref="A70:A75"/>
    <mergeCell ref="A78:A81"/>
    <mergeCell ref="A87:A88"/>
    <mergeCell ref="B87:B88"/>
    <mergeCell ref="D87:D88"/>
    <mergeCell ref="A91:A98"/>
    <mergeCell ref="A101:A107"/>
    <mergeCell ref="A112:A114"/>
    <mergeCell ref="A120:A121"/>
    <mergeCell ref="C87:C88"/>
  </mergeCells>
  <hyperlinks>
    <hyperlink ref="D1" r:id="rId1" display="okafetzopoulou@minedu.gov.gr_x000a_" xr:uid="{D7D5A183-0697-4581-A6C5-31696D2D9612}"/>
    <hyperlink ref="D20" r:id="rId2" xr:uid="{2A1A9CC7-3F17-4EC8-8A3B-B6EA2D5FD951}"/>
    <hyperlink ref="D29" r:id="rId3" xr:uid="{CC8773F6-DAB5-4304-AC16-941207ECB61E}"/>
    <hyperlink ref="D31" r:id="rId4" display="mailto:epanta@minedu.gov.gr" xr:uid="{A2097EE1-86E9-440A-87B1-A475B216B0DC}"/>
    <hyperlink ref="D60" r:id="rId5" display="mailto:msygrou@minedu.gov.gr" xr:uid="{64AA3928-DB89-4977-A84D-B7B886FFBDF6}"/>
    <hyperlink ref="D70" r:id="rId6" display="mailto:mvakondiou@minedu.gov.gr" xr:uid="{2CB0EEC2-9D2F-4F63-A76F-DE3D27C55491}"/>
    <hyperlink ref="D71" r:id="rId7" xr:uid="{AC436C79-3744-467A-B468-A465998A9309}"/>
    <hyperlink ref="D74" r:id="rId8" xr:uid="{635C591F-2867-47A6-9105-37B3EEF32C64}"/>
    <hyperlink ref="D75" r:id="rId9" xr:uid="{9AE43020-C4E1-498E-AAEE-5CABE6B363B3}"/>
    <hyperlink ref="D63" r:id="rId10" xr:uid="{CCCCC141-885F-4BA5-996B-99A74E6FFA77}"/>
    <hyperlink ref="D65" r:id="rId11" xr:uid="{E32CA14C-E207-4B3E-8427-4399BF553A6E}"/>
    <hyperlink ref="D66" r:id="rId12" xr:uid="{E1CB2986-6AE1-4823-A1F7-862727BB80CC}"/>
    <hyperlink ref="D78" r:id="rId13" xr:uid="{33044E37-5924-448E-A02E-5852BE527310}"/>
    <hyperlink ref="D81" r:id="rId14" xr:uid="{2B5DE81E-9F4D-47B4-B973-54F8C5EEC0EF}"/>
    <hyperlink ref="D83" r:id="rId15" display="mailto:vpapakonstantinou@minedu.gov.gr" xr:uid="{5A3B0ADC-1698-4121-9A45-1A6B111A481F}"/>
    <hyperlink ref="D100" r:id="rId16" display="eagalopoulou@minedu.gov.gr _x000a_" xr:uid="{0F6D745C-44C5-413D-8F4F-5A08B06F41AA}"/>
    <hyperlink ref="D102" r:id="rId17" xr:uid="{82FF150B-1A5E-44E5-AECF-7A737879201E}"/>
    <hyperlink ref="D103" r:id="rId18" xr:uid="{596CE3FE-B15D-4DDF-ACFB-7A53596FFCAE}"/>
    <hyperlink ref="D105" r:id="rId19" xr:uid="{E39862C1-F141-4A81-80EC-A03DACC96EF8}"/>
    <hyperlink ref="D111" r:id="rId20" display="mailto:apantazi@minedu.gov.gr" xr:uid="{0FDF28F7-914E-4045-95A6-9A6F83EF5C6D}"/>
    <hyperlink ref="D116" r:id="rId21" xr:uid="{8DD2E96A-4713-44D6-92A0-6CD3C09AE227}"/>
    <hyperlink ref="D119" r:id="rId22" display="mailto:nsotiropoulou@minedu.gov.gr" xr:uid="{4CF02B5A-ADDA-433A-9522-197C5B487E2B}"/>
    <hyperlink ref="D121" r:id="rId23" xr:uid="{E9E2B5AE-0B1B-4BE8-838F-11C45079A8EB}"/>
    <hyperlink ref="D84" r:id="rId24" display="mailto:ampaksevani@minedu.gov.gr" xr:uid="{2C9056A0-6443-4306-90CD-66A389C2F74D}"/>
    <hyperlink ref="D72" r:id="rId25" xr:uid="{1BAB995A-BB3C-4898-ACB0-C5565F34FB77}"/>
    <hyperlink ref="D77" r:id="rId26" xr:uid="{51E71D4A-3BF6-4F90-8152-46EA0BDA34B1}"/>
    <hyperlink ref="D37" r:id="rId27" xr:uid="{20097659-EC8E-43A2-A6AE-8728B0DBCECE}"/>
    <hyperlink ref="D39" r:id="rId28" display="vkaravitis@minedu.gov.gr" xr:uid="{A935B28F-5E6B-4DAB-8132-C930F9BBDE07}"/>
    <hyperlink ref="D40" r:id="rId29" xr:uid="{BBCA1C32-B3CA-4104-9CF8-9455A81E6A59}"/>
    <hyperlink ref="D42" r:id="rId30" xr:uid="{2AA8AFBC-FCF1-4C01-955B-97E481E6BFCC}"/>
    <hyperlink ref="D41" r:id="rId31" xr:uid="{982C230C-5DF9-4207-BE6B-7BE39B362139}"/>
    <hyperlink ref="D53" r:id="rId32" xr:uid="{541B068C-868B-4E52-A50A-6A15CD74DD56}"/>
    <hyperlink ref="D54" r:id="rId33" xr:uid="{5FC1C0B9-CB0C-4682-B371-B3CE45333681}"/>
    <hyperlink ref="D50" r:id="rId34" display="eadam@minedu.gov.gr" xr:uid="{A1BCE548-3A6F-4476-8E2F-11AFA298864B}"/>
    <hyperlink ref="D57" r:id="rId35" xr:uid="{AFA468FB-0004-4B46-AF75-EEED4B4AF3D4}"/>
    <hyperlink ref="D91" r:id="rId36" display="evardaki@minedu.gov.gr" xr:uid="{9EEF0208-C457-49C0-9DD6-5E95AF38FC62}"/>
    <hyperlink ref="D46" r:id="rId37" xr:uid="{1E6B2D5C-B43B-4D1A-BDEE-244E0AA825C6}"/>
    <hyperlink ref="D32" r:id="rId38" xr:uid="{5BB3C437-F38E-477A-98D9-7C529D9CA484}"/>
    <hyperlink ref="D34" r:id="rId39" xr:uid="{9EE5CBB5-396A-4D33-A98A-C59E5911D402}"/>
    <hyperlink ref="D101" r:id="rId40" xr:uid="{DF5E68B8-682B-4754-8911-47559FA55B87}"/>
    <hyperlink ref="D114" r:id="rId41" xr:uid="{127DA445-4F7C-4DF0-BF74-420E8080FB81}"/>
    <hyperlink ref="D104" r:id="rId42" xr:uid="{A5E95E95-1358-4BC9-9DEF-A8E251459851}"/>
    <hyperlink ref="D106" r:id="rId43" xr:uid="{2FCF5686-8981-46C1-9CC0-F8A49DBD29C1}"/>
    <hyperlink ref="D87" r:id="rId44" xr:uid="{00683FDB-9031-4CBC-B359-C49E145A36FC}"/>
    <hyperlink ref="D58" r:id="rId45" xr:uid="{D0C69F2E-000A-4387-BCDF-61904B4EA0F1}"/>
    <hyperlink ref="D33" r:id="rId46" xr:uid="{1C11DB91-9A1C-44CB-BF6E-A7DC5596B087}"/>
    <hyperlink ref="D47" r:id="rId47" xr:uid="{E1AEE1E9-0D48-45F8-9A0E-EBB4BF9B7193}"/>
    <hyperlink ref="D48" r:id="rId48" xr:uid="{09E6D7A2-CE4C-4A3B-A2F1-46AA51A4D158}"/>
    <hyperlink ref="D18" r:id="rId49" display="dchalkia@minedu.gov.gr " xr:uid="{F2CC9268-7AD6-4518-9B39-EF2EA081A600}"/>
    <hyperlink ref="D24" r:id="rId50" xr:uid="{95ADF9FD-38E6-425A-8D0B-EEDC16B6CF05}"/>
    <hyperlink ref="D27" r:id="rId51" xr:uid="{9FDCD744-277B-4829-AE70-5E8B95763170}"/>
    <hyperlink ref="D28" r:id="rId52" xr:uid="{AFF25630-CF98-4946-B3B6-8B6FB4F330A5}"/>
    <hyperlink ref="D92" r:id="rId53" xr:uid="{078E5D4F-AFC2-4E3E-915D-AF9FB5922120}"/>
    <hyperlink ref="D79" r:id="rId54" xr:uid="{8AC139B8-6543-4D8E-B1EE-53957234438A}"/>
    <hyperlink ref="D95" r:id="rId55" xr:uid="{1DBD102B-E8C7-4229-86AD-F7D4897653DC}"/>
    <hyperlink ref="D93" r:id="rId56" xr:uid="{600E80D8-8808-4003-8EFA-C1ACD939E3A2}"/>
    <hyperlink ref="D96" r:id="rId57" xr:uid="{7734473B-27CF-4AC6-AFE1-4543B2EF7CF3}"/>
    <hyperlink ref="D52" r:id="rId58" xr:uid="{5D22FDD9-3C35-4633-A5CA-54519BEA62AA}"/>
    <hyperlink ref="D15" r:id="rId59" display="dchalkia@minedu.gov.gr " xr:uid="{AE2FF650-8C5D-4ED6-B0DA-6BBB3C4C61D7}"/>
    <hyperlink ref="D11" r:id="rId60" xr:uid="{9DDEA198-B956-476F-BE34-C132B3DD7B8A}"/>
    <hyperlink ref="D4" r:id="rId61" xr:uid="{FE8E2B30-294D-4BCF-ACA6-34A334EAAEA2}"/>
    <hyperlink ref="D5" r:id="rId62" display="vmpoltsi@minedu.gov.gr;" xr:uid="{96CE3F50-9C19-47B8-82C7-2CC3C63AF24C}"/>
    <hyperlink ref="D6" r:id="rId63" xr:uid="{40CAA14A-7B87-47C1-8B4B-5EC70A619303}"/>
    <hyperlink ref="D7" r:id="rId64" xr:uid="{0134C3F3-10CC-4B5D-A080-706C36DA3635}"/>
    <hyperlink ref="D8" r:id="rId65" xr:uid="{42BAFF4D-27E8-4E86-BA13-1DBCFCE1E584}"/>
    <hyperlink ref="D36" r:id="rId66" xr:uid="{7886CD76-3EB6-4822-A15C-CFF6C2A2E689}"/>
    <hyperlink ref="D67" r:id="rId67" xr:uid="{A0FD5B42-BF6C-4D2E-A8EF-88CDB4688BEB}"/>
    <hyperlink ref="D3" r:id="rId68" xr:uid="{BD450B20-1CAC-483C-9CC1-E52B9F6EFE7D}"/>
    <hyperlink ref="D113" r:id="rId69" xr:uid="{3DF4E19C-6674-481D-ACB8-3CAF1FEDD7E5}"/>
    <hyperlink ref="D117" r:id="rId70" xr:uid="{89A4655A-3794-40E8-9636-8F9123A1B13C}"/>
    <hyperlink ref="D61" r:id="rId71" xr:uid="{EACC63DB-196D-4DDE-994B-ADE34E3DD958}"/>
    <hyperlink ref="D12" r:id="rId72" xr:uid="{128F709B-F126-49F4-95D7-24994305B32E}"/>
  </hyperlinks>
  <pageMargins left="0.7" right="0.7" top="0.75" bottom="0.75" header="0.3" footer="0.3"/>
  <pageSetup paperSize="9" orientation="landscape" r:id="rId73"/>
  <legacyDrawing r:id="rId7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A366-493D-4BE4-8A51-61547B7D036B}">
  <sheetPr>
    <tabColor rgb="FFFFFFCC"/>
  </sheetPr>
  <dimension ref="A1:BA31"/>
  <sheetViews>
    <sheetView zoomScaleNormal="100" workbookViewId="0">
      <selection activeCell="A16" sqref="A16:C16"/>
    </sheetView>
  </sheetViews>
  <sheetFormatPr defaultRowHeight="15"/>
  <cols>
    <col min="1" max="1" width="39.28515625" bestFit="1" customWidth="1"/>
    <col min="2" max="2" width="21.7109375" bestFit="1" customWidth="1"/>
    <col min="3" max="3" width="52.42578125" bestFit="1" customWidth="1"/>
    <col min="4" max="4" width="34.28515625" bestFit="1" customWidth="1"/>
    <col min="5" max="5" width="21.85546875" customWidth="1"/>
    <col min="6" max="6" width="14.5703125" customWidth="1"/>
    <col min="7" max="7" width="18.42578125" customWidth="1"/>
    <col min="8" max="8" width="19.5703125" customWidth="1"/>
    <col min="9" max="9" width="15.28515625" customWidth="1"/>
    <col min="10" max="10" width="20.7109375" customWidth="1"/>
    <col min="18" max="18" width="27.7109375" customWidth="1"/>
    <col min="19" max="19" width="13.85546875" bestFit="1" customWidth="1"/>
    <col min="20" max="20" width="14.42578125" customWidth="1"/>
    <col min="21" max="21" width="62.5703125" customWidth="1"/>
    <col min="48" max="48" width="20.28515625" bestFit="1" customWidth="1"/>
    <col min="49" max="49" width="13.42578125" bestFit="1" customWidth="1"/>
    <col min="50" max="50" width="11.42578125" customWidth="1"/>
    <col min="51" max="51" width="13.7109375" customWidth="1"/>
    <col min="52" max="52" width="11.85546875" customWidth="1"/>
    <col min="53" max="53" width="13" customWidth="1"/>
  </cols>
  <sheetData>
    <row r="1" spans="1:53">
      <c r="A1" s="1161" t="s">
        <v>3617</v>
      </c>
      <c r="B1" s="1161"/>
      <c r="C1" s="1161"/>
      <c r="D1" s="1161"/>
      <c r="E1" s="1161"/>
      <c r="F1" s="1161"/>
      <c r="G1" s="1161"/>
      <c r="H1" s="1161"/>
      <c r="I1" s="1161"/>
      <c r="J1" s="1161"/>
    </row>
    <row r="2" spans="1:53" ht="15.75" thickBot="1">
      <c r="A2" s="489" t="s">
        <v>424</v>
      </c>
      <c r="B2" s="484" t="s">
        <v>1504</v>
      </c>
      <c r="C2" s="484" t="s">
        <v>2226</v>
      </c>
      <c r="D2" s="484" t="s">
        <v>2227</v>
      </c>
      <c r="E2" s="484" t="s">
        <v>2228</v>
      </c>
      <c r="F2" s="484" t="s">
        <v>2229</v>
      </c>
      <c r="G2" s="484" t="s">
        <v>2230</v>
      </c>
      <c r="H2" s="484" t="s">
        <v>2231</v>
      </c>
      <c r="I2" s="484" t="s">
        <v>2232</v>
      </c>
      <c r="J2" s="484" t="s">
        <v>2233</v>
      </c>
    </row>
    <row r="3" spans="1:53" ht="60">
      <c r="A3" s="489">
        <v>1</v>
      </c>
      <c r="B3" s="484" t="s">
        <v>2234</v>
      </c>
      <c r="C3" s="484" t="s">
        <v>2235</v>
      </c>
      <c r="D3" s="484" t="s">
        <v>2236</v>
      </c>
      <c r="E3" s="484" t="s">
        <v>2237</v>
      </c>
      <c r="F3" s="484" t="s">
        <v>2238</v>
      </c>
      <c r="G3" s="484" t="s">
        <v>2239</v>
      </c>
      <c r="H3" s="490">
        <v>8016</v>
      </c>
      <c r="I3" s="491">
        <v>0.35</v>
      </c>
      <c r="J3" s="484" t="s">
        <v>2240</v>
      </c>
      <c r="R3" s="784" t="s">
        <v>2241</v>
      </c>
      <c r="S3" s="98" t="s">
        <v>2242</v>
      </c>
      <c r="T3" s="98" t="s">
        <v>2243</v>
      </c>
      <c r="U3" s="99" t="s">
        <v>2244</v>
      </c>
      <c r="AV3" s="181" t="s">
        <v>436</v>
      </c>
      <c r="AW3" s="181" t="s">
        <v>437</v>
      </c>
      <c r="AX3" s="473" t="s">
        <v>2245</v>
      </c>
      <c r="AY3" s="473" t="s">
        <v>442</v>
      </c>
      <c r="AZ3" s="473" t="s">
        <v>443</v>
      </c>
      <c r="BA3" s="473" t="s">
        <v>444</v>
      </c>
    </row>
    <row r="4" spans="1:53" ht="45">
      <c r="A4" s="489">
        <v>2</v>
      </c>
      <c r="B4" s="484" t="s">
        <v>2234</v>
      </c>
      <c r="C4" s="484" t="s">
        <v>2246</v>
      </c>
      <c r="D4" s="484" t="s">
        <v>2247</v>
      </c>
      <c r="E4" s="484" t="s">
        <v>2248</v>
      </c>
      <c r="F4" s="484" t="s">
        <v>2249</v>
      </c>
      <c r="G4" s="484" t="s">
        <v>2250</v>
      </c>
      <c r="H4" s="490">
        <v>1330</v>
      </c>
      <c r="I4" s="491">
        <v>0.3</v>
      </c>
      <c r="J4" s="484" t="s">
        <v>2251</v>
      </c>
      <c r="R4" s="785" t="s">
        <v>2252</v>
      </c>
      <c r="S4" s="783">
        <v>0.70833333333333337</v>
      </c>
      <c r="T4" s="783">
        <v>0.88541666666666663</v>
      </c>
      <c r="U4" s="786"/>
      <c r="AV4" s="48" t="s">
        <v>452</v>
      </c>
      <c r="AW4" s="48" t="s">
        <v>453</v>
      </c>
      <c r="AX4" s="48" t="s">
        <v>457</v>
      </c>
      <c r="AY4" s="790">
        <v>30</v>
      </c>
      <c r="AZ4" s="790">
        <v>40</v>
      </c>
      <c r="BA4" s="790">
        <v>36</v>
      </c>
    </row>
    <row r="5" spans="1:53" ht="75">
      <c r="A5" s="489">
        <v>3</v>
      </c>
      <c r="B5" s="484" t="s">
        <v>2253</v>
      </c>
      <c r="C5" s="484" t="s">
        <v>2254</v>
      </c>
      <c r="D5" s="484" t="s">
        <v>2255</v>
      </c>
      <c r="E5" s="484" t="s">
        <v>2256</v>
      </c>
      <c r="F5" s="484" t="s">
        <v>2257</v>
      </c>
      <c r="G5" s="484" t="s">
        <v>2258</v>
      </c>
      <c r="H5" s="490">
        <v>1163.4000000000001</v>
      </c>
      <c r="I5" s="484" t="s">
        <v>2259</v>
      </c>
      <c r="J5" s="484" t="s">
        <v>2260</v>
      </c>
      <c r="R5" s="785" t="s">
        <v>2261</v>
      </c>
      <c r="S5" s="783">
        <v>0.70833333333333337</v>
      </c>
      <c r="T5" s="783">
        <v>0.88541666666666663</v>
      </c>
      <c r="U5" s="786"/>
      <c r="AV5" s="48" t="s">
        <v>466</v>
      </c>
      <c r="AW5" s="48" t="s">
        <v>467</v>
      </c>
      <c r="AX5" s="48" t="s">
        <v>457</v>
      </c>
      <c r="AY5" s="790">
        <v>25</v>
      </c>
      <c r="AZ5" s="790">
        <v>40</v>
      </c>
      <c r="BA5" s="790">
        <v>35</v>
      </c>
    </row>
    <row r="6" spans="1:53" ht="60">
      <c r="A6" s="489">
        <v>4</v>
      </c>
      <c r="B6" s="484" t="s">
        <v>2253</v>
      </c>
      <c r="C6" s="484" t="s">
        <v>2262</v>
      </c>
      <c r="D6" s="484" t="s">
        <v>2263</v>
      </c>
      <c r="E6" s="484" t="s">
        <v>2264</v>
      </c>
      <c r="F6" s="484" t="s">
        <v>2265</v>
      </c>
      <c r="G6" s="484" t="s">
        <v>2259</v>
      </c>
      <c r="H6" s="484">
        <v>735</v>
      </c>
      <c r="I6" s="484" t="s">
        <v>2259</v>
      </c>
      <c r="J6" s="484" t="s">
        <v>2266</v>
      </c>
      <c r="R6" s="785" t="s">
        <v>2267</v>
      </c>
      <c r="S6" s="783">
        <v>0.70833333333333337</v>
      </c>
      <c r="T6" s="783">
        <v>0.88541666666666663</v>
      </c>
      <c r="U6" s="786"/>
      <c r="AV6" s="48" t="s">
        <v>496</v>
      </c>
      <c r="AW6" s="48" t="s">
        <v>497</v>
      </c>
      <c r="AX6" s="48" t="s">
        <v>457</v>
      </c>
      <c r="AY6" s="791">
        <v>9</v>
      </c>
      <c r="AZ6" s="791" t="s">
        <v>500</v>
      </c>
      <c r="BA6" s="791" t="s">
        <v>451</v>
      </c>
    </row>
    <row r="7" spans="1:53" ht="22.5" customHeight="1">
      <c r="R7" s="785" t="s">
        <v>2268</v>
      </c>
      <c r="S7" s="783">
        <v>0.70833333333333337</v>
      </c>
      <c r="T7" s="783">
        <v>0.88541666666666663</v>
      </c>
      <c r="U7" s="786"/>
      <c r="AV7" s="48" t="s">
        <v>539</v>
      </c>
      <c r="AW7" s="48" t="s">
        <v>540</v>
      </c>
      <c r="AX7" s="48" t="s">
        <v>457</v>
      </c>
      <c r="AY7" s="790">
        <v>12</v>
      </c>
      <c r="AZ7" s="790" t="s">
        <v>542</v>
      </c>
      <c r="BA7" s="790" t="s">
        <v>500</v>
      </c>
    </row>
    <row r="8" spans="1:53" ht="18.75" customHeight="1">
      <c r="R8" s="785" t="s">
        <v>2269</v>
      </c>
      <c r="S8" s="783">
        <v>0.70833333333333337</v>
      </c>
      <c r="T8" s="783">
        <v>0.88541666666666663</v>
      </c>
      <c r="U8" s="786"/>
      <c r="AV8" s="48" t="s">
        <v>547</v>
      </c>
      <c r="AW8" s="48" t="s">
        <v>548</v>
      </c>
      <c r="AX8" s="48" t="s">
        <v>457</v>
      </c>
      <c r="AY8" s="790">
        <v>12</v>
      </c>
      <c r="AZ8" s="790" t="s">
        <v>550</v>
      </c>
      <c r="BA8" s="790" t="s">
        <v>550</v>
      </c>
    </row>
    <row r="9" spans="1:53" ht="18.75" customHeight="1">
      <c r="A9" s="489" t="s">
        <v>424</v>
      </c>
      <c r="B9" s="484" t="s">
        <v>1504</v>
      </c>
      <c r="C9" s="484" t="s">
        <v>2226</v>
      </c>
      <c r="D9" s="484" t="s">
        <v>2227</v>
      </c>
      <c r="E9" s="484" t="s">
        <v>2228</v>
      </c>
      <c r="F9" s="484" t="s">
        <v>2229</v>
      </c>
      <c r="G9" s="484" t="s">
        <v>2230</v>
      </c>
      <c r="H9" s="484" t="s">
        <v>2231</v>
      </c>
      <c r="I9" s="484" t="s">
        <v>2233</v>
      </c>
      <c r="J9" s="484"/>
      <c r="R9" s="785" t="s">
        <v>2270</v>
      </c>
      <c r="S9" s="783">
        <v>0.70833333333333337</v>
      </c>
      <c r="T9" s="783">
        <v>0.88541666666666663</v>
      </c>
      <c r="U9" s="786"/>
      <c r="AV9" s="48" t="s">
        <v>557</v>
      </c>
      <c r="AW9" s="48" t="s">
        <v>558</v>
      </c>
      <c r="AX9" s="48" t="s">
        <v>457</v>
      </c>
      <c r="AY9" s="790">
        <v>10</v>
      </c>
      <c r="AZ9" s="790" t="s">
        <v>561</v>
      </c>
      <c r="BA9" s="790" t="s">
        <v>561</v>
      </c>
    </row>
    <row r="10" spans="1:53" ht="60.75" thickBot="1">
      <c r="A10" s="489">
        <v>1</v>
      </c>
      <c r="B10" s="484" t="s">
        <v>2234</v>
      </c>
      <c r="C10" s="484" t="s">
        <v>2235</v>
      </c>
      <c r="D10" s="484" t="s">
        <v>2236</v>
      </c>
      <c r="E10" s="484" t="s">
        <v>2237</v>
      </c>
      <c r="F10" s="484" t="s">
        <v>2238</v>
      </c>
      <c r="G10" s="484" t="s">
        <v>2239</v>
      </c>
      <c r="H10" s="490">
        <v>8016</v>
      </c>
      <c r="I10" s="484" t="s">
        <v>2271</v>
      </c>
      <c r="J10" s="484"/>
      <c r="R10" s="787" t="s">
        <v>2272</v>
      </c>
      <c r="S10" s="788">
        <v>0.70833333333333337</v>
      </c>
      <c r="T10" s="788">
        <v>0.88541666666666663</v>
      </c>
      <c r="U10" s="789"/>
      <c r="AV10" s="48" t="s">
        <v>568</v>
      </c>
      <c r="AW10" s="48" t="s">
        <v>569</v>
      </c>
      <c r="AX10" s="48" t="s">
        <v>457</v>
      </c>
      <c r="AY10" s="790">
        <v>21</v>
      </c>
      <c r="AZ10" s="790" t="s">
        <v>513</v>
      </c>
      <c r="BA10" s="790" t="s">
        <v>514</v>
      </c>
    </row>
    <row r="11" spans="1:53" ht="45">
      <c r="A11" s="489">
        <v>2</v>
      </c>
      <c r="B11" s="484" t="s">
        <v>2234</v>
      </c>
      <c r="C11" s="484" t="s">
        <v>2246</v>
      </c>
      <c r="D11" s="484" t="s">
        <v>2247</v>
      </c>
      <c r="E11" s="484" t="s">
        <v>2248</v>
      </c>
      <c r="F11" s="484" t="s">
        <v>2249</v>
      </c>
      <c r="G11" s="484" t="s">
        <v>2250</v>
      </c>
      <c r="H11" s="490">
        <v>1330</v>
      </c>
      <c r="I11" s="484" t="s">
        <v>2273</v>
      </c>
      <c r="J11" s="484"/>
      <c r="AV11" s="48" t="s">
        <v>575</v>
      </c>
      <c r="AW11" s="48" t="s">
        <v>576</v>
      </c>
      <c r="AX11" s="48" t="s">
        <v>457</v>
      </c>
      <c r="AY11" s="790">
        <v>20</v>
      </c>
      <c r="AZ11" s="790" t="s">
        <v>579</v>
      </c>
      <c r="BA11" s="790" t="s">
        <v>513</v>
      </c>
    </row>
    <row r="12" spans="1:53" ht="75">
      <c r="A12" s="489">
        <v>3</v>
      </c>
      <c r="B12" s="484" t="s">
        <v>2253</v>
      </c>
      <c r="C12" s="484" t="s">
        <v>2254</v>
      </c>
      <c r="D12" s="484" t="s">
        <v>2255</v>
      </c>
      <c r="E12" s="484" t="s">
        <v>2256</v>
      </c>
      <c r="F12" s="484" t="s">
        <v>2257</v>
      </c>
      <c r="G12" s="484" t="s">
        <v>2258</v>
      </c>
      <c r="H12" s="490">
        <v>1163.4000000000001</v>
      </c>
      <c r="I12" s="484" t="s">
        <v>2260</v>
      </c>
      <c r="J12" s="484"/>
      <c r="AV12" s="48" t="s">
        <v>584</v>
      </c>
      <c r="AW12" s="48" t="s">
        <v>544</v>
      </c>
      <c r="AX12" s="48" t="s">
        <v>457</v>
      </c>
      <c r="AY12" s="790">
        <v>21</v>
      </c>
      <c r="AZ12" s="790" t="s">
        <v>513</v>
      </c>
      <c r="BA12" s="790" t="s">
        <v>514</v>
      </c>
    </row>
    <row r="13" spans="1:53" ht="60">
      <c r="A13" s="489">
        <v>4</v>
      </c>
      <c r="B13" s="484" t="s">
        <v>2253</v>
      </c>
      <c r="C13" s="484" t="s">
        <v>2262</v>
      </c>
      <c r="D13" s="484" t="s">
        <v>2263</v>
      </c>
      <c r="E13" s="484" t="s">
        <v>2264</v>
      </c>
      <c r="F13" s="484" t="s">
        <v>2265</v>
      </c>
      <c r="G13" s="484" t="s">
        <v>2259</v>
      </c>
      <c r="H13" s="484">
        <v>735</v>
      </c>
      <c r="I13" s="484" t="s">
        <v>2274</v>
      </c>
      <c r="J13" s="484"/>
      <c r="AV13" s="48" t="s">
        <v>592</v>
      </c>
      <c r="AW13" s="48" t="s">
        <v>593</v>
      </c>
      <c r="AX13" s="48" t="s">
        <v>457</v>
      </c>
      <c r="AY13" s="790">
        <v>39</v>
      </c>
      <c r="AZ13" s="790" t="s">
        <v>596</v>
      </c>
      <c r="BA13" s="790" t="s">
        <v>597</v>
      </c>
    </row>
    <row r="14" spans="1:53">
      <c r="AV14" s="48" t="s">
        <v>603</v>
      </c>
      <c r="AW14" s="48" t="s">
        <v>604</v>
      </c>
      <c r="AX14" s="48" t="s">
        <v>457</v>
      </c>
      <c r="AY14" s="790">
        <v>8</v>
      </c>
      <c r="AZ14" s="790" t="s">
        <v>542</v>
      </c>
      <c r="BA14" s="790" t="s">
        <v>542</v>
      </c>
    </row>
    <row r="15" spans="1:53">
      <c r="AV15" s="48" t="s">
        <v>474</v>
      </c>
      <c r="AW15" s="48" t="s">
        <v>475</v>
      </c>
      <c r="AX15" s="48" t="s">
        <v>477</v>
      </c>
      <c r="AY15" s="790">
        <v>18</v>
      </c>
      <c r="AZ15" s="790">
        <v>24</v>
      </c>
      <c r="BA15" s="790">
        <v>18</v>
      </c>
    </row>
    <row r="16" spans="1:53" ht="15.75" thickBot="1">
      <c r="A16" s="1325" t="s">
        <v>3651</v>
      </c>
      <c r="B16" s="1325"/>
      <c r="C16" s="1325"/>
      <c r="AV16" s="48" t="s">
        <v>486</v>
      </c>
      <c r="AW16" s="48" t="s">
        <v>475</v>
      </c>
      <c r="AX16" s="48" t="s">
        <v>477</v>
      </c>
      <c r="AY16" s="790">
        <v>27</v>
      </c>
      <c r="AZ16" s="790">
        <v>36</v>
      </c>
      <c r="BA16" s="790">
        <v>33</v>
      </c>
    </row>
    <row r="17" spans="1:53" ht="21">
      <c r="A17" s="659" t="s">
        <v>781</v>
      </c>
      <c r="B17" s="1328" t="s">
        <v>217</v>
      </c>
      <c r="C17" s="1329"/>
      <c r="AV17" s="48" t="s">
        <v>492</v>
      </c>
      <c r="AW17" s="48" t="s">
        <v>493</v>
      </c>
      <c r="AX17" s="48" t="s">
        <v>477</v>
      </c>
      <c r="AY17" s="790">
        <v>15</v>
      </c>
      <c r="AZ17" s="790">
        <v>20</v>
      </c>
      <c r="BA17" s="790">
        <v>15</v>
      </c>
    </row>
    <row r="18" spans="1:53" ht="21">
      <c r="A18" s="660" t="s">
        <v>812</v>
      </c>
      <c r="B18" s="1330"/>
      <c r="C18" s="1331"/>
      <c r="AV18" s="48" t="s">
        <v>509</v>
      </c>
      <c r="AW18" s="48" t="s">
        <v>510</v>
      </c>
      <c r="AX18" s="48" t="s">
        <v>477</v>
      </c>
      <c r="AY18" s="791">
        <v>21</v>
      </c>
      <c r="AZ18" s="791" t="s">
        <v>513</v>
      </c>
      <c r="BA18" s="791" t="s">
        <v>513</v>
      </c>
    </row>
    <row r="19" spans="1:53" ht="20.25" customHeight="1">
      <c r="A19" s="660" t="s">
        <v>829</v>
      </c>
      <c r="B19" s="1330"/>
      <c r="C19" s="1331"/>
      <c r="AV19" s="48" t="s">
        <v>522</v>
      </c>
      <c r="AW19" s="48" t="s">
        <v>523</v>
      </c>
      <c r="AX19" s="48" t="s">
        <v>477</v>
      </c>
      <c r="AY19" s="791">
        <v>21</v>
      </c>
      <c r="AZ19" s="791" t="s">
        <v>513</v>
      </c>
      <c r="BA19" s="791" t="s">
        <v>514</v>
      </c>
    </row>
    <row r="20" spans="1:53" ht="21">
      <c r="A20" s="660" t="s">
        <v>807</v>
      </c>
      <c r="B20" s="1330"/>
      <c r="C20" s="1331"/>
      <c r="AV20" s="48" t="s">
        <v>529</v>
      </c>
      <c r="AW20" s="48" t="s">
        <v>530</v>
      </c>
      <c r="AX20" s="48" t="s">
        <v>477</v>
      </c>
      <c r="AY20" s="790">
        <v>14</v>
      </c>
      <c r="AZ20" s="790" t="s">
        <v>513</v>
      </c>
      <c r="BA20" s="790" t="s">
        <v>513</v>
      </c>
    </row>
    <row r="21" spans="1:53" ht="21">
      <c r="A21" s="660" t="s">
        <v>2275</v>
      </c>
      <c r="B21" s="1330"/>
      <c r="C21" s="1331"/>
      <c r="AV21" s="48" t="s">
        <v>611</v>
      </c>
      <c r="AW21" s="48" t="s">
        <v>612</v>
      </c>
      <c r="AX21" s="48" t="s">
        <v>477</v>
      </c>
      <c r="AY21" s="790">
        <v>10</v>
      </c>
      <c r="AZ21" s="790" t="s">
        <v>542</v>
      </c>
      <c r="BA21" s="790" t="s">
        <v>515</v>
      </c>
    </row>
    <row r="22" spans="1:53" ht="21">
      <c r="A22" s="660" t="s">
        <v>827</v>
      </c>
      <c r="B22" s="1330"/>
      <c r="C22" s="1331"/>
      <c r="AV22" s="48" t="s">
        <v>619</v>
      </c>
      <c r="AW22" s="48" t="s">
        <v>620</v>
      </c>
      <c r="AX22" s="48" t="s">
        <v>477</v>
      </c>
      <c r="AY22" s="790">
        <v>4</v>
      </c>
      <c r="AZ22" s="790" t="s">
        <v>580</v>
      </c>
      <c r="BA22" s="790" t="s">
        <v>580</v>
      </c>
    </row>
    <row r="23" spans="1:53" ht="21">
      <c r="A23" s="660" t="s">
        <v>810</v>
      </c>
      <c r="B23" s="1330"/>
      <c r="C23" s="1331"/>
    </row>
    <row r="24" spans="1:53" ht="21">
      <c r="A24" s="660" t="s">
        <v>840</v>
      </c>
      <c r="B24" s="1330"/>
      <c r="C24" s="1331"/>
    </row>
    <row r="25" spans="1:53" ht="21">
      <c r="A25" s="660" t="s">
        <v>844</v>
      </c>
      <c r="B25" s="1330"/>
      <c r="C25" s="1331"/>
    </row>
    <row r="26" spans="1:53" ht="21">
      <c r="A26" s="660" t="s">
        <v>2276</v>
      </c>
      <c r="B26" s="1330"/>
      <c r="C26" s="1331"/>
    </row>
    <row r="27" spans="1:53" ht="21">
      <c r="A27" s="660" t="s">
        <v>2277</v>
      </c>
      <c r="B27" s="1330"/>
      <c r="C27" s="1331"/>
    </row>
    <row r="28" spans="1:53" ht="21">
      <c r="A28" s="660" t="s">
        <v>801</v>
      </c>
      <c r="B28" s="1330"/>
      <c r="C28" s="1331"/>
    </row>
    <row r="29" spans="1:53" ht="21">
      <c r="A29" s="660" t="s">
        <v>794</v>
      </c>
      <c r="B29" s="1330"/>
      <c r="C29" s="1331"/>
    </row>
    <row r="30" spans="1:53" ht="21">
      <c r="A30" s="660" t="s">
        <v>826</v>
      </c>
      <c r="B30" s="1330"/>
      <c r="C30" s="1331"/>
    </row>
    <row r="31" spans="1:53" ht="21.75" thickBot="1">
      <c r="A31" s="661" t="s">
        <v>787</v>
      </c>
      <c r="B31" s="1326"/>
      <c r="C31" s="1327"/>
    </row>
  </sheetData>
  <mergeCells count="17">
    <mergeCell ref="B30:C30"/>
    <mergeCell ref="A1:J1"/>
    <mergeCell ref="A16:C16"/>
    <mergeCell ref="B31:C31"/>
    <mergeCell ref="B17:C17"/>
    <mergeCell ref="B18:C18"/>
    <mergeCell ref="B19:C19"/>
    <mergeCell ref="B20:C20"/>
    <mergeCell ref="B21:C21"/>
    <mergeCell ref="B22:C22"/>
    <mergeCell ref="B23:C23"/>
    <mergeCell ref="B24:C24"/>
    <mergeCell ref="B25:C25"/>
    <mergeCell ref="B26:C26"/>
    <mergeCell ref="B27:C27"/>
    <mergeCell ref="B28:C28"/>
    <mergeCell ref="B29:C29"/>
  </mergeCells>
  <pageMargins left="0.25" right="0.25" top="0.75" bottom="0.75" header="0.3" footer="0.3"/>
  <pageSetup paperSize="9"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B2B94-E4F9-41EB-B97D-D16F615BCA2B}">
  <sheetPr>
    <tabColor rgb="FFFFFF00"/>
  </sheetPr>
  <dimension ref="A1:NS425"/>
  <sheetViews>
    <sheetView zoomScale="85" zoomScaleNormal="85" workbookViewId="0">
      <selection activeCell="L31" sqref="L31"/>
    </sheetView>
  </sheetViews>
  <sheetFormatPr defaultRowHeight="15"/>
  <cols>
    <col min="2" max="2" width="17.28515625" bestFit="1" customWidth="1"/>
    <col min="3" max="3" width="20" bestFit="1" customWidth="1"/>
    <col min="4" max="4" width="40" customWidth="1"/>
    <col min="5" max="5" width="34.28515625" bestFit="1" customWidth="1"/>
    <col min="8" max="8" width="67.85546875" customWidth="1"/>
    <col min="9" max="9" width="20.28515625" bestFit="1" customWidth="1"/>
    <col min="11" max="11" width="10.85546875" bestFit="1" customWidth="1"/>
    <col min="12" max="12" width="19.85546875" style="186" bestFit="1" customWidth="1"/>
    <col min="13" max="13" width="23.85546875" style="3" customWidth="1"/>
    <col min="15" max="15" width="23.140625" style="136" customWidth="1"/>
    <col min="16" max="16" width="20.140625" bestFit="1" customWidth="1"/>
    <col min="18" max="18" width="20.28515625" bestFit="1" customWidth="1"/>
    <col min="19" max="19" width="15.140625" bestFit="1" customWidth="1"/>
    <col min="20" max="20" width="30.85546875" bestFit="1" customWidth="1"/>
    <col min="21" max="21" width="27.7109375" customWidth="1"/>
    <col min="22" max="22" width="44.28515625" customWidth="1"/>
    <col min="23" max="23" width="17" style="3" customWidth="1"/>
    <col min="24" max="24" width="20" style="136" customWidth="1"/>
    <col min="25" max="25" width="20.28515625" customWidth="1"/>
    <col min="26" max="26" width="20.7109375" customWidth="1"/>
    <col min="28" max="28" width="17.28515625" customWidth="1"/>
    <col min="29" max="29" width="13.85546875" customWidth="1"/>
    <col min="30" max="30" width="9" customWidth="1"/>
    <col min="31" max="31" width="9.42578125" style="136" customWidth="1"/>
    <col min="32" max="32" width="8.42578125" customWidth="1"/>
    <col min="33" max="33" width="9.7109375" customWidth="1"/>
    <col min="34" max="34" width="11.28515625" style="136" customWidth="1"/>
    <col min="35" max="35" width="24" style="136" customWidth="1"/>
    <col min="39" max="39" width="29.140625" style="272" customWidth="1"/>
    <col min="40" max="40" width="27.5703125" style="272" customWidth="1"/>
    <col min="41" max="41" width="13.7109375" customWidth="1"/>
    <col min="42" max="42" width="19.140625" customWidth="1"/>
    <col min="45" max="45" width="28.85546875" customWidth="1"/>
    <col min="46" max="46" width="26.7109375" customWidth="1"/>
    <col min="47" max="47" width="18" customWidth="1"/>
    <col min="48" max="48" width="20.5703125" customWidth="1"/>
    <col min="51" max="51" width="27.28515625" customWidth="1"/>
    <col min="52" max="52" width="18.28515625" customWidth="1"/>
    <col min="53" max="53" width="25.140625" customWidth="1"/>
    <col min="189" max="189" width="37.28515625" style="136" customWidth="1"/>
    <col min="190" max="190" width="24.7109375" style="3" customWidth="1"/>
    <col min="191" max="191" width="12" style="3" customWidth="1"/>
    <col min="192" max="192" width="12.140625" style="3" customWidth="1"/>
    <col min="193" max="193" width="9.7109375" style="136" bestFit="1" customWidth="1"/>
    <col min="194" max="194" width="9.7109375" style="136" customWidth="1"/>
    <col min="195" max="195" width="27.140625" style="136" bestFit="1" customWidth="1"/>
    <col min="196" max="196" width="19.42578125" style="136" customWidth="1"/>
    <col min="197" max="197" width="18.7109375" customWidth="1"/>
    <col min="198" max="198" width="19.42578125" customWidth="1"/>
    <col min="199" max="199" width="29.42578125" customWidth="1"/>
    <col min="200" max="200" width="21.7109375" customWidth="1"/>
    <col min="201" max="201" width="28" customWidth="1"/>
    <col min="202" max="202" width="21.42578125" customWidth="1"/>
    <col min="203" max="203" width="20.85546875" customWidth="1"/>
    <col min="204" max="204" width="24.85546875" customWidth="1"/>
    <col min="205" max="205" width="16" customWidth="1"/>
    <col min="206" max="206" width="25.7109375" customWidth="1"/>
    <col min="207" max="207" width="21.85546875" customWidth="1"/>
    <col min="208" max="208" width="19.7109375" customWidth="1"/>
    <col min="209" max="209" width="25.7109375" customWidth="1"/>
    <col min="210" max="210" width="24.85546875" customWidth="1"/>
    <col min="211" max="211" width="14.5703125" customWidth="1"/>
    <col min="218" max="218" width="20" style="3" customWidth="1"/>
    <col min="219" max="219" width="9.140625" style="3"/>
    <col min="220" max="221" width="28.7109375" style="2" customWidth="1"/>
    <col min="222" max="222" width="18.5703125" style="3" customWidth="1"/>
    <col min="223" max="224" width="19" style="3" customWidth="1"/>
    <col min="225" max="225" width="18" style="3" customWidth="1"/>
    <col min="226" max="227" width="36" style="2" customWidth="1"/>
    <col min="228" max="228" width="18.5703125" style="3" customWidth="1"/>
    <col min="229" max="229" width="18" style="3" customWidth="1"/>
    <col min="230" max="230" width="27.42578125" style="3" customWidth="1"/>
    <col min="231" max="232" width="35.5703125" style="2" customWidth="1"/>
    <col min="233" max="233" width="18" style="3" customWidth="1"/>
    <col min="234" max="234" width="18.28515625" style="3" customWidth="1"/>
    <col min="235" max="235" width="18" style="3" customWidth="1"/>
    <col min="236" max="236" width="19" style="3" customWidth="1"/>
    <col min="237" max="237" width="19" style="2" customWidth="1"/>
    <col min="238" max="238" width="19" style="3" customWidth="1"/>
    <col min="239" max="239" width="28.7109375" style="2" customWidth="1"/>
    <col min="240" max="240" width="18.7109375" style="2" customWidth="1"/>
    <col min="241" max="241" width="17" style="3" customWidth="1"/>
    <col min="242" max="242" width="14.7109375" style="3" customWidth="1"/>
    <col min="243" max="243" width="18" style="3" customWidth="1"/>
    <col min="244" max="244" width="17.42578125" style="3" customWidth="1"/>
    <col min="245" max="245" width="20.28515625" style="3" customWidth="1"/>
    <col min="246" max="246" width="18.140625" style="3" customWidth="1"/>
    <col min="247" max="247" width="19.28515625" style="3" customWidth="1"/>
    <col min="248" max="248" width="17.42578125" style="3" customWidth="1"/>
    <col min="249" max="249" width="82.42578125" style="2" customWidth="1"/>
    <col min="379" max="379" width="14.28515625" customWidth="1"/>
  </cols>
  <sheetData>
    <row r="1" spans="1:383" ht="210.75" thickBot="1">
      <c r="A1" s="1" t="s">
        <v>424</v>
      </c>
      <c r="B1" s="60" t="s">
        <v>2278</v>
      </c>
      <c r="C1" s="8" t="s">
        <v>1946</v>
      </c>
      <c r="D1" s="8" t="s">
        <v>1949</v>
      </c>
      <c r="E1" s="8" t="s">
        <v>1947</v>
      </c>
      <c r="F1" s="1381" t="s">
        <v>2279</v>
      </c>
      <c r="G1" s="1381"/>
      <c r="H1" s="1381"/>
      <c r="I1" s="25" t="s">
        <v>2280</v>
      </c>
      <c r="J1" s="198"/>
      <c r="K1" s="263" t="s">
        <v>2281</v>
      </c>
      <c r="L1" s="264" t="s">
        <v>2282</v>
      </c>
      <c r="M1" s="186" t="s">
        <v>2283</v>
      </c>
      <c r="O1" s="1382" t="s">
        <v>2284</v>
      </c>
      <c r="P1" s="1382"/>
      <c r="R1" s="42" t="s">
        <v>2278</v>
      </c>
      <c r="S1" s="43" t="s">
        <v>1946</v>
      </c>
      <c r="T1" s="43" t="s">
        <v>1947</v>
      </c>
      <c r="U1" s="44" t="s">
        <v>1949</v>
      </c>
      <c r="V1" s="44" t="s">
        <v>2285</v>
      </c>
      <c r="W1" s="363" t="s">
        <v>198</v>
      </c>
      <c r="X1" s="402" t="s">
        <v>2286</v>
      </c>
      <c r="Y1" s="402" t="s">
        <v>2287</v>
      </c>
      <c r="Z1" s="402" t="s">
        <v>2288</v>
      </c>
      <c r="AB1" s="270" t="s">
        <v>436</v>
      </c>
      <c r="AC1" s="270" t="s">
        <v>437</v>
      </c>
      <c r="AD1" s="345" t="s">
        <v>2289</v>
      </c>
      <c r="AE1" s="345" t="s">
        <v>2290</v>
      </c>
      <c r="AF1" s="345" t="s">
        <v>2291</v>
      </c>
      <c r="AG1" s="345" t="s">
        <v>2292</v>
      </c>
      <c r="AH1" s="345" t="s">
        <v>2293</v>
      </c>
      <c r="AI1" s="358" t="s">
        <v>2294</v>
      </c>
      <c r="BC1" s="320"/>
      <c r="BD1" s="1344" t="s">
        <v>2295</v>
      </c>
      <c r="BE1" s="1345"/>
      <c r="BF1" s="1345"/>
      <c r="BG1" s="1345"/>
      <c r="BH1" s="1345"/>
      <c r="BI1" s="1345"/>
      <c r="BJ1" s="1345"/>
      <c r="BK1" s="1346"/>
      <c r="BL1" s="330"/>
      <c r="BM1" s="320"/>
      <c r="BN1" s="1344" t="s">
        <v>2296</v>
      </c>
      <c r="BO1" s="1345"/>
      <c r="BP1" s="1345"/>
      <c r="BQ1" s="1345"/>
      <c r="BR1" s="1345"/>
      <c r="BS1" s="1345"/>
      <c r="BT1" s="1345"/>
      <c r="BU1" s="1345"/>
      <c r="BV1" s="1345"/>
      <c r="BW1" s="1345"/>
      <c r="BX1" s="1345"/>
      <c r="BY1" s="1345"/>
      <c r="BZ1" s="1346"/>
      <c r="CA1" s="321"/>
      <c r="CB1" s="333"/>
      <c r="CC1" s="1344" t="s">
        <v>2297</v>
      </c>
      <c r="CD1" s="1345"/>
      <c r="CE1" s="1345"/>
      <c r="CF1" s="1345"/>
      <c r="CG1" s="1345"/>
      <c r="CH1" s="1345"/>
      <c r="CI1" s="1346"/>
      <c r="CJ1" s="330"/>
      <c r="CK1" s="320"/>
      <c r="CL1" s="1344" t="s">
        <v>2298</v>
      </c>
      <c r="CM1" s="1345"/>
      <c r="CN1" s="1345"/>
      <c r="CO1" s="1345"/>
      <c r="CP1" s="1346"/>
      <c r="CQ1" s="25"/>
      <c r="CR1" s="320"/>
      <c r="CS1" s="1344" t="s">
        <v>2299</v>
      </c>
      <c r="CT1" s="1345"/>
      <c r="CU1" s="1345"/>
      <c r="CV1" s="1345"/>
      <c r="CW1" s="1345"/>
      <c r="CX1" s="1346"/>
      <c r="CY1" s="8"/>
      <c r="CZ1" s="320"/>
      <c r="DA1" s="1344" t="s">
        <v>2300</v>
      </c>
      <c r="DB1" s="1345"/>
      <c r="DC1" s="1345"/>
      <c r="DD1" s="1345"/>
      <c r="DE1" s="1346"/>
      <c r="DF1" s="23"/>
      <c r="DI1" s="80" t="s">
        <v>2301</v>
      </c>
      <c r="DJ1" s="80" t="s">
        <v>2302</v>
      </c>
      <c r="DK1" s="80" t="s">
        <v>2303</v>
      </c>
      <c r="DL1" s="80" t="s">
        <v>2304</v>
      </c>
      <c r="DM1" s="80" t="s">
        <v>2305</v>
      </c>
      <c r="DN1" s="1341" t="s">
        <v>2306</v>
      </c>
      <c r="DO1" s="1341"/>
      <c r="DP1" s="1341"/>
      <c r="DQ1" s="1341"/>
      <c r="DS1" s="80" t="s">
        <v>2307</v>
      </c>
      <c r="DT1" s="80" t="s">
        <v>2301</v>
      </c>
      <c r="DU1" s="80" t="s">
        <v>2302</v>
      </c>
      <c r="DV1" s="80" t="s">
        <v>2303</v>
      </c>
      <c r="DW1" s="80" t="s">
        <v>2304</v>
      </c>
      <c r="DX1" s="80" t="s">
        <v>2305</v>
      </c>
      <c r="EA1" s="82" t="s">
        <v>424</v>
      </c>
      <c r="EB1" s="82" t="s">
        <v>2308</v>
      </c>
      <c r="EC1" s="82" t="s">
        <v>2309</v>
      </c>
      <c r="ED1" s="82" t="s">
        <v>2310</v>
      </c>
      <c r="EE1" s="82" t="s">
        <v>2311</v>
      </c>
      <c r="EF1" s="82" t="s">
        <v>2312</v>
      </c>
      <c r="EI1" s="144" t="s">
        <v>2313</v>
      </c>
      <c r="EJ1" s="144" t="s">
        <v>2314</v>
      </c>
      <c r="EK1" s="144" t="s">
        <v>2315</v>
      </c>
      <c r="EL1" s="144" t="s">
        <v>2316</v>
      </c>
      <c r="EM1" s="144" t="s">
        <v>2317</v>
      </c>
      <c r="EO1" s="145" t="s">
        <v>2309</v>
      </c>
      <c r="EP1" s="146" t="s">
        <v>2318</v>
      </c>
      <c r="ER1" s="1339" t="s">
        <v>2319</v>
      </c>
      <c r="ES1" s="1339"/>
      <c r="EV1" s="144" t="s">
        <v>2320</v>
      </c>
      <c r="EW1" s="144" t="s">
        <v>2321</v>
      </c>
      <c r="EX1" s="144" t="s">
        <v>2322</v>
      </c>
      <c r="EY1" s="144" t="s">
        <v>2323</v>
      </c>
      <c r="EZ1" s="144" t="s">
        <v>2324</v>
      </c>
      <c r="FB1" s="145" t="s">
        <v>2309</v>
      </c>
      <c r="FC1" s="146" t="s">
        <v>2318</v>
      </c>
      <c r="FE1" s="1339" t="s">
        <v>2319</v>
      </c>
      <c r="FF1" s="1339"/>
      <c r="FK1" s="152" t="s">
        <v>2325</v>
      </c>
      <c r="FL1" s="153" t="s">
        <v>2326</v>
      </c>
      <c r="FM1" s="154" t="s">
        <v>2327</v>
      </c>
      <c r="FN1" s="155" t="s">
        <v>2328</v>
      </c>
      <c r="FO1" s="156" t="s">
        <v>428</v>
      </c>
      <c r="FV1" s="42" t="s">
        <v>2329</v>
      </c>
      <c r="FW1" s="42" t="s">
        <v>2330</v>
      </c>
      <c r="FX1" s="42" t="s">
        <v>2278</v>
      </c>
      <c r="FY1" s="43" t="s">
        <v>1946</v>
      </c>
      <c r="FZ1" s="43" t="s">
        <v>1947</v>
      </c>
      <c r="GA1" s="44" t="s">
        <v>1949</v>
      </c>
      <c r="GB1" s="50" t="s">
        <v>2331</v>
      </c>
      <c r="GG1" s="181" t="s">
        <v>2332</v>
      </c>
      <c r="GH1" s="182" t="s">
        <v>2333</v>
      </c>
      <c r="GI1" s="182" t="s">
        <v>2334</v>
      </c>
      <c r="GJ1" s="182" t="s">
        <v>58</v>
      </c>
      <c r="GK1" s="183" t="s">
        <v>2335</v>
      </c>
      <c r="GL1" s="3"/>
      <c r="GM1" s="1332" t="s">
        <v>2336</v>
      </c>
      <c r="GN1" s="1333"/>
      <c r="GO1" s="1333"/>
      <c r="GP1" s="1333"/>
      <c r="GQ1" s="1333"/>
      <c r="GR1" s="1333"/>
      <c r="GS1" s="1333"/>
      <c r="GT1" s="1333"/>
      <c r="GU1" s="1333"/>
      <c r="GV1" s="1333"/>
      <c r="GW1" s="1333"/>
      <c r="GX1" s="1333"/>
      <c r="GY1" s="1333"/>
      <c r="GZ1" s="1333"/>
      <c r="HA1" s="1333"/>
      <c r="HB1" s="1334"/>
      <c r="HJ1" s="167" t="s">
        <v>2337</v>
      </c>
      <c r="HK1" s="160" t="s">
        <v>424</v>
      </c>
      <c r="HL1" s="158" t="s">
        <v>425</v>
      </c>
      <c r="HM1" s="165" t="s">
        <v>1189</v>
      </c>
      <c r="HN1" s="164" t="s">
        <v>2338</v>
      </c>
      <c r="HO1" s="161" t="s">
        <v>2339</v>
      </c>
      <c r="HP1" s="161" t="s">
        <v>2340</v>
      </c>
      <c r="HQ1" s="161" t="s">
        <v>2341</v>
      </c>
      <c r="HR1" s="162" t="s">
        <v>2342</v>
      </c>
      <c r="HS1" s="93" t="s">
        <v>2343</v>
      </c>
      <c r="HT1" s="105" t="s">
        <v>2344</v>
      </c>
      <c r="HU1" s="161" t="s">
        <v>2345</v>
      </c>
      <c r="HV1" s="161" t="s">
        <v>2346</v>
      </c>
      <c r="HW1" s="163" t="s">
        <v>2347</v>
      </c>
      <c r="HX1" s="166" t="s">
        <v>2348</v>
      </c>
      <c r="HY1" s="105" t="s">
        <v>2349</v>
      </c>
      <c r="HZ1" s="161" t="s">
        <v>2350</v>
      </c>
      <c r="IA1" s="161" t="s">
        <v>2351</v>
      </c>
      <c r="IB1" s="161" t="s">
        <v>2352</v>
      </c>
      <c r="IC1" s="162" t="s">
        <v>2342</v>
      </c>
      <c r="ID1" s="167" t="s">
        <v>2353</v>
      </c>
      <c r="IE1" s="158" t="s">
        <v>425</v>
      </c>
      <c r="IF1" s="158" t="s">
        <v>2308</v>
      </c>
      <c r="IG1" s="159" t="s">
        <v>2354</v>
      </c>
      <c r="IH1" s="159" t="s">
        <v>2355</v>
      </c>
      <c r="II1" s="159" t="s">
        <v>2356</v>
      </c>
      <c r="IJ1" s="159" t="s">
        <v>2357</v>
      </c>
      <c r="IK1" s="159" t="s">
        <v>2358</v>
      </c>
      <c r="IL1" s="159" t="s">
        <v>2359</v>
      </c>
      <c r="IM1" s="159" t="s">
        <v>2360</v>
      </c>
      <c r="IN1" s="159" t="s">
        <v>2361</v>
      </c>
      <c r="IO1" s="159" t="s">
        <v>2362</v>
      </c>
      <c r="JH1" s="1332" t="s">
        <v>2336</v>
      </c>
      <c r="JI1" s="1333"/>
      <c r="JJ1" s="1333"/>
      <c r="JK1" s="1333"/>
      <c r="JL1" s="1333"/>
      <c r="JM1" s="1333"/>
      <c r="JN1" s="1333"/>
      <c r="JO1" s="1333"/>
      <c r="JP1" s="1333"/>
      <c r="JQ1" s="1333"/>
      <c r="JR1" s="1333"/>
      <c r="JS1" s="1333"/>
      <c r="JT1" s="1333"/>
      <c r="JU1" s="1333"/>
      <c r="JV1" s="1333"/>
      <c r="JW1" s="1334"/>
      <c r="KB1" s="181" t="s">
        <v>2332</v>
      </c>
      <c r="KC1" s="182" t="s">
        <v>2333</v>
      </c>
      <c r="KD1" s="182" t="s">
        <v>2334</v>
      </c>
      <c r="KE1" s="182" t="s">
        <v>58</v>
      </c>
      <c r="KF1" s="183" t="s">
        <v>2335</v>
      </c>
      <c r="KG1" s="3"/>
      <c r="KH1" s="1332" t="s">
        <v>2336</v>
      </c>
      <c r="KI1" s="1333"/>
      <c r="KJ1" s="1333"/>
      <c r="KK1" s="1333"/>
      <c r="KL1" s="1333"/>
      <c r="KM1" s="1333"/>
      <c r="KN1" s="1333"/>
      <c r="KO1" s="1333"/>
      <c r="KP1" s="1333"/>
      <c r="KQ1" s="1333"/>
      <c r="KR1" s="1333"/>
      <c r="KS1" s="1333"/>
      <c r="KT1" s="1333"/>
      <c r="KU1" s="1333"/>
      <c r="KV1" s="1333"/>
      <c r="KW1" s="1334"/>
      <c r="LE1" s="167" t="s">
        <v>2337</v>
      </c>
      <c r="LF1" s="160" t="s">
        <v>424</v>
      </c>
      <c r="LG1" s="158" t="s">
        <v>425</v>
      </c>
      <c r="LH1" s="165" t="s">
        <v>1189</v>
      </c>
      <c r="LI1" s="164" t="s">
        <v>2338</v>
      </c>
      <c r="LJ1" s="161" t="s">
        <v>2339</v>
      </c>
      <c r="LK1" s="161" t="s">
        <v>2340</v>
      </c>
      <c r="LL1" s="161" t="s">
        <v>2341</v>
      </c>
      <c r="LM1" s="162" t="s">
        <v>2342</v>
      </c>
      <c r="LN1" s="93" t="s">
        <v>2343</v>
      </c>
      <c r="LO1" s="105" t="s">
        <v>2344</v>
      </c>
      <c r="LP1" s="161" t="s">
        <v>2345</v>
      </c>
      <c r="LQ1" s="161" t="s">
        <v>2346</v>
      </c>
      <c r="LR1" s="163" t="s">
        <v>2347</v>
      </c>
      <c r="LS1" s="166" t="s">
        <v>2348</v>
      </c>
      <c r="LT1" s="105" t="s">
        <v>2349</v>
      </c>
      <c r="LU1" s="161" t="s">
        <v>2350</v>
      </c>
      <c r="LV1" s="161" t="s">
        <v>2351</v>
      </c>
      <c r="LW1" s="161" t="s">
        <v>2352</v>
      </c>
      <c r="LX1" s="162" t="s">
        <v>2342</v>
      </c>
      <c r="LY1" s="167" t="s">
        <v>2353</v>
      </c>
      <c r="LZ1" s="158" t="s">
        <v>425</v>
      </c>
      <c r="MA1" s="158" t="s">
        <v>2308</v>
      </c>
      <c r="MB1" s="159" t="s">
        <v>2354</v>
      </c>
      <c r="MC1" s="159" t="s">
        <v>2355</v>
      </c>
      <c r="MD1" s="159" t="s">
        <v>2356</v>
      </c>
      <c r="ME1" s="159" t="s">
        <v>2357</v>
      </c>
      <c r="MF1" s="159" t="s">
        <v>2358</v>
      </c>
      <c r="MG1" s="159" t="s">
        <v>2359</v>
      </c>
      <c r="MH1" s="159" t="s">
        <v>2360</v>
      </c>
      <c r="MI1" s="159" t="s">
        <v>2361</v>
      </c>
      <c r="MJ1" s="159" t="s">
        <v>2362</v>
      </c>
      <c r="MN1" s="408" t="s">
        <v>845</v>
      </c>
      <c r="MO1" s="80" t="s">
        <v>2363</v>
      </c>
      <c r="MP1" s="80" t="s">
        <v>2364</v>
      </c>
      <c r="MQ1" s="80" t="s">
        <v>2365</v>
      </c>
      <c r="MR1" s="80" t="s">
        <v>2366</v>
      </c>
      <c r="MS1" s="80" t="s">
        <v>2367</v>
      </c>
      <c r="MT1" s="80" t="s">
        <v>2368</v>
      </c>
      <c r="MU1" s="80" t="s">
        <v>2369</v>
      </c>
      <c r="MV1" s="80" t="s">
        <v>2370</v>
      </c>
      <c r="MW1" s="80" t="s">
        <v>2371</v>
      </c>
      <c r="MZ1" s="436" t="s">
        <v>2372</v>
      </c>
      <c r="NL1" s="408" t="s">
        <v>424</v>
      </c>
      <c r="NM1" s="408" t="s">
        <v>2373</v>
      </c>
      <c r="NN1" s="408" t="s">
        <v>428</v>
      </c>
      <c r="NO1" s="408" t="s">
        <v>258</v>
      </c>
      <c r="NP1" s="408" t="s">
        <v>2374</v>
      </c>
      <c r="NQ1" s="408" t="s">
        <v>2375</v>
      </c>
      <c r="NR1" s="408" t="s">
        <v>1738</v>
      </c>
      <c r="NS1" s="7" t="s">
        <v>847</v>
      </c>
    </row>
    <row r="2" spans="1:383" s="138" customFormat="1" ht="196.5" thickTop="1" thickBot="1">
      <c r="A2" s="899">
        <v>1</v>
      </c>
      <c r="B2" s="900" t="s">
        <v>2376</v>
      </c>
      <c r="C2" s="901" t="s">
        <v>2377</v>
      </c>
      <c r="D2" s="901">
        <v>6948791813</v>
      </c>
      <c r="E2" s="902" t="s">
        <v>2378</v>
      </c>
      <c r="F2" s="1383" t="s">
        <v>2379</v>
      </c>
      <c r="G2" s="1384"/>
      <c r="H2" s="1385"/>
      <c r="I2" s="903"/>
      <c r="J2" s="904"/>
      <c r="K2" s="186" t="s">
        <v>2380</v>
      </c>
      <c r="L2" s="186" t="s">
        <v>2381</v>
      </c>
      <c r="M2" s="3">
        <v>3</v>
      </c>
      <c r="O2" s="362" t="s">
        <v>2382</v>
      </c>
      <c r="P2" s="362">
        <v>60</v>
      </c>
      <c r="R2" s="905" t="s">
        <v>2383</v>
      </c>
      <c r="S2" s="906" t="s">
        <v>746</v>
      </c>
      <c r="T2" s="907" t="s">
        <v>2384</v>
      </c>
      <c r="U2" s="908">
        <v>6972600890</v>
      </c>
      <c r="V2" s="909"/>
      <c r="W2" s="368">
        <v>1</v>
      </c>
      <c r="X2" s="368" t="s">
        <v>2385</v>
      </c>
      <c r="Y2" s="368" t="s">
        <v>2385</v>
      </c>
      <c r="Z2" s="910"/>
      <c r="AB2" s="159" t="s">
        <v>496</v>
      </c>
      <c r="AC2" s="159" t="s">
        <v>2386</v>
      </c>
      <c r="AD2" s="496">
        <v>15</v>
      </c>
      <c r="AE2" s="496">
        <v>9</v>
      </c>
      <c r="AF2" s="496">
        <v>18</v>
      </c>
      <c r="AG2" s="496">
        <v>3</v>
      </c>
      <c r="AH2" s="7">
        <f>SUM(AD2:AG2)</f>
        <v>45</v>
      </c>
      <c r="AI2" s="3" t="s">
        <v>2387</v>
      </c>
      <c r="AM2" s="272"/>
      <c r="AN2" s="272"/>
      <c r="AS2" s="3"/>
      <c r="AT2" s="3"/>
      <c r="AU2" s="3"/>
      <c r="AV2" s="3"/>
      <c r="AW2" s="3"/>
      <c r="AX2" s="3"/>
      <c r="AY2" s="1303"/>
      <c r="AZ2" s="1303"/>
      <c r="BA2" s="1303"/>
      <c r="BC2" s="322"/>
      <c r="BD2" s="911" t="s">
        <v>2376</v>
      </c>
      <c r="BE2" s="912" t="s">
        <v>2388</v>
      </c>
      <c r="BF2" s="912" t="s">
        <v>2389</v>
      </c>
      <c r="BG2" s="912" t="s">
        <v>2390</v>
      </c>
      <c r="BH2" s="912" t="s">
        <v>2391</v>
      </c>
      <c r="BI2" s="912" t="s">
        <v>2392</v>
      </c>
      <c r="BJ2" s="912" t="s">
        <v>2393</v>
      </c>
      <c r="BK2" s="913" t="s">
        <v>2394</v>
      </c>
      <c r="BL2" s="1349" t="s">
        <v>2395</v>
      </c>
      <c r="BM2" s="322"/>
      <c r="BN2" s="914" t="s">
        <v>518</v>
      </c>
      <c r="BO2" s="901" t="s">
        <v>527</v>
      </c>
      <c r="BP2" s="901" t="s">
        <v>534</v>
      </c>
      <c r="BQ2" s="901" t="s">
        <v>545</v>
      </c>
      <c r="BR2" s="901" t="s">
        <v>554</v>
      </c>
      <c r="BS2" s="901" t="s">
        <v>565</v>
      </c>
      <c r="BT2" s="901" t="s">
        <v>582</v>
      </c>
      <c r="BU2" s="901" t="s">
        <v>798</v>
      </c>
      <c r="BV2" s="901" t="s">
        <v>589</v>
      </c>
      <c r="BW2" s="901" t="s">
        <v>2396</v>
      </c>
      <c r="BX2" s="901" t="s">
        <v>802</v>
      </c>
      <c r="BY2" s="901" t="s">
        <v>609</v>
      </c>
      <c r="BZ2" s="915" t="s">
        <v>617</v>
      </c>
      <c r="CA2" s="1351" t="s">
        <v>2395</v>
      </c>
      <c r="CB2" s="2"/>
      <c r="CC2" s="916" t="s">
        <v>674</v>
      </c>
      <c r="CD2" s="916" t="s">
        <v>2397</v>
      </c>
      <c r="CE2" s="916" t="s">
        <v>2398</v>
      </c>
      <c r="CF2" s="916" t="s">
        <v>2399</v>
      </c>
      <c r="CG2" s="916" t="s">
        <v>2400</v>
      </c>
      <c r="CH2" s="916" t="s">
        <v>2401</v>
      </c>
      <c r="CI2" s="917" t="s">
        <v>2402</v>
      </c>
      <c r="CJ2" s="1353" t="s">
        <v>2395</v>
      </c>
      <c r="CK2" s="322"/>
      <c r="CL2" s="916" t="s">
        <v>729</v>
      </c>
      <c r="CM2" s="916" t="s">
        <v>735</v>
      </c>
      <c r="CN2" s="916" t="s">
        <v>738</v>
      </c>
      <c r="CO2" s="916" t="s">
        <v>741</v>
      </c>
      <c r="CP2" s="918" t="s">
        <v>744</v>
      </c>
      <c r="CQ2" s="1355" t="s">
        <v>2395</v>
      </c>
      <c r="CR2" s="322"/>
      <c r="CS2" s="919" t="s">
        <v>2403</v>
      </c>
      <c r="CT2" s="920" t="s">
        <v>2404</v>
      </c>
      <c r="CU2" s="920" t="s">
        <v>2405</v>
      </c>
      <c r="CV2" s="920" t="s">
        <v>2406</v>
      </c>
      <c r="CW2" s="920" t="s">
        <v>2407</v>
      </c>
      <c r="CX2" s="921" t="s">
        <v>2408</v>
      </c>
      <c r="CY2" s="1357" t="s">
        <v>2395</v>
      </c>
      <c r="CZ2" s="322"/>
      <c r="DA2" s="922" t="s">
        <v>672</v>
      </c>
      <c r="DB2" s="923" t="s">
        <v>674</v>
      </c>
      <c r="DC2" s="923" t="s">
        <v>677</v>
      </c>
      <c r="DD2" s="923" t="s">
        <v>681</v>
      </c>
      <c r="DE2" s="924" t="s">
        <v>684</v>
      </c>
      <c r="DF2" s="1347" t="s">
        <v>2409</v>
      </c>
      <c r="DI2" s="1342" t="s">
        <v>2410</v>
      </c>
      <c r="DJ2" s="1342"/>
      <c r="DK2" s="1342"/>
      <c r="DL2" s="1342"/>
      <c r="DM2" s="1342"/>
      <c r="DN2" s="87"/>
      <c r="DO2" s="87"/>
      <c r="DP2" s="87"/>
      <c r="DQ2" s="87"/>
      <c r="DT2" s="1342" t="s">
        <v>2410</v>
      </c>
      <c r="DU2" s="1342"/>
      <c r="DV2" s="1342"/>
      <c r="DW2" s="1342"/>
      <c r="DX2" s="1342"/>
      <c r="EA2" s="2">
        <v>1</v>
      </c>
      <c r="EB2" s="2">
        <v>0</v>
      </c>
      <c r="EC2" s="2" t="s">
        <v>2411</v>
      </c>
      <c r="ED2" s="2" t="s">
        <v>2412</v>
      </c>
      <c r="EE2" s="2" t="s">
        <v>2413</v>
      </c>
      <c r="EF2" s="2" t="s">
        <v>2414</v>
      </c>
      <c r="EI2" s="193" t="s">
        <v>2415</v>
      </c>
      <c r="EJ2" s="192" t="s">
        <v>2416</v>
      </c>
      <c r="EK2" s="260" t="s">
        <v>2417</v>
      </c>
      <c r="EL2" s="130" t="s">
        <v>2418</v>
      </c>
      <c r="EM2" s="192" t="s">
        <v>2419</v>
      </c>
      <c r="EO2" s="925" t="s">
        <v>2420</v>
      </c>
      <c r="EP2" s="284" t="s">
        <v>2387</v>
      </c>
      <c r="EW2" s="348" t="s">
        <v>2421</v>
      </c>
      <c r="EX2" s="341" t="s">
        <v>2422</v>
      </c>
      <c r="EY2" s="189" t="s">
        <v>2423</v>
      </c>
      <c r="EZ2" s="338" t="s">
        <v>2424</v>
      </c>
      <c r="FB2" s="925" t="s">
        <v>2420</v>
      </c>
      <c r="FC2" s="284" t="s">
        <v>2387</v>
      </c>
      <c r="FK2" s="926"/>
      <c r="FL2" s="330"/>
      <c r="FM2" s="330"/>
      <c r="FN2" s="330"/>
      <c r="FO2" s="330"/>
      <c r="FV2" s="53" t="s">
        <v>2425</v>
      </c>
      <c r="FW2" s="48" t="s">
        <v>2426</v>
      </c>
      <c r="FX2" s="268" t="s">
        <v>2383</v>
      </c>
      <c r="FY2" s="48" t="s">
        <v>746</v>
      </c>
      <c r="FZ2" s="48" t="s">
        <v>2384</v>
      </c>
      <c r="GA2" s="51">
        <v>6972600890</v>
      </c>
      <c r="GB2" s="927"/>
      <c r="GG2" s="178" t="s">
        <v>2427</v>
      </c>
      <c r="GH2" s="140" t="s">
        <v>2428</v>
      </c>
      <c r="GI2" s="139">
        <v>12</v>
      </c>
      <c r="GJ2" s="139">
        <v>13</v>
      </c>
      <c r="GK2" s="137">
        <f t="shared" ref="GK2:GK7" si="0">GI2/GJ2</f>
        <v>0.92307692307692313</v>
      </c>
      <c r="GL2" s="169"/>
      <c r="GM2" s="1335" t="s">
        <v>2429</v>
      </c>
      <c r="GN2" s="1335"/>
      <c r="GO2" s="1335"/>
      <c r="GP2" s="1335"/>
      <c r="GQ2" s="1335"/>
      <c r="GR2" s="1335"/>
      <c r="GS2" s="1335"/>
      <c r="GT2" s="1335"/>
      <c r="GU2" s="1335"/>
      <c r="GV2" s="1335"/>
      <c r="GW2" s="1335"/>
      <c r="GX2" s="1335"/>
      <c r="GY2" s="1335"/>
      <c r="GZ2" s="1335"/>
      <c r="HA2" s="1335"/>
      <c r="HB2" s="1335"/>
      <c r="HJ2" s="168"/>
      <c r="HK2" s="3">
        <v>1</v>
      </c>
      <c r="HL2" s="2" t="s">
        <v>2430</v>
      </c>
      <c r="HM2" s="157"/>
      <c r="HN2" s="3" t="s">
        <v>2431</v>
      </c>
      <c r="HO2" s="3" t="s">
        <v>2431</v>
      </c>
      <c r="HP2" s="3" t="s">
        <v>2431</v>
      </c>
      <c r="HQ2" s="3" t="s">
        <v>2431</v>
      </c>
      <c r="HR2" s="2"/>
      <c r="HS2" s="93"/>
      <c r="HT2" s="3" t="s">
        <v>2432</v>
      </c>
      <c r="HU2" s="3" t="s">
        <v>2433</v>
      </c>
      <c r="HV2" s="3" t="s">
        <v>2432</v>
      </c>
      <c r="HW2" s="2"/>
      <c r="HX2" s="85"/>
      <c r="HY2" s="3" t="s">
        <v>2432</v>
      </c>
      <c r="HZ2" s="3" t="s">
        <v>2434</v>
      </c>
      <c r="IA2" s="3" t="s">
        <v>2434</v>
      </c>
      <c r="IB2" s="3" t="s">
        <v>2435</v>
      </c>
      <c r="IC2" s="2"/>
      <c r="ID2" s="168"/>
      <c r="IE2" s="2" t="s">
        <v>2430</v>
      </c>
      <c r="IF2" s="2" t="s">
        <v>2436</v>
      </c>
      <c r="IG2" s="3" t="s">
        <v>2431</v>
      </c>
      <c r="IH2" s="3" t="s">
        <v>2433</v>
      </c>
      <c r="II2" s="3" t="s">
        <v>2432</v>
      </c>
      <c r="IJ2" s="3" t="s">
        <v>2431</v>
      </c>
      <c r="IK2" s="3" t="s">
        <v>2433</v>
      </c>
      <c r="IL2" s="3" t="s">
        <v>2435</v>
      </c>
      <c r="IM2" s="3" t="s">
        <v>2433</v>
      </c>
      <c r="IN2" s="3" t="s">
        <v>2431</v>
      </c>
      <c r="IO2" s="2"/>
      <c r="JH2" s="1335" t="s">
        <v>2429</v>
      </c>
      <c r="JI2" s="1335"/>
      <c r="JJ2" s="1335"/>
      <c r="JK2" s="1335"/>
      <c r="JL2" s="1335"/>
      <c r="JM2" s="1335"/>
      <c r="JN2" s="1335"/>
      <c r="JO2" s="1335"/>
      <c r="JP2" s="1335"/>
      <c r="JQ2" s="1335"/>
      <c r="JR2" s="1335"/>
      <c r="JS2" s="1335"/>
      <c r="JT2" s="1335"/>
      <c r="JU2" s="1335"/>
      <c r="JV2" s="1335"/>
      <c r="JW2" s="1335"/>
      <c r="KB2" s="178" t="s">
        <v>2427</v>
      </c>
      <c r="KC2" s="140" t="s">
        <v>2428</v>
      </c>
      <c r="KD2" s="139">
        <v>12</v>
      </c>
      <c r="KE2" s="139">
        <v>13</v>
      </c>
      <c r="KF2" s="137">
        <f t="shared" ref="KF2:KF7" si="1">KD2/KE2</f>
        <v>0.92307692307692313</v>
      </c>
      <c r="KG2" s="169"/>
      <c r="KH2" s="1335" t="s">
        <v>2429</v>
      </c>
      <c r="KI2" s="1335"/>
      <c r="KJ2" s="1335"/>
      <c r="KK2" s="1335"/>
      <c r="KL2" s="1335"/>
      <c r="KM2" s="1335"/>
      <c r="KN2" s="1335"/>
      <c r="KO2" s="1335"/>
      <c r="KP2" s="1335"/>
      <c r="KQ2" s="1335"/>
      <c r="KR2" s="1335"/>
      <c r="KS2" s="1335"/>
      <c r="KT2" s="1335"/>
      <c r="KU2" s="1335"/>
      <c r="KV2" s="1335"/>
      <c r="KW2" s="1335"/>
      <c r="LE2" s="168"/>
      <c r="LF2" s="3">
        <v>1</v>
      </c>
      <c r="LG2" s="2" t="s">
        <v>2430</v>
      </c>
      <c r="LH2" s="157"/>
      <c r="LI2" s="3" t="s">
        <v>2431</v>
      </c>
      <c r="LJ2" s="3" t="s">
        <v>2431</v>
      </c>
      <c r="LK2" s="3" t="s">
        <v>2431</v>
      </c>
      <c r="LL2" s="3" t="s">
        <v>2431</v>
      </c>
      <c r="LM2" s="2"/>
      <c r="LN2" s="93"/>
      <c r="LO2" s="3" t="s">
        <v>2432</v>
      </c>
      <c r="LP2" s="3" t="s">
        <v>2433</v>
      </c>
      <c r="LQ2" s="3" t="s">
        <v>2432</v>
      </c>
      <c r="LR2" s="2"/>
      <c r="LS2" s="85"/>
      <c r="LT2" s="3" t="s">
        <v>2432</v>
      </c>
      <c r="LU2" s="3" t="s">
        <v>2434</v>
      </c>
      <c r="LV2" s="3" t="s">
        <v>2434</v>
      </c>
      <c r="LW2" s="3" t="s">
        <v>2435</v>
      </c>
      <c r="LX2" s="2"/>
      <c r="LY2" s="168"/>
      <c r="LZ2" s="2" t="s">
        <v>2430</v>
      </c>
      <c r="MA2" s="2" t="s">
        <v>2436</v>
      </c>
      <c r="MB2" s="3" t="s">
        <v>2431</v>
      </c>
      <c r="MC2" s="3" t="s">
        <v>2433</v>
      </c>
      <c r="MD2" s="3" t="s">
        <v>2432</v>
      </c>
      <c r="ME2" s="3" t="s">
        <v>2431</v>
      </c>
      <c r="MF2" s="3" t="s">
        <v>2433</v>
      </c>
      <c r="MG2" s="3" t="s">
        <v>2435</v>
      </c>
      <c r="MH2" s="3" t="s">
        <v>2433</v>
      </c>
      <c r="MI2" s="3" t="s">
        <v>2431</v>
      </c>
      <c r="MJ2" s="2"/>
      <c r="MN2" s="408" t="s">
        <v>2437</v>
      </c>
      <c r="MO2" s="928"/>
      <c r="MP2" s="928"/>
      <c r="MQ2" s="928"/>
      <c r="MR2" s="928"/>
      <c r="MS2" s="928"/>
      <c r="NL2" s="442">
        <v>1</v>
      </c>
      <c r="NM2" s="2" t="s">
        <v>2438</v>
      </c>
      <c r="NN2" s="443" t="s">
        <v>2439</v>
      </c>
      <c r="NO2" s="2">
        <v>6976890221</v>
      </c>
      <c r="NP2" s="2" t="s">
        <v>2440</v>
      </c>
      <c r="NQ2" s="2" t="s">
        <v>2441</v>
      </c>
      <c r="NR2" s="2" t="s">
        <v>2442</v>
      </c>
      <c r="NS2" s="2"/>
    </row>
    <row r="3" spans="1:383" ht="14.25" customHeight="1" thickTop="1" thickBot="1">
      <c r="A3" s="65">
        <v>2</v>
      </c>
      <c r="B3" s="55" t="s">
        <v>2388</v>
      </c>
      <c r="C3" s="10" t="s">
        <v>544</v>
      </c>
      <c r="D3" s="10">
        <v>6944310262</v>
      </c>
      <c r="E3" s="27" t="s">
        <v>2443</v>
      </c>
      <c r="F3" s="1383" t="s">
        <v>2379</v>
      </c>
      <c r="G3" s="1384"/>
      <c r="H3" s="1385"/>
      <c r="I3" s="372">
        <v>0.625</v>
      </c>
      <c r="J3" s="198"/>
      <c r="M3" s="3">
        <v>3</v>
      </c>
      <c r="O3" s="368" t="s">
        <v>2444</v>
      </c>
      <c r="P3" s="368">
        <v>6</v>
      </c>
      <c r="R3" s="416" t="s">
        <v>496</v>
      </c>
      <c r="S3" s="417" t="s">
        <v>497</v>
      </c>
      <c r="T3" s="418" t="s">
        <v>498</v>
      </c>
      <c r="U3" s="419">
        <v>6949455771</v>
      </c>
      <c r="V3" s="420"/>
      <c r="W3" s="3">
        <v>3</v>
      </c>
      <c r="X3" s="401" t="s">
        <v>2445</v>
      </c>
      <c r="Y3" s="401" t="s">
        <v>2445</v>
      </c>
      <c r="AB3" s="346" t="s">
        <v>2446</v>
      </c>
      <c r="AC3" s="346" t="s">
        <v>475</v>
      </c>
      <c r="AD3" s="17">
        <v>2</v>
      </c>
      <c r="AE3" s="17" t="s">
        <v>771</v>
      </c>
      <c r="AF3" s="17" t="s">
        <v>771</v>
      </c>
      <c r="AG3" s="17" t="s">
        <v>771</v>
      </c>
      <c r="AH3" s="361">
        <f t="shared" ref="AH3:AH13" si="2">SUM(AD3:AG3)</f>
        <v>2</v>
      </c>
      <c r="AI3" s="136" t="s">
        <v>2387</v>
      </c>
      <c r="AM3" s="1305" t="s">
        <v>1992</v>
      </c>
      <c r="AN3" s="1305" t="s">
        <v>437</v>
      </c>
      <c r="AO3" s="1304" t="s">
        <v>1993</v>
      </c>
      <c r="AP3" s="1304" t="s">
        <v>1994</v>
      </c>
      <c r="AS3" s="1304" t="s">
        <v>1992</v>
      </c>
      <c r="AT3" s="1305" t="s">
        <v>437</v>
      </c>
      <c r="AU3" s="1304" t="s">
        <v>1993</v>
      </c>
      <c r="AV3" s="1304" t="s">
        <v>1994</v>
      </c>
      <c r="AW3" s="3"/>
      <c r="AX3" s="3"/>
      <c r="AY3" s="1304" t="s">
        <v>1992</v>
      </c>
      <c r="AZ3" s="1304" t="s">
        <v>1993</v>
      </c>
      <c r="BA3" s="1304" t="s">
        <v>1994</v>
      </c>
      <c r="BC3" s="323" t="s">
        <v>1136</v>
      </c>
      <c r="BD3" s="311" t="s">
        <v>2377</v>
      </c>
      <c r="BE3" s="310" t="s">
        <v>544</v>
      </c>
      <c r="BF3" s="310" t="s">
        <v>746</v>
      </c>
      <c r="BG3" s="310" t="s">
        <v>544</v>
      </c>
      <c r="BH3" s="310" t="s">
        <v>553</v>
      </c>
      <c r="BI3" s="310" t="s">
        <v>696</v>
      </c>
      <c r="BJ3" s="310" t="s">
        <v>540</v>
      </c>
      <c r="BK3" s="312" t="s">
        <v>2447</v>
      </c>
      <c r="BL3" s="1350"/>
      <c r="BM3" s="323" t="s">
        <v>1136</v>
      </c>
      <c r="BN3" s="313" t="s">
        <v>784</v>
      </c>
      <c r="BO3" s="12" t="s">
        <v>475</v>
      </c>
      <c r="BP3" s="12" t="s">
        <v>533</v>
      </c>
      <c r="BQ3" s="12" t="s">
        <v>544</v>
      </c>
      <c r="BR3" s="12" t="s">
        <v>553</v>
      </c>
      <c r="BS3" s="12" t="s">
        <v>475</v>
      </c>
      <c r="BT3" s="12" t="s">
        <v>581</v>
      </c>
      <c r="BU3" s="12" t="s">
        <v>784</v>
      </c>
      <c r="BV3" s="12" t="s">
        <v>588</v>
      </c>
      <c r="BW3" s="12" t="s">
        <v>2448</v>
      </c>
      <c r="BX3" s="12" t="s">
        <v>803</v>
      </c>
      <c r="BY3" s="12" t="s">
        <v>608</v>
      </c>
      <c r="BZ3" s="314" t="s">
        <v>616</v>
      </c>
      <c r="CA3" s="1352"/>
      <c r="CB3" s="334" t="s">
        <v>1134</v>
      </c>
      <c r="CC3" s="15" t="s">
        <v>475</v>
      </c>
      <c r="CD3" s="15" t="s">
        <v>544</v>
      </c>
      <c r="CE3" s="15" t="s">
        <v>2449</v>
      </c>
      <c r="CF3" s="15" t="s">
        <v>746</v>
      </c>
      <c r="CG3" s="15" t="s">
        <v>746</v>
      </c>
      <c r="CH3" s="15" t="s">
        <v>604</v>
      </c>
      <c r="CI3" s="315" t="s">
        <v>608</v>
      </c>
      <c r="CJ3" s="1354"/>
      <c r="CK3" s="323" t="s">
        <v>1134</v>
      </c>
      <c r="CL3" s="15" t="s">
        <v>470</v>
      </c>
      <c r="CM3" s="15" t="s">
        <v>544</v>
      </c>
      <c r="CN3" s="15" t="s">
        <v>737</v>
      </c>
      <c r="CO3" s="15" t="s">
        <v>740</v>
      </c>
      <c r="CP3" s="315" t="s">
        <v>743</v>
      </c>
      <c r="CQ3" s="1356"/>
      <c r="CR3" s="323" t="s">
        <v>1134</v>
      </c>
      <c r="CS3" s="316" t="s">
        <v>2450</v>
      </c>
      <c r="CT3" s="19" t="s">
        <v>773</v>
      </c>
      <c r="CU3" s="19" t="s">
        <v>600</v>
      </c>
      <c r="CV3" s="19" t="s">
        <v>809</v>
      </c>
      <c r="CW3" s="19" t="s">
        <v>809</v>
      </c>
      <c r="CX3" s="317" t="s">
        <v>540</v>
      </c>
      <c r="CY3" s="1358"/>
      <c r="CZ3" s="323" t="s">
        <v>1136</v>
      </c>
      <c r="DA3" s="318" t="s">
        <v>544</v>
      </c>
      <c r="DB3" s="22" t="s">
        <v>544</v>
      </c>
      <c r="DC3" s="22" t="s">
        <v>676</v>
      </c>
      <c r="DD3" s="22" t="s">
        <v>680</v>
      </c>
      <c r="DE3" s="319" t="s">
        <v>683</v>
      </c>
      <c r="DF3" s="1348"/>
      <c r="DI3" s="2" t="s">
        <v>2451</v>
      </c>
      <c r="DJ3" s="82" t="s">
        <v>2452</v>
      </c>
      <c r="DK3" s="2" t="s">
        <v>2453</v>
      </c>
      <c r="DL3" s="2" t="s">
        <v>2454</v>
      </c>
      <c r="DM3" s="81"/>
      <c r="DN3" s="1337" t="s">
        <v>2455</v>
      </c>
      <c r="DO3" s="1145"/>
      <c r="DP3" s="1145"/>
      <c r="DQ3" s="1145"/>
      <c r="DU3" s="92" t="s">
        <v>2452</v>
      </c>
      <c r="DV3" s="93" t="s">
        <v>2453</v>
      </c>
      <c r="DW3" s="93" t="s">
        <v>2454</v>
      </c>
      <c r="DX3" s="93" t="s">
        <v>2456</v>
      </c>
      <c r="EA3" s="82">
        <v>2</v>
      </c>
      <c r="EB3" s="82" t="s">
        <v>2457</v>
      </c>
      <c r="EC3" s="82" t="s">
        <v>2458</v>
      </c>
      <c r="ED3" s="82" t="s">
        <v>2459</v>
      </c>
      <c r="EE3" s="82" t="s">
        <v>2460</v>
      </c>
      <c r="EF3" s="82" t="s">
        <v>2461</v>
      </c>
      <c r="EI3" s="193" t="s">
        <v>2462</v>
      </c>
      <c r="EJ3" s="192" t="s">
        <v>2463</v>
      </c>
      <c r="EK3" s="132" t="s">
        <v>2464</v>
      </c>
      <c r="EL3" s="130" t="s">
        <v>2422</v>
      </c>
      <c r="EM3" s="192" t="s">
        <v>2465</v>
      </c>
      <c r="EO3" s="147" t="s">
        <v>2466</v>
      </c>
      <c r="EP3" s="290" t="s">
        <v>2387</v>
      </c>
      <c r="EW3" s="348" t="s">
        <v>2467</v>
      </c>
      <c r="EX3" s="341" t="s">
        <v>2468</v>
      </c>
      <c r="EY3" s="189" t="s">
        <v>2469</v>
      </c>
      <c r="EZ3" s="338" t="s">
        <v>2470</v>
      </c>
      <c r="FB3" s="147" t="s">
        <v>2466</v>
      </c>
      <c r="FC3" s="290" t="s">
        <v>2387</v>
      </c>
      <c r="FK3" s="95" t="s">
        <v>2329</v>
      </c>
      <c r="FL3" s="95" t="s">
        <v>75</v>
      </c>
      <c r="FM3" s="95" t="s">
        <v>2471</v>
      </c>
      <c r="FN3" s="95" t="s">
        <v>2330</v>
      </c>
      <c r="FO3" s="95" t="s">
        <v>2472</v>
      </c>
      <c r="FP3" s="95" t="s">
        <v>2473</v>
      </c>
      <c r="FQ3" s="95" t="s">
        <v>2474</v>
      </c>
      <c r="FR3" s="95" t="s">
        <v>2475</v>
      </c>
      <c r="FV3" s="53" t="s">
        <v>2476</v>
      </c>
      <c r="FW3" s="48" t="s">
        <v>2477</v>
      </c>
      <c r="FX3" s="268" t="s">
        <v>496</v>
      </c>
      <c r="FY3" s="48" t="s">
        <v>497</v>
      </c>
      <c r="FZ3" s="48" t="s">
        <v>498</v>
      </c>
      <c r="GA3" s="51">
        <v>6949455771</v>
      </c>
      <c r="GB3" s="54"/>
      <c r="GG3" s="178" t="s">
        <v>2478</v>
      </c>
      <c r="GH3" s="140" t="s">
        <v>2479</v>
      </c>
      <c r="GI3" s="139">
        <v>8</v>
      </c>
      <c r="GJ3" s="139">
        <v>8</v>
      </c>
      <c r="GK3" s="137">
        <f t="shared" si="0"/>
        <v>1</v>
      </c>
      <c r="GL3" s="179"/>
      <c r="GM3" s="175" t="s">
        <v>1189</v>
      </c>
      <c r="GN3" s="171" t="s">
        <v>2338</v>
      </c>
      <c r="GO3" s="171" t="s">
        <v>2339</v>
      </c>
      <c r="GP3" s="171" t="s">
        <v>2340</v>
      </c>
      <c r="GQ3" s="172" t="s">
        <v>2341</v>
      </c>
      <c r="GR3" s="6" t="s">
        <v>2480</v>
      </c>
      <c r="GS3" s="176" t="s">
        <v>2343</v>
      </c>
      <c r="GT3" s="171" t="s">
        <v>2344</v>
      </c>
      <c r="GU3" s="171" t="s">
        <v>2345</v>
      </c>
      <c r="GV3" s="172" t="s">
        <v>2346</v>
      </c>
      <c r="GW3" s="6" t="s">
        <v>2480</v>
      </c>
      <c r="GX3" s="177" t="s">
        <v>2348</v>
      </c>
      <c r="GY3" s="171" t="s">
        <v>2349</v>
      </c>
      <c r="GZ3" s="171" t="s">
        <v>2350</v>
      </c>
      <c r="HA3" s="171" t="s">
        <v>2351</v>
      </c>
      <c r="HB3" s="172" t="s">
        <v>2352</v>
      </c>
      <c r="HC3" s="6" t="s">
        <v>2480</v>
      </c>
      <c r="HJ3" s="168"/>
      <c r="HK3" s="3">
        <v>2</v>
      </c>
      <c r="HL3" s="2" t="s">
        <v>2430</v>
      </c>
      <c r="HM3" s="157"/>
      <c r="HN3" s="3" t="s">
        <v>2433</v>
      </c>
      <c r="HO3" s="3" t="s">
        <v>2433</v>
      </c>
      <c r="HP3" s="3" t="s">
        <v>2433</v>
      </c>
      <c r="HQ3" s="3" t="s">
        <v>2433</v>
      </c>
      <c r="HS3" s="93"/>
      <c r="HT3" s="3" t="s">
        <v>2433</v>
      </c>
      <c r="HU3" s="3" t="s">
        <v>2433</v>
      </c>
      <c r="HV3" s="3" t="s">
        <v>2433</v>
      </c>
      <c r="HX3" s="85"/>
      <c r="HY3" s="3" t="s">
        <v>2435</v>
      </c>
      <c r="HZ3" s="3" t="s">
        <v>2435</v>
      </c>
      <c r="IA3" s="3" t="s">
        <v>2435</v>
      </c>
      <c r="IB3" s="3" t="s">
        <v>2435</v>
      </c>
      <c r="ID3" s="168"/>
      <c r="IE3" s="2" t="s">
        <v>2430</v>
      </c>
      <c r="IF3" s="2" t="s">
        <v>2436</v>
      </c>
      <c r="IG3" s="3" t="s">
        <v>2431</v>
      </c>
      <c r="IH3" s="3" t="s">
        <v>2433</v>
      </c>
      <c r="II3" s="3" t="s">
        <v>2432</v>
      </c>
      <c r="IJ3" s="3" t="s">
        <v>2431</v>
      </c>
      <c r="IK3" s="3" t="s">
        <v>2433</v>
      </c>
      <c r="IL3" s="3" t="s">
        <v>2432</v>
      </c>
      <c r="IM3" s="3" t="s">
        <v>2433</v>
      </c>
      <c r="IN3" s="3" t="s">
        <v>2433</v>
      </c>
      <c r="JH3" s="175" t="s">
        <v>1189</v>
      </c>
      <c r="JI3" s="171" t="s">
        <v>2338</v>
      </c>
      <c r="JJ3" s="171" t="s">
        <v>2339</v>
      </c>
      <c r="JK3" s="171" t="s">
        <v>2340</v>
      </c>
      <c r="JL3" s="172" t="s">
        <v>2341</v>
      </c>
      <c r="JM3" s="6" t="s">
        <v>2480</v>
      </c>
      <c r="JN3" s="176" t="s">
        <v>2343</v>
      </c>
      <c r="JO3" s="171" t="s">
        <v>2344</v>
      </c>
      <c r="JP3" s="171" t="s">
        <v>2345</v>
      </c>
      <c r="JQ3" s="172" t="s">
        <v>2346</v>
      </c>
      <c r="JR3" s="6" t="s">
        <v>2480</v>
      </c>
      <c r="JS3" s="177" t="s">
        <v>2348</v>
      </c>
      <c r="JT3" s="171" t="s">
        <v>2349</v>
      </c>
      <c r="JU3" s="171" t="s">
        <v>2350</v>
      </c>
      <c r="JV3" s="171" t="s">
        <v>2351</v>
      </c>
      <c r="JW3" s="172" t="s">
        <v>2352</v>
      </c>
      <c r="JX3" s="6" t="s">
        <v>2480</v>
      </c>
      <c r="KB3" s="178" t="s">
        <v>2478</v>
      </c>
      <c r="KC3" s="140" t="s">
        <v>2479</v>
      </c>
      <c r="KD3" s="139">
        <v>8</v>
      </c>
      <c r="KE3" s="139">
        <v>8</v>
      </c>
      <c r="KF3" s="137">
        <f t="shared" si="1"/>
        <v>1</v>
      </c>
      <c r="KG3" s="179"/>
      <c r="KH3" s="175" t="s">
        <v>1189</v>
      </c>
      <c r="KI3" s="171" t="s">
        <v>2338</v>
      </c>
      <c r="KJ3" s="171" t="s">
        <v>2339</v>
      </c>
      <c r="KK3" s="171" t="s">
        <v>2340</v>
      </c>
      <c r="KL3" s="172" t="s">
        <v>2341</v>
      </c>
      <c r="KM3" s="6" t="s">
        <v>2480</v>
      </c>
      <c r="KN3" s="176" t="s">
        <v>2343</v>
      </c>
      <c r="KO3" s="171" t="s">
        <v>2344</v>
      </c>
      <c r="KP3" s="171" t="s">
        <v>2345</v>
      </c>
      <c r="KQ3" s="172" t="s">
        <v>2346</v>
      </c>
      <c r="KR3" s="6" t="s">
        <v>2480</v>
      </c>
      <c r="KS3" s="177" t="s">
        <v>2348</v>
      </c>
      <c r="KT3" s="171" t="s">
        <v>2349</v>
      </c>
      <c r="KU3" s="171" t="s">
        <v>2350</v>
      </c>
      <c r="KV3" s="171" t="s">
        <v>2351</v>
      </c>
      <c r="KW3" s="172" t="s">
        <v>2352</v>
      </c>
      <c r="KX3" s="6" t="s">
        <v>2480</v>
      </c>
      <c r="LE3" s="168"/>
      <c r="LF3" s="3">
        <v>2</v>
      </c>
      <c r="LG3" s="2" t="s">
        <v>2430</v>
      </c>
      <c r="LH3" s="157"/>
      <c r="LI3" s="3" t="s">
        <v>2433</v>
      </c>
      <c r="LJ3" s="3" t="s">
        <v>2433</v>
      </c>
      <c r="LK3" s="3" t="s">
        <v>2433</v>
      </c>
      <c r="LL3" s="3" t="s">
        <v>2433</v>
      </c>
      <c r="LM3" s="2"/>
      <c r="LN3" s="93"/>
      <c r="LO3" s="3" t="s">
        <v>2433</v>
      </c>
      <c r="LP3" s="3" t="s">
        <v>2433</v>
      </c>
      <c r="LQ3" s="3" t="s">
        <v>2433</v>
      </c>
      <c r="LR3" s="2"/>
      <c r="LS3" s="85"/>
      <c r="LT3" s="3" t="s">
        <v>2435</v>
      </c>
      <c r="LU3" s="3" t="s">
        <v>2435</v>
      </c>
      <c r="LV3" s="3" t="s">
        <v>2435</v>
      </c>
      <c r="LW3" s="3" t="s">
        <v>2435</v>
      </c>
      <c r="LX3" s="2"/>
      <c r="LY3" s="168"/>
      <c r="LZ3" s="2" t="s">
        <v>2430</v>
      </c>
      <c r="MA3" s="2" t="s">
        <v>2436</v>
      </c>
      <c r="MB3" s="3" t="s">
        <v>2431</v>
      </c>
      <c r="MC3" s="3" t="s">
        <v>2433</v>
      </c>
      <c r="MD3" s="3" t="s">
        <v>2432</v>
      </c>
      <c r="ME3" s="3" t="s">
        <v>2431</v>
      </c>
      <c r="MF3" s="3" t="s">
        <v>2433</v>
      </c>
      <c r="MG3" s="3" t="s">
        <v>2432</v>
      </c>
      <c r="MH3" s="3" t="s">
        <v>2433</v>
      </c>
      <c r="MI3" s="3" t="s">
        <v>2433</v>
      </c>
      <c r="MJ3" s="2"/>
      <c r="MN3" s="408" t="s">
        <v>2481</v>
      </c>
      <c r="MO3" s="409" t="s">
        <v>2482</v>
      </c>
      <c r="MP3" s="410" t="s">
        <v>2483</v>
      </c>
      <c r="MQ3" s="410" t="s">
        <v>2484</v>
      </c>
      <c r="MR3" s="410" t="s">
        <v>2485</v>
      </c>
      <c r="MU3" s="409" t="s">
        <v>2486</v>
      </c>
      <c r="MV3" s="409" t="s">
        <v>2487</v>
      </c>
      <c r="MZ3" s="437" t="s">
        <v>2488</v>
      </c>
      <c r="NL3" s="441">
        <v>2</v>
      </c>
      <c r="NM3" s="2" t="s">
        <v>2489</v>
      </c>
      <c r="NN3" s="444" t="s">
        <v>2490</v>
      </c>
      <c r="NO3" s="2">
        <v>6986437802</v>
      </c>
      <c r="NP3" s="2" t="s">
        <v>2491</v>
      </c>
      <c r="NQ3" s="2"/>
      <c r="NR3" s="2" t="s">
        <v>2492</v>
      </c>
      <c r="NS3" s="2" t="s">
        <v>2493</v>
      </c>
    </row>
    <row r="4" spans="1:383" s="138" customFormat="1" ht="409.6" thickTop="1" thickBot="1">
      <c r="A4" s="929">
        <v>3</v>
      </c>
      <c r="B4" s="930" t="s">
        <v>2389</v>
      </c>
      <c r="C4" s="931" t="s">
        <v>746</v>
      </c>
      <c r="D4" s="931">
        <v>6986437802</v>
      </c>
      <c r="E4" s="932" t="s">
        <v>2490</v>
      </c>
      <c r="F4" s="1386" t="s">
        <v>2379</v>
      </c>
      <c r="G4" s="1387"/>
      <c r="H4" s="1388"/>
      <c r="I4" s="933"/>
      <c r="J4" s="904"/>
      <c r="L4" s="186"/>
      <c r="M4" s="3">
        <v>4</v>
      </c>
      <c r="O4" s="369" t="s">
        <v>2494</v>
      </c>
      <c r="P4" s="369">
        <f>SUM(P2:P3)</f>
        <v>66</v>
      </c>
      <c r="R4" s="934" t="s">
        <v>509</v>
      </c>
      <c r="S4" s="935" t="s">
        <v>510</v>
      </c>
      <c r="T4" s="936" t="s">
        <v>512</v>
      </c>
      <c r="U4" s="937" t="s">
        <v>511</v>
      </c>
      <c r="V4" s="938"/>
      <c r="W4" s="3">
        <v>5</v>
      </c>
      <c r="X4" s="882" t="s">
        <v>2445</v>
      </c>
      <c r="Y4" s="882" t="s">
        <v>2445</v>
      </c>
      <c r="AB4" s="159" t="s">
        <v>2495</v>
      </c>
      <c r="AC4" s="159" t="s">
        <v>692</v>
      </c>
      <c r="AD4" s="496">
        <v>66</v>
      </c>
      <c r="AE4" s="496">
        <v>36</v>
      </c>
      <c r="AF4" s="496">
        <v>27</v>
      </c>
      <c r="AG4" s="496">
        <v>15</v>
      </c>
      <c r="AH4" s="7">
        <f t="shared" si="2"/>
        <v>144</v>
      </c>
      <c r="AI4" s="3" t="s">
        <v>2387</v>
      </c>
      <c r="AM4" s="1306"/>
      <c r="AN4" s="1306"/>
      <c r="AO4" s="1304"/>
      <c r="AP4" s="1304"/>
      <c r="AS4" s="1304"/>
      <c r="AT4" s="1306"/>
      <c r="AU4" s="1304"/>
      <c r="AV4" s="1304"/>
      <c r="AY4" s="1304"/>
      <c r="AZ4" s="1304"/>
      <c r="BA4" s="1304"/>
      <c r="BC4" s="322" t="s">
        <v>2496</v>
      </c>
      <c r="BE4" s="939">
        <f>5+5+5+5</f>
        <v>20</v>
      </c>
      <c r="BF4" s="939">
        <f>5+5</f>
        <v>10</v>
      </c>
      <c r="BG4" s="939">
        <f>5+5</f>
        <v>10</v>
      </c>
      <c r="BI4" s="138">
        <f>5</f>
        <v>5</v>
      </c>
      <c r="BJ4" s="138">
        <f>5</f>
        <v>5</v>
      </c>
      <c r="BL4" s="331">
        <v>9</v>
      </c>
      <c r="BM4" s="322" t="s">
        <v>2497</v>
      </c>
      <c r="BN4" s="138">
        <f>2+2</f>
        <v>4</v>
      </c>
      <c r="BO4" s="138">
        <f>2</f>
        <v>2</v>
      </c>
      <c r="BP4" s="138">
        <f>2+2</f>
        <v>4</v>
      </c>
      <c r="BS4" s="138">
        <f>2</f>
        <v>2</v>
      </c>
      <c r="BV4" s="138">
        <f>2+2</f>
        <v>4</v>
      </c>
      <c r="BW4" s="138">
        <f>2+2</f>
        <v>4</v>
      </c>
      <c r="BZ4" s="138">
        <f>2</f>
        <v>2</v>
      </c>
      <c r="CA4" s="325">
        <v>5</v>
      </c>
      <c r="CB4" s="2" t="s">
        <v>2498</v>
      </c>
      <c r="CC4" s="138">
        <f>2</f>
        <v>2</v>
      </c>
      <c r="CD4" s="939">
        <f>3+8+3+3</f>
        <v>17</v>
      </c>
      <c r="CE4" s="939">
        <f>7+8+3</f>
        <v>18</v>
      </c>
      <c r="CF4" s="138">
        <f>7</f>
        <v>7</v>
      </c>
      <c r="CG4" s="939">
        <f>7+5+8+3</f>
        <v>23</v>
      </c>
      <c r="CJ4" s="331">
        <v>11</v>
      </c>
      <c r="CK4" s="322" t="s">
        <v>1208</v>
      </c>
      <c r="CL4" s="939">
        <f>2+2+2+2+1+2</f>
        <v>11</v>
      </c>
      <c r="CM4" s="939">
        <f>2+2+2+1+2</f>
        <v>9</v>
      </c>
      <c r="CN4" s="939">
        <f>2+2+1+2</f>
        <v>7</v>
      </c>
      <c r="CO4" s="939">
        <f>2+2+2+2</f>
        <v>8</v>
      </c>
      <c r="CP4" s="138">
        <f>2+2</f>
        <v>4</v>
      </c>
      <c r="CQ4" s="325">
        <v>5</v>
      </c>
      <c r="CR4" s="322" t="s">
        <v>2499</v>
      </c>
      <c r="CS4" s="138">
        <f>2</f>
        <v>2</v>
      </c>
      <c r="CT4" s="939">
        <f>2+2+2+2</f>
        <v>8</v>
      </c>
      <c r="CV4" s="138">
        <f>1+2+2</f>
        <v>5</v>
      </c>
      <c r="CW4" s="939">
        <f>2+2+2</f>
        <v>6</v>
      </c>
      <c r="CX4" s="138">
        <f>2</f>
        <v>2</v>
      </c>
      <c r="CY4" s="331">
        <v>5</v>
      </c>
      <c r="CZ4" s="322" t="s">
        <v>2424</v>
      </c>
      <c r="DF4" s="325">
        <v>5</v>
      </c>
      <c r="DI4" s="2" t="s">
        <v>2500</v>
      </c>
      <c r="DJ4" s="2" t="s">
        <v>2501</v>
      </c>
      <c r="DK4" s="2" t="s">
        <v>2502</v>
      </c>
      <c r="DL4" s="2" t="s">
        <v>2503</v>
      </c>
      <c r="DM4" s="928"/>
      <c r="DN4" s="1145"/>
      <c r="DO4" s="1145"/>
      <c r="DP4" s="1145"/>
      <c r="DQ4" s="1145"/>
      <c r="DU4" s="93" t="s">
        <v>2501</v>
      </c>
      <c r="DV4" s="93" t="s">
        <v>2502</v>
      </c>
      <c r="DW4" s="93" t="s">
        <v>2503</v>
      </c>
      <c r="DX4" s="93" t="s">
        <v>2504</v>
      </c>
      <c r="EA4" s="2">
        <v>3</v>
      </c>
      <c r="EB4" s="2" t="s">
        <v>509</v>
      </c>
      <c r="EC4" s="2" t="s">
        <v>2505</v>
      </c>
      <c r="ED4" s="2" t="s">
        <v>2506</v>
      </c>
      <c r="EE4" s="2" t="s">
        <v>2460</v>
      </c>
      <c r="EF4" s="2" t="s">
        <v>2507</v>
      </c>
      <c r="EI4" s="261" t="s">
        <v>2508</v>
      </c>
      <c r="EJ4" s="192" t="s">
        <v>2509</v>
      </c>
      <c r="EK4" s="194" t="s">
        <v>606</v>
      </c>
      <c r="EL4" s="191" t="s">
        <v>2510</v>
      </c>
      <c r="EM4" s="197" t="s">
        <v>2511</v>
      </c>
      <c r="EO4" s="148" t="s">
        <v>2512</v>
      </c>
      <c r="EP4" s="283" t="s">
        <v>2387</v>
      </c>
      <c r="EV4" s="2"/>
      <c r="EW4" s="349" t="s">
        <v>2462</v>
      </c>
      <c r="EX4" s="340" t="s">
        <v>2513</v>
      </c>
      <c r="EY4" s="351" t="s">
        <v>2514</v>
      </c>
      <c r="EZ4" s="338" t="s">
        <v>2515</v>
      </c>
      <c r="FB4" s="148" t="s">
        <v>2512</v>
      </c>
      <c r="FC4" s="283" t="s">
        <v>2387</v>
      </c>
      <c r="FK4" s="103" t="s">
        <v>2516</v>
      </c>
      <c r="FL4" s="97" t="s">
        <v>2517</v>
      </c>
      <c r="FM4" s="97" t="s">
        <v>2518</v>
      </c>
      <c r="FN4" s="98" t="s">
        <v>2519</v>
      </c>
      <c r="FO4" s="122" t="s">
        <v>2520</v>
      </c>
      <c r="FP4" s="98"/>
      <c r="FQ4" s="98"/>
      <c r="FR4" s="99"/>
      <c r="FV4" s="53" t="s">
        <v>2521</v>
      </c>
      <c r="FW4" s="48" t="s">
        <v>2522</v>
      </c>
      <c r="FX4" s="268" t="s">
        <v>509</v>
      </c>
      <c r="FY4" s="48" t="s">
        <v>510</v>
      </c>
      <c r="FZ4" s="48" t="s">
        <v>512</v>
      </c>
      <c r="GA4" s="51">
        <v>6946076210</v>
      </c>
      <c r="GB4" s="927"/>
      <c r="GG4" s="178" t="s">
        <v>2523</v>
      </c>
      <c r="GH4" s="140" t="s">
        <v>2524</v>
      </c>
      <c r="GI4" s="139">
        <v>2</v>
      </c>
      <c r="GJ4" s="139">
        <v>6</v>
      </c>
      <c r="GK4" s="137">
        <f t="shared" si="0"/>
        <v>0.33333333333333331</v>
      </c>
      <c r="GL4" s="180"/>
      <c r="GM4" s="184" t="s">
        <v>2525</v>
      </c>
      <c r="GN4" s="173">
        <f>COUNTIF(HN2:HN425,"κακή")</f>
        <v>0</v>
      </c>
      <c r="GO4" s="173">
        <f>COUNTIF(HO2:HO425,"κακή")</f>
        <v>0</v>
      </c>
      <c r="GP4" s="173">
        <f>COUNTIF(HP2:HP425,"κακή")</f>
        <v>0</v>
      </c>
      <c r="GQ4" s="174">
        <f>COUNTIF(HQ2:HQ425,"κακή")</f>
        <v>0</v>
      </c>
      <c r="GR4" s="170">
        <f>SUM(GN4:GQ4)</f>
        <v>0</v>
      </c>
      <c r="GS4" s="184" t="s">
        <v>2525</v>
      </c>
      <c r="GT4" s="48">
        <f>COUNTIF(HT2:HT350,"κακή")</f>
        <v>0</v>
      </c>
      <c r="GU4" s="48">
        <f>COUNTIF(HU2:HU350,"κακή")</f>
        <v>1</v>
      </c>
      <c r="GV4" s="100">
        <f>COUNTIF(HV2:HV350,"κακή")</f>
        <v>0</v>
      </c>
      <c r="GW4" s="170">
        <f>SUM(GS4:GV4)</f>
        <v>1</v>
      </c>
      <c r="GX4" s="184" t="s">
        <v>2525</v>
      </c>
      <c r="GY4" s="48">
        <f>COUNTIF(HY2:HY425,"κακή")</f>
        <v>1</v>
      </c>
      <c r="GZ4" s="48">
        <f>COUNTIF(HZ2:HZ425,"κακή")</f>
        <v>2</v>
      </c>
      <c r="HA4" s="48">
        <f>COUNTIF(IA2:IA425,"κακή")</f>
        <v>4</v>
      </c>
      <c r="HB4" s="100">
        <f>COUNTIF(IB2:IB425,"κακή")</f>
        <v>1</v>
      </c>
      <c r="HC4" s="170">
        <f>SUM(GY4:HB4)</f>
        <v>8</v>
      </c>
      <c r="HJ4" s="168"/>
      <c r="HK4" s="3">
        <v>3</v>
      </c>
      <c r="HL4" s="2" t="s">
        <v>2430</v>
      </c>
      <c r="HM4" s="157"/>
      <c r="HN4" s="3" t="s">
        <v>2432</v>
      </c>
      <c r="HO4" s="3" t="s">
        <v>2432</v>
      </c>
      <c r="HP4" s="3" t="s">
        <v>2432</v>
      </c>
      <c r="HQ4" s="3" t="s">
        <v>2432</v>
      </c>
      <c r="HR4" s="2" t="s">
        <v>2526</v>
      </c>
      <c r="HS4" s="93"/>
      <c r="HT4" s="3" t="s">
        <v>2435</v>
      </c>
      <c r="HU4" s="3" t="s">
        <v>2432</v>
      </c>
      <c r="HV4" s="3" t="s">
        <v>2435</v>
      </c>
      <c r="HW4" s="2"/>
      <c r="HX4" s="85"/>
      <c r="HY4" s="3" t="s">
        <v>2432</v>
      </c>
      <c r="HZ4" s="3" t="s">
        <v>2432</v>
      </c>
      <c r="IA4" s="3" t="s">
        <v>2435</v>
      </c>
      <c r="IB4" s="3" t="s">
        <v>2435</v>
      </c>
      <c r="IC4" s="2"/>
      <c r="ID4" s="168"/>
      <c r="IE4" s="2" t="s">
        <v>2430</v>
      </c>
      <c r="IF4" s="2" t="s">
        <v>2436</v>
      </c>
      <c r="IG4" s="3" t="s">
        <v>2432</v>
      </c>
      <c r="IH4" s="3" t="s">
        <v>2432</v>
      </c>
      <c r="II4" s="3" t="s">
        <v>2435</v>
      </c>
      <c r="IJ4" s="3" t="s">
        <v>2432</v>
      </c>
      <c r="IK4" s="3" t="s">
        <v>2432</v>
      </c>
      <c r="IL4" s="3" t="s">
        <v>2434</v>
      </c>
      <c r="IM4" s="3" t="s">
        <v>2432</v>
      </c>
      <c r="IN4" s="3" t="s">
        <v>2432</v>
      </c>
      <c r="IO4" s="2" t="s">
        <v>2527</v>
      </c>
      <c r="JH4" s="184" t="s">
        <v>2525</v>
      </c>
      <c r="JI4" s="173" t="e">
        <f>#REF!</f>
        <v>#REF!</v>
      </c>
      <c r="JJ4" s="173" t="e">
        <f>#REF!</f>
        <v>#REF!</v>
      </c>
      <c r="JK4" s="173" t="e">
        <f>#REF!</f>
        <v>#REF!</v>
      </c>
      <c r="JL4" s="173" t="e">
        <f>#REF!</f>
        <v>#REF!</v>
      </c>
      <c r="JM4" s="170" t="e">
        <f>SUM(JI4:JL4)</f>
        <v>#REF!</v>
      </c>
      <c r="JN4" s="184" t="s">
        <v>2525</v>
      </c>
      <c r="JO4" s="48" t="e">
        <f>#REF!</f>
        <v>#REF!</v>
      </c>
      <c r="JP4" s="48" t="e">
        <f>#REF!</f>
        <v>#REF!</v>
      </c>
      <c r="JQ4" s="48" t="e">
        <f>#REF!</f>
        <v>#REF!</v>
      </c>
      <c r="JR4" s="170" t="e">
        <f>SUM(JN4:JQ4)</f>
        <v>#REF!</v>
      </c>
      <c r="JS4" s="184" t="s">
        <v>2525</v>
      </c>
      <c r="JT4" s="48" t="e">
        <f>#REF!</f>
        <v>#REF!</v>
      </c>
      <c r="JU4" s="48" t="e">
        <f>#REF!</f>
        <v>#REF!</v>
      </c>
      <c r="JV4" s="48" t="e">
        <f>#REF!</f>
        <v>#REF!</v>
      </c>
      <c r="JW4" s="48" t="e">
        <f>#REF!</f>
        <v>#REF!</v>
      </c>
      <c r="JX4" s="202" t="e">
        <f>SUM(JT4:JW4)</f>
        <v>#REF!</v>
      </c>
      <c r="KB4" s="178" t="s">
        <v>2523</v>
      </c>
      <c r="KC4" s="140" t="s">
        <v>2524</v>
      </c>
      <c r="KD4" s="139">
        <v>2</v>
      </c>
      <c r="KE4" s="139">
        <v>6</v>
      </c>
      <c r="KF4" s="137">
        <f t="shared" si="1"/>
        <v>0.33333333333333331</v>
      </c>
      <c r="KG4" s="180"/>
      <c r="KH4" s="184" t="s">
        <v>2525</v>
      </c>
      <c r="KI4" s="173">
        <f>COUNTIF(LI2:LI425,"κακή")</f>
        <v>0</v>
      </c>
      <c r="KJ4" s="173">
        <f>COUNTIF(LJ2:LJ425,"κακή")</f>
        <v>0</v>
      </c>
      <c r="KK4" s="173">
        <f>COUNTIF(LK2:LK425,"κακή")</f>
        <v>0</v>
      </c>
      <c r="KL4" s="174">
        <f>COUNTIF(LL2:LL425,"κακή")</f>
        <v>0</v>
      </c>
      <c r="KM4" s="170">
        <f>SUM(KI4:KL4)</f>
        <v>0</v>
      </c>
      <c r="KN4" s="184" t="s">
        <v>2525</v>
      </c>
      <c r="KO4" s="48">
        <f>COUNTIF(LO2:LO350,"κακή")</f>
        <v>0</v>
      </c>
      <c r="KP4" s="48">
        <f>COUNTIF(LP2:LP350,"κακή")</f>
        <v>1</v>
      </c>
      <c r="KQ4" s="100">
        <f>COUNTIF(LQ2:LQ350,"κακή")</f>
        <v>0</v>
      </c>
      <c r="KR4" s="170">
        <f>SUM(KN4:KQ4)</f>
        <v>1</v>
      </c>
      <c r="KS4" s="184" t="s">
        <v>2525</v>
      </c>
      <c r="KT4" s="48">
        <f>COUNTIF(LT2:LT425,"κακή")</f>
        <v>1</v>
      </c>
      <c r="KU4" s="48">
        <f>COUNTIF(LU2:LU425,"κακή")</f>
        <v>2</v>
      </c>
      <c r="KV4" s="48">
        <f>COUNTIF(LV2:LV425,"κακή")</f>
        <v>4</v>
      </c>
      <c r="KW4" s="100">
        <f>COUNTIF(LW2:LW425,"κακή")</f>
        <v>1</v>
      </c>
      <c r="KX4" s="170">
        <f>SUM(KT4:KW4)</f>
        <v>8</v>
      </c>
      <c r="LE4" s="168"/>
      <c r="LF4" s="3">
        <v>3</v>
      </c>
      <c r="LG4" s="2" t="s">
        <v>2430</v>
      </c>
      <c r="LH4" s="157"/>
      <c r="LI4" s="3" t="s">
        <v>2432</v>
      </c>
      <c r="LJ4" s="3" t="s">
        <v>2432</v>
      </c>
      <c r="LK4" s="3" t="s">
        <v>2432</v>
      </c>
      <c r="LL4" s="3" t="s">
        <v>2432</v>
      </c>
      <c r="LM4" s="2" t="s">
        <v>2526</v>
      </c>
      <c r="LN4" s="93"/>
      <c r="LO4" s="3" t="s">
        <v>2435</v>
      </c>
      <c r="LP4" s="3" t="s">
        <v>2432</v>
      </c>
      <c r="LQ4" s="3" t="s">
        <v>2435</v>
      </c>
      <c r="LR4" s="2"/>
      <c r="LS4" s="85"/>
      <c r="LT4" s="3" t="s">
        <v>2432</v>
      </c>
      <c r="LU4" s="3" t="s">
        <v>2432</v>
      </c>
      <c r="LV4" s="3" t="s">
        <v>2435</v>
      </c>
      <c r="LW4" s="3" t="s">
        <v>2435</v>
      </c>
      <c r="LX4" s="2"/>
      <c r="LY4" s="168"/>
      <c r="LZ4" s="2" t="s">
        <v>2430</v>
      </c>
      <c r="MA4" s="2" t="s">
        <v>2436</v>
      </c>
      <c r="MB4" s="3" t="s">
        <v>2432</v>
      </c>
      <c r="MC4" s="3" t="s">
        <v>2432</v>
      </c>
      <c r="MD4" s="3" t="s">
        <v>2435</v>
      </c>
      <c r="ME4" s="3" t="s">
        <v>2432</v>
      </c>
      <c r="MF4" s="3" t="s">
        <v>2432</v>
      </c>
      <c r="MG4" s="3" t="s">
        <v>2434</v>
      </c>
      <c r="MH4" s="3" t="s">
        <v>2432</v>
      </c>
      <c r="MI4" s="3" t="s">
        <v>2432</v>
      </c>
      <c r="MJ4" s="2" t="s">
        <v>2527</v>
      </c>
      <c r="MN4" s="408" t="s">
        <v>1955</v>
      </c>
      <c r="MO4" s="928"/>
      <c r="MP4" s="409" t="s">
        <v>2528</v>
      </c>
      <c r="MQ4" s="928"/>
      <c r="MS4" s="928"/>
      <c r="MZ4" s="940" t="s">
        <v>2529</v>
      </c>
      <c r="NL4" s="442">
        <v>3</v>
      </c>
      <c r="NM4" s="2" t="s">
        <v>2530</v>
      </c>
      <c r="NN4" s="443" t="s">
        <v>678</v>
      </c>
      <c r="NO4" s="2">
        <v>6978163340</v>
      </c>
      <c r="NP4" s="2" t="s">
        <v>2531</v>
      </c>
      <c r="NQ4" s="2" t="s">
        <v>2532</v>
      </c>
      <c r="NR4" s="2" t="s">
        <v>2533</v>
      </c>
      <c r="NS4" s="2"/>
    </row>
    <row r="5" spans="1:383" ht="376.5" thickTop="1" thickBot="1">
      <c r="A5" s="65">
        <v>4</v>
      </c>
      <c r="B5" s="55" t="s">
        <v>2390</v>
      </c>
      <c r="C5" s="10" t="s">
        <v>544</v>
      </c>
      <c r="D5" s="10">
        <v>6973021250</v>
      </c>
      <c r="E5" s="27" t="s">
        <v>2534</v>
      </c>
      <c r="F5" s="1386" t="s">
        <v>2379</v>
      </c>
      <c r="G5" s="1387"/>
      <c r="H5" s="1388"/>
      <c r="I5" s="300" t="s">
        <v>474</v>
      </c>
      <c r="J5" s="198"/>
      <c r="M5" s="3">
        <v>3</v>
      </c>
      <c r="O5" s="370" t="s">
        <v>2535</v>
      </c>
      <c r="P5" s="371" t="e">
        <f>O50</f>
        <v>#REF!</v>
      </c>
      <c r="R5" s="398" t="s">
        <v>2495</v>
      </c>
      <c r="S5" s="20" t="s">
        <v>692</v>
      </c>
      <c r="T5" s="39" t="s">
        <v>2536</v>
      </c>
      <c r="U5" s="399">
        <v>6944640433</v>
      </c>
      <c r="V5" s="400"/>
      <c r="W5" s="368">
        <v>1</v>
      </c>
      <c r="X5" s="397" t="s">
        <v>2385</v>
      </c>
      <c r="Y5" s="397" t="s">
        <v>2385</v>
      </c>
      <c r="Z5" s="90"/>
      <c r="AB5" s="346" t="s">
        <v>575</v>
      </c>
      <c r="AC5" s="346" t="s">
        <v>576</v>
      </c>
      <c r="AD5" s="17">
        <v>70</v>
      </c>
      <c r="AE5" s="17">
        <v>28</v>
      </c>
      <c r="AF5" s="17">
        <v>47</v>
      </c>
      <c r="AG5" s="17">
        <v>5</v>
      </c>
      <c r="AH5" s="361">
        <f t="shared" si="2"/>
        <v>150</v>
      </c>
      <c r="AI5" s="136" t="s">
        <v>2387</v>
      </c>
      <c r="AM5" s="273">
        <v>45784</v>
      </c>
      <c r="AN5" s="274" t="s">
        <v>2537</v>
      </c>
      <c r="AO5" s="274"/>
      <c r="AP5" s="274"/>
      <c r="AS5" s="273">
        <v>45812</v>
      </c>
      <c r="AT5" s="274" t="s">
        <v>2537</v>
      </c>
      <c r="AU5" s="274"/>
      <c r="AV5" s="274"/>
      <c r="AY5" s="382"/>
      <c r="AZ5" s="383"/>
      <c r="BA5" s="383"/>
      <c r="BC5" s="322" t="s">
        <v>2538</v>
      </c>
      <c r="BD5">
        <f>6+6+6+5+5</f>
        <v>28</v>
      </c>
      <c r="BE5">
        <f>3+1+1+3+5+1+1</f>
        <v>15</v>
      </c>
      <c r="BF5">
        <f>1+1+5+3+3</f>
        <v>13</v>
      </c>
      <c r="BG5">
        <f>3+1+5+1+3+6+3+5</f>
        <v>27</v>
      </c>
      <c r="BI5">
        <f>1+6+1</f>
        <v>8</v>
      </c>
      <c r="BJ5">
        <f>5+1</f>
        <v>6</v>
      </c>
      <c r="BK5">
        <v>5</v>
      </c>
      <c r="BL5" s="331">
        <v>32</v>
      </c>
      <c r="BM5" s="322" t="s">
        <v>1192</v>
      </c>
      <c r="BN5">
        <f>4+1</f>
        <v>5</v>
      </c>
      <c r="BO5">
        <f>5</f>
        <v>5</v>
      </c>
      <c r="BP5">
        <f>5+4</f>
        <v>9</v>
      </c>
      <c r="BS5">
        <f>5</f>
        <v>5</v>
      </c>
      <c r="BU5">
        <f>5</f>
        <v>5</v>
      </c>
      <c r="BV5">
        <f>5+4</f>
        <v>9</v>
      </c>
      <c r="BW5">
        <f>5+4</f>
        <v>9</v>
      </c>
      <c r="BZ5">
        <f>4</f>
        <v>4</v>
      </c>
      <c r="CA5" s="325">
        <v>9</v>
      </c>
      <c r="CB5" s="2" t="s">
        <v>2539</v>
      </c>
      <c r="CC5">
        <f>3</f>
        <v>3</v>
      </c>
      <c r="CD5" s="324">
        <f>3+6+3+1</f>
        <v>13</v>
      </c>
      <c r="CE5">
        <f>6</f>
        <v>6</v>
      </c>
      <c r="CG5">
        <f>3+6</f>
        <v>9</v>
      </c>
      <c r="CH5">
        <f>3</f>
        <v>3</v>
      </c>
      <c r="CI5">
        <f>1</f>
        <v>1</v>
      </c>
      <c r="CJ5" s="331">
        <v>11</v>
      </c>
      <c r="CK5" s="322" t="s">
        <v>2540</v>
      </c>
      <c r="CL5">
        <v>2</v>
      </c>
      <c r="CM5" s="324">
        <f>2+2+2</f>
        <v>6</v>
      </c>
      <c r="CN5" s="324">
        <f>2+2+2</f>
        <v>6</v>
      </c>
      <c r="CO5">
        <f>2</f>
        <v>2</v>
      </c>
      <c r="CP5">
        <f>2</f>
        <v>2</v>
      </c>
      <c r="CQ5" s="325">
        <v>5</v>
      </c>
      <c r="CR5" s="322" t="s">
        <v>2541</v>
      </c>
      <c r="CT5" s="324">
        <f>6+6+6+3+2+2+3+2+3</f>
        <v>33</v>
      </c>
      <c r="CU5">
        <f>2</f>
        <v>2</v>
      </c>
      <c r="CV5" s="324">
        <f>6+6+6+3+2+3+2</f>
        <v>28</v>
      </c>
      <c r="CW5" s="324">
        <f>6+6+2+3+2</f>
        <v>19</v>
      </c>
      <c r="CY5" s="331">
        <v>18</v>
      </c>
      <c r="CZ5" s="322" t="s">
        <v>2542</v>
      </c>
      <c r="DF5" s="325">
        <v>2</v>
      </c>
      <c r="DI5" s="2" t="s">
        <v>2543</v>
      </c>
      <c r="DJ5" s="82" t="s">
        <v>2544</v>
      </c>
      <c r="DK5" s="2" t="s">
        <v>2545</v>
      </c>
      <c r="DL5" s="2" t="s">
        <v>2546</v>
      </c>
      <c r="DM5" s="81"/>
      <c r="DN5" s="1145"/>
      <c r="DO5" s="1145"/>
      <c r="DP5" s="1145"/>
      <c r="DQ5" s="1145"/>
      <c r="DU5" s="92" t="s">
        <v>2544</v>
      </c>
      <c r="DV5" s="93" t="s">
        <v>2545</v>
      </c>
      <c r="DW5" s="93" t="s">
        <v>2546</v>
      </c>
      <c r="DX5" s="93" t="s">
        <v>2547</v>
      </c>
      <c r="EA5" s="82">
        <v>4</v>
      </c>
      <c r="EB5" s="82" t="s">
        <v>603</v>
      </c>
      <c r="EC5" s="82" t="s">
        <v>2505</v>
      </c>
      <c r="ED5" s="82" t="s">
        <v>2548</v>
      </c>
      <c r="EE5" s="82" t="s">
        <v>2549</v>
      </c>
      <c r="EF5" s="82" t="s">
        <v>2507</v>
      </c>
      <c r="EI5" s="195" t="s">
        <v>2550</v>
      </c>
      <c r="EJ5" s="192" t="s">
        <v>2551</v>
      </c>
      <c r="EK5" s="259" t="s">
        <v>614</v>
      </c>
      <c r="EL5" s="265" t="s">
        <v>2468</v>
      </c>
      <c r="EM5" s="267" t="s">
        <v>2552</v>
      </c>
      <c r="EO5" s="149" t="s">
        <v>2553</v>
      </c>
      <c r="EP5" s="296" t="s">
        <v>2387</v>
      </c>
      <c r="EV5" s="2"/>
      <c r="EW5" s="342" t="s">
        <v>2552</v>
      </c>
      <c r="EX5" s="343" t="s">
        <v>2422</v>
      </c>
      <c r="EY5" s="189" t="s">
        <v>2554</v>
      </c>
      <c r="EZ5" s="338" t="s">
        <v>2542</v>
      </c>
      <c r="FB5" s="149" t="s">
        <v>2553</v>
      </c>
      <c r="FC5" s="296" t="s">
        <v>2387</v>
      </c>
      <c r="FK5" s="104" t="s">
        <v>2516</v>
      </c>
      <c r="FL5" s="53" t="s">
        <v>2555</v>
      </c>
      <c r="FM5" s="53" t="s">
        <v>2518</v>
      </c>
      <c r="FN5" s="48" t="s">
        <v>2556</v>
      </c>
      <c r="FO5" s="122" t="s">
        <v>2520</v>
      </c>
      <c r="FP5" s="48"/>
      <c r="FQ5" s="48"/>
      <c r="FR5" s="100"/>
      <c r="FV5" s="53" t="s">
        <v>2557</v>
      </c>
      <c r="FW5" s="48" t="s">
        <v>2558</v>
      </c>
      <c r="FX5" s="268" t="s">
        <v>2495</v>
      </c>
      <c r="FY5" s="48" t="s">
        <v>692</v>
      </c>
      <c r="FZ5" s="48" t="s">
        <v>2536</v>
      </c>
      <c r="GA5" s="51">
        <v>6944640433</v>
      </c>
      <c r="GB5" s="54" t="s">
        <v>2559</v>
      </c>
      <c r="GG5" s="178" t="s">
        <v>2560</v>
      </c>
      <c r="GH5" s="140" t="s">
        <v>2561</v>
      </c>
      <c r="GI5" s="139">
        <v>5</v>
      </c>
      <c r="GJ5" s="139">
        <v>8</v>
      </c>
      <c r="GK5" s="137">
        <f t="shared" si="0"/>
        <v>0.625</v>
      </c>
      <c r="GL5" s="180"/>
      <c r="GM5" s="184" t="s">
        <v>2435</v>
      </c>
      <c r="GN5" s="173">
        <f>COUNTIF(HN2:HN425,"μέτρια")</f>
        <v>0</v>
      </c>
      <c r="GO5" s="173">
        <f>COUNTIF(HO2:HO425,"μέτρια")</f>
        <v>1</v>
      </c>
      <c r="GP5" s="173">
        <f>COUNTIF(HP2:HP425,"μέτρια")</f>
        <v>0</v>
      </c>
      <c r="GQ5" s="174">
        <f>COUNTIF(HQ2:HQ425,"μέτρια")</f>
        <v>2</v>
      </c>
      <c r="GR5" s="170">
        <f>SUM(GN5:GQ5)</f>
        <v>3</v>
      </c>
      <c r="GS5" s="184" t="s">
        <v>2435</v>
      </c>
      <c r="GT5" s="48">
        <f>COUNTIF(HT2:HT350,"μέτρια")</f>
        <v>6</v>
      </c>
      <c r="GU5" s="48">
        <f>COUNTIF(HU2:HU350,"μέτρια")</f>
        <v>4</v>
      </c>
      <c r="GV5" s="100">
        <f>COUNTIF(HV2:HV350,"μέτρια")</f>
        <v>7</v>
      </c>
      <c r="GW5" s="170">
        <f>SUM(GS5:GV5)</f>
        <v>17</v>
      </c>
      <c r="GX5" s="184" t="s">
        <v>2435</v>
      </c>
      <c r="GY5" s="48">
        <f>COUNTIF(HY2:HY425,"μέτρια")</f>
        <v>13</v>
      </c>
      <c r="GZ5" s="48">
        <f>COUNTIF(HZ2:HZ425,"μέτρια")</f>
        <v>13</v>
      </c>
      <c r="HA5" s="48">
        <f>COUNTIF(IA2:IA425,"μέτρια")</f>
        <v>11</v>
      </c>
      <c r="HB5" s="100">
        <f>COUNTIF(IB2:IB425,"μέτρια")</f>
        <v>15</v>
      </c>
      <c r="HC5" s="170">
        <f>SUM(GY5:HB5)</f>
        <v>52</v>
      </c>
      <c r="HJ5" s="168"/>
      <c r="HK5" s="3">
        <v>4</v>
      </c>
      <c r="HL5" s="2" t="s">
        <v>2430</v>
      </c>
      <c r="HM5" s="157"/>
      <c r="HN5" s="3" t="s">
        <v>2432</v>
      </c>
      <c r="HO5" s="3" t="s">
        <v>2432</v>
      </c>
      <c r="HP5" s="3" t="s">
        <v>2432</v>
      </c>
      <c r="HQ5" s="3" t="s">
        <v>2432</v>
      </c>
      <c r="HR5" s="2" t="s">
        <v>2562</v>
      </c>
      <c r="HS5" s="93"/>
      <c r="HT5" s="3" t="s">
        <v>2432</v>
      </c>
      <c r="HU5" s="3" t="s">
        <v>2432</v>
      </c>
      <c r="HV5" s="3" t="s">
        <v>2432</v>
      </c>
      <c r="HW5" s="2" t="s">
        <v>2563</v>
      </c>
      <c r="HX5" s="85"/>
      <c r="HY5" s="3" t="s">
        <v>2435</v>
      </c>
      <c r="HZ5" s="3" t="s">
        <v>2434</v>
      </c>
      <c r="IA5" s="3" t="s">
        <v>2434</v>
      </c>
      <c r="IB5" s="3" t="s">
        <v>2435</v>
      </c>
      <c r="IC5" s="2" t="s">
        <v>2564</v>
      </c>
      <c r="ID5" s="168"/>
      <c r="IE5" s="2" t="s">
        <v>2430</v>
      </c>
      <c r="IF5" s="2" t="s">
        <v>2436</v>
      </c>
      <c r="IG5" s="3" t="s">
        <v>2433</v>
      </c>
      <c r="IH5" s="3" t="s">
        <v>2433</v>
      </c>
      <c r="II5" s="3" t="s">
        <v>2433</v>
      </c>
      <c r="IJ5" s="3" t="s">
        <v>2433</v>
      </c>
      <c r="IK5" s="3" t="s">
        <v>2433</v>
      </c>
      <c r="IL5" s="3" t="s">
        <v>2433</v>
      </c>
      <c r="IM5" s="3" t="s">
        <v>2433</v>
      </c>
      <c r="IN5" s="3" t="s">
        <v>2433</v>
      </c>
      <c r="IO5" s="2" t="s">
        <v>2565</v>
      </c>
      <c r="JH5" s="184" t="s">
        <v>2435</v>
      </c>
      <c r="JI5" s="173" t="e">
        <f>#REF!</f>
        <v>#REF!</v>
      </c>
      <c r="JJ5" s="173" t="e">
        <f>#REF!</f>
        <v>#REF!</v>
      </c>
      <c r="JK5" s="173" t="e">
        <f>#REF!</f>
        <v>#REF!</v>
      </c>
      <c r="JL5" s="173" t="e">
        <f>#REF!</f>
        <v>#REF!</v>
      </c>
      <c r="JM5" s="170" t="e">
        <f>SUM(JI5:JL5)</f>
        <v>#REF!</v>
      </c>
      <c r="JN5" s="184" t="s">
        <v>2435</v>
      </c>
      <c r="JO5" s="48" t="e">
        <f>#REF!</f>
        <v>#REF!</v>
      </c>
      <c r="JP5" s="48" t="e">
        <f>#REF!</f>
        <v>#REF!</v>
      </c>
      <c r="JQ5" s="48" t="e">
        <f>#REF!</f>
        <v>#REF!</v>
      </c>
      <c r="JR5" s="170" t="e">
        <f>SUM(JN5:JQ5)</f>
        <v>#REF!</v>
      </c>
      <c r="JS5" s="184" t="s">
        <v>2435</v>
      </c>
      <c r="JT5" s="48" t="e">
        <f>#REF!</f>
        <v>#REF!</v>
      </c>
      <c r="JU5" s="48" t="e">
        <f>#REF!</f>
        <v>#REF!</v>
      </c>
      <c r="JV5" s="48" t="e">
        <f>#REF!</f>
        <v>#REF!</v>
      </c>
      <c r="JW5" s="48" t="e">
        <f>#REF!</f>
        <v>#REF!</v>
      </c>
      <c r="JX5" s="202" t="e">
        <f>SUM(JT5:JW5)</f>
        <v>#REF!</v>
      </c>
      <c r="KB5" s="178" t="s">
        <v>2560</v>
      </c>
      <c r="KC5" s="140" t="s">
        <v>2561</v>
      </c>
      <c r="KD5" s="139">
        <v>5</v>
      </c>
      <c r="KE5" s="139">
        <v>8</v>
      </c>
      <c r="KF5" s="137">
        <f t="shared" si="1"/>
        <v>0.625</v>
      </c>
      <c r="KG5" s="180"/>
      <c r="KH5" s="184" t="s">
        <v>2435</v>
      </c>
      <c r="KI5" s="173">
        <f>COUNTIF(LI2:LI425,"μέτρια")</f>
        <v>0</v>
      </c>
      <c r="KJ5" s="173">
        <f>COUNTIF(LJ2:LJ425,"μέτρια")</f>
        <v>1</v>
      </c>
      <c r="KK5" s="173">
        <f>COUNTIF(LK2:LK425,"μέτρια")</f>
        <v>0</v>
      </c>
      <c r="KL5" s="174">
        <f>COUNTIF(LL2:LL425,"μέτρια")</f>
        <v>2</v>
      </c>
      <c r="KM5" s="170">
        <f>SUM(KI5:KL5)</f>
        <v>3</v>
      </c>
      <c r="KN5" s="184" t="s">
        <v>2435</v>
      </c>
      <c r="KO5" s="48">
        <f>COUNTIF(LO2:LO350,"μέτρια")</f>
        <v>6</v>
      </c>
      <c r="KP5" s="48">
        <f>COUNTIF(LP2:LP350,"μέτρια")</f>
        <v>4</v>
      </c>
      <c r="KQ5" s="100">
        <f>COUNTIF(LQ2:LQ350,"μέτρια")</f>
        <v>7</v>
      </c>
      <c r="KR5" s="170">
        <f>SUM(KN5:KQ5)</f>
        <v>17</v>
      </c>
      <c r="KS5" s="184" t="s">
        <v>2435</v>
      </c>
      <c r="KT5" s="48">
        <f>COUNTIF(LT2:LT425,"μέτρια")</f>
        <v>13</v>
      </c>
      <c r="KU5" s="48">
        <f>COUNTIF(LU2:LU425,"μέτρια")</f>
        <v>13</v>
      </c>
      <c r="KV5" s="48">
        <f>COUNTIF(LV2:LV425,"μέτρια")</f>
        <v>11</v>
      </c>
      <c r="KW5" s="100">
        <f>COUNTIF(LW2:LW425,"μέτρια")</f>
        <v>15</v>
      </c>
      <c r="KX5" s="170">
        <f>SUM(KT5:KW5)</f>
        <v>52</v>
      </c>
      <c r="LE5" s="168"/>
      <c r="LF5" s="3">
        <v>4</v>
      </c>
      <c r="LG5" s="2" t="s">
        <v>2430</v>
      </c>
      <c r="LH5" s="157"/>
      <c r="LI5" s="3" t="s">
        <v>2432</v>
      </c>
      <c r="LJ5" s="3" t="s">
        <v>2432</v>
      </c>
      <c r="LK5" s="3" t="s">
        <v>2432</v>
      </c>
      <c r="LL5" s="3" t="s">
        <v>2432</v>
      </c>
      <c r="LM5" s="2" t="s">
        <v>2562</v>
      </c>
      <c r="LN5" s="93"/>
      <c r="LO5" s="3" t="s">
        <v>2432</v>
      </c>
      <c r="LP5" s="3" t="s">
        <v>2432</v>
      </c>
      <c r="LQ5" s="3" t="s">
        <v>2432</v>
      </c>
      <c r="LR5" s="2" t="s">
        <v>2563</v>
      </c>
      <c r="LS5" s="85"/>
      <c r="LT5" s="3" t="s">
        <v>2435</v>
      </c>
      <c r="LU5" s="3" t="s">
        <v>2434</v>
      </c>
      <c r="LV5" s="3" t="s">
        <v>2434</v>
      </c>
      <c r="LW5" s="3" t="s">
        <v>2435</v>
      </c>
      <c r="LX5" s="2" t="s">
        <v>2564</v>
      </c>
      <c r="LY5" s="168"/>
      <c r="LZ5" s="2" t="s">
        <v>2430</v>
      </c>
      <c r="MA5" s="2" t="s">
        <v>2436</v>
      </c>
      <c r="MB5" s="3" t="s">
        <v>2433</v>
      </c>
      <c r="MC5" s="3" t="s">
        <v>2433</v>
      </c>
      <c r="MD5" s="3" t="s">
        <v>2433</v>
      </c>
      <c r="ME5" s="3" t="s">
        <v>2433</v>
      </c>
      <c r="MF5" s="3" t="s">
        <v>2433</v>
      </c>
      <c r="MG5" s="3" t="s">
        <v>2433</v>
      </c>
      <c r="MH5" s="3" t="s">
        <v>2433</v>
      </c>
      <c r="MI5" s="3" t="s">
        <v>2433</v>
      </c>
      <c r="MJ5" s="2" t="s">
        <v>2565</v>
      </c>
      <c r="MN5" s="408" t="s">
        <v>1960</v>
      </c>
      <c r="MO5" s="410" t="s">
        <v>2566</v>
      </c>
      <c r="MP5" s="409" t="s">
        <v>2567</v>
      </c>
      <c r="MR5" s="410" t="s">
        <v>2568</v>
      </c>
      <c r="MS5" s="409" t="s">
        <v>2569</v>
      </c>
      <c r="MZ5" s="437" t="s">
        <v>2570</v>
      </c>
      <c r="NL5" s="510">
        <v>4</v>
      </c>
      <c r="NM5" s="2" t="s">
        <v>2571</v>
      </c>
      <c r="NN5" s="443" t="s">
        <v>742</v>
      </c>
      <c r="NO5" s="2">
        <v>6944098848</v>
      </c>
      <c r="NP5" s="2" t="s">
        <v>2572</v>
      </c>
      <c r="NQ5" s="2"/>
      <c r="NR5" s="2" t="s">
        <v>2573</v>
      </c>
      <c r="NS5" s="2"/>
    </row>
    <row r="6" spans="1:383" ht="87" customHeight="1" thickTop="1" thickBot="1">
      <c r="A6" s="65">
        <v>5</v>
      </c>
      <c r="B6" s="55" t="s">
        <v>2391</v>
      </c>
      <c r="C6" s="10" t="s">
        <v>553</v>
      </c>
      <c r="D6" s="10">
        <v>6907313952</v>
      </c>
      <c r="E6" s="27" t="s">
        <v>2574</v>
      </c>
      <c r="F6" s="1386" t="s">
        <v>2379</v>
      </c>
      <c r="G6" s="1387"/>
      <c r="H6" s="1388"/>
      <c r="I6" s="300" t="s">
        <v>452</v>
      </c>
      <c r="J6" s="198"/>
      <c r="M6" s="3">
        <v>3</v>
      </c>
      <c r="R6" s="45" t="s">
        <v>2575</v>
      </c>
      <c r="S6" s="41" t="s">
        <v>809</v>
      </c>
      <c r="T6" s="129" t="s">
        <v>2576</v>
      </c>
      <c r="U6" s="46">
        <v>6971745097</v>
      </c>
      <c r="V6" s="83"/>
      <c r="W6" s="3">
        <v>2</v>
      </c>
      <c r="X6" s="82" t="s">
        <v>2577</v>
      </c>
      <c r="Y6" s="82" t="s">
        <v>2577</v>
      </c>
      <c r="Z6" s="3" t="s">
        <v>2578</v>
      </c>
      <c r="AB6" s="346" t="s">
        <v>592</v>
      </c>
      <c r="AC6" s="346" t="s">
        <v>593</v>
      </c>
      <c r="AD6" s="17">
        <v>70</v>
      </c>
      <c r="AE6" s="17">
        <v>52</v>
      </c>
      <c r="AF6" s="17">
        <v>73</v>
      </c>
      <c r="AG6" s="17">
        <v>15</v>
      </c>
      <c r="AH6" s="361">
        <f t="shared" si="2"/>
        <v>210</v>
      </c>
      <c r="AI6" s="136" t="s">
        <v>2387</v>
      </c>
      <c r="AM6" s="273">
        <v>45785</v>
      </c>
      <c r="AN6" s="274" t="s">
        <v>2537</v>
      </c>
      <c r="AO6" s="274"/>
      <c r="AP6" s="274"/>
      <c r="AS6" s="273">
        <v>45813</v>
      </c>
      <c r="AT6" s="274" t="s">
        <v>2537</v>
      </c>
      <c r="AU6" s="274"/>
      <c r="AV6" s="274"/>
      <c r="AY6" s="382"/>
      <c r="AZ6" s="383"/>
      <c r="BA6" s="383"/>
      <c r="BC6" s="326" t="s">
        <v>2579</v>
      </c>
      <c r="BD6" s="327">
        <f>3</f>
        <v>3</v>
      </c>
      <c r="BE6" s="328">
        <f>3+3+3</f>
        <v>9</v>
      </c>
      <c r="BF6" s="327">
        <f>1+3</f>
        <v>4</v>
      </c>
      <c r="BG6" s="328">
        <f>3+3</f>
        <v>6</v>
      </c>
      <c r="BH6" s="327"/>
      <c r="BI6" s="327">
        <f>2</f>
        <v>2</v>
      </c>
      <c r="BJ6" s="327"/>
      <c r="BK6" s="327"/>
      <c r="BL6" s="332">
        <v>5</v>
      </c>
      <c r="BM6" s="322" t="s">
        <v>1187</v>
      </c>
      <c r="BO6" s="324">
        <f>3+3+3+3+3</f>
        <v>15</v>
      </c>
      <c r="BP6" s="324">
        <f>3+3+3+3</f>
        <v>12</v>
      </c>
      <c r="BR6">
        <f>1</f>
        <v>1</v>
      </c>
      <c r="BS6">
        <f>3+3</f>
        <v>6</v>
      </c>
      <c r="BT6" s="324">
        <f>6+3+1+3</f>
        <v>13</v>
      </c>
      <c r="BU6" s="324">
        <f>6+2+3+3</f>
        <v>14</v>
      </c>
      <c r="BV6" s="324">
        <f>3+6+4+3+3</f>
        <v>19</v>
      </c>
      <c r="BW6" s="324">
        <f>3+6+3+3+3+3</f>
        <v>21</v>
      </c>
      <c r="BX6">
        <f>2</f>
        <v>2</v>
      </c>
      <c r="BY6">
        <f>3</f>
        <v>3</v>
      </c>
      <c r="BZ6" s="324">
        <f>3+3+3</f>
        <v>9</v>
      </c>
      <c r="CA6" s="325">
        <v>7</v>
      </c>
      <c r="CB6" s="2" t="s">
        <v>614</v>
      </c>
      <c r="CC6">
        <f>2</f>
        <v>2</v>
      </c>
      <c r="CD6">
        <f>2</f>
        <v>2</v>
      </c>
      <c r="CJ6" s="331">
        <v>5</v>
      </c>
      <c r="CK6" s="322" t="s">
        <v>2580</v>
      </c>
      <c r="CM6">
        <f>3</f>
        <v>3</v>
      </c>
      <c r="CN6">
        <f>3</f>
        <v>3</v>
      </c>
      <c r="CO6">
        <f>2+2</f>
        <v>4</v>
      </c>
      <c r="CQ6" s="325">
        <v>5</v>
      </c>
      <c r="CR6" s="322" t="s">
        <v>2581</v>
      </c>
      <c r="CT6" s="324">
        <f>2+2+2+2+2+2</f>
        <v>12</v>
      </c>
      <c r="CV6" s="324">
        <f>2+2+2+2</f>
        <v>8</v>
      </c>
      <c r="CW6" s="324">
        <f>2+2+2</f>
        <v>6</v>
      </c>
      <c r="CY6" s="331">
        <v>5</v>
      </c>
      <c r="CZ6" s="322" t="s">
        <v>2582</v>
      </c>
      <c r="DF6" s="325">
        <v>5</v>
      </c>
      <c r="DI6" s="2" t="s">
        <v>2583</v>
      </c>
      <c r="DJ6" s="82" t="s">
        <v>2584</v>
      </c>
      <c r="DK6" s="2" t="s">
        <v>2585</v>
      </c>
      <c r="DL6" s="2" t="s">
        <v>2585</v>
      </c>
      <c r="DM6" s="81"/>
      <c r="DN6" s="1145"/>
      <c r="DO6" s="1145"/>
      <c r="DP6" s="1145"/>
      <c r="DQ6" s="1145"/>
      <c r="DU6" s="92" t="s">
        <v>2584</v>
      </c>
      <c r="DV6" s="93" t="s">
        <v>2585</v>
      </c>
      <c r="DW6" s="93" t="s">
        <v>2585</v>
      </c>
      <c r="DX6" s="93" t="s">
        <v>2586</v>
      </c>
      <c r="EA6" s="305">
        <v>5</v>
      </c>
      <c r="EB6" s="305" t="s">
        <v>2587</v>
      </c>
      <c r="EC6" s="305" t="s">
        <v>2458</v>
      </c>
      <c r="ED6" s="305" t="s">
        <v>2588</v>
      </c>
      <c r="EE6" s="305" t="s">
        <v>2589</v>
      </c>
      <c r="EF6" s="305" t="s">
        <v>2590</v>
      </c>
      <c r="EI6" s="135" t="s">
        <v>2591</v>
      </c>
      <c r="EJ6" s="196" t="s">
        <v>2592</v>
      </c>
      <c r="EK6" s="190" t="s">
        <v>1208</v>
      </c>
      <c r="EL6" s="293" t="s">
        <v>2423</v>
      </c>
      <c r="EM6" s="266" t="s">
        <v>2593</v>
      </c>
      <c r="EO6" s="150" t="s">
        <v>2594</v>
      </c>
      <c r="EP6" s="288" t="s">
        <v>2387</v>
      </c>
      <c r="EV6" s="2"/>
      <c r="EX6" s="339" t="s">
        <v>2468</v>
      </c>
      <c r="EZ6" s="338" t="s">
        <v>2595</v>
      </c>
      <c r="FB6" s="150" t="s">
        <v>2594</v>
      </c>
      <c r="FC6" s="336"/>
      <c r="FK6" s="104" t="s">
        <v>2516</v>
      </c>
      <c r="FL6" s="53" t="s">
        <v>2555</v>
      </c>
      <c r="FM6" s="53" t="s">
        <v>2596</v>
      </c>
      <c r="FN6" s="48" t="s">
        <v>2597</v>
      </c>
      <c r="FO6" s="123" t="s">
        <v>2598</v>
      </c>
      <c r="FP6" s="48"/>
      <c r="FQ6" s="48"/>
      <c r="FR6" s="100"/>
      <c r="FV6" s="53" t="s">
        <v>2599</v>
      </c>
      <c r="FW6" s="48" t="s">
        <v>2600</v>
      </c>
      <c r="FX6" s="268" t="s">
        <v>2575</v>
      </c>
      <c r="FY6" s="48" t="s">
        <v>809</v>
      </c>
      <c r="FZ6" s="48" t="s">
        <v>2576</v>
      </c>
      <c r="GA6" s="51">
        <v>6971745097</v>
      </c>
      <c r="GB6" s="54"/>
      <c r="GG6" s="178" t="s">
        <v>2601</v>
      </c>
      <c r="GH6" s="140" t="s">
        <v>2602</v>
      </c>
      <c r="GI6" s="139">
        <v>3</v>
      </c>
      <c r="GJ6" s="139">
        <v>8</v>
      </c>
      <c r="GK6" s="137">
        <f t="shared" si="0"/>
        <v>0.375</v>
      </c>
      <c r="GL6" s="180"/>
      <c r="GM6" s="184" t="s">
        <v>2603</v>
      </c>
      <c r="GN6" s="173">
        <f>COUNTIF(HN2:HN425,"καλή")</f>
        <v>9</v>
      </c>
      <c r="GO6" s="173">
        <f>COUNTIF(HO2:HO425,"καλή")</f>
        <v>9</v>
      </c>
      <c r="GP6" s="173">
        <f>COUNTIF(HP2:HP425,"καλή")</f>
        <v>10</v>
      </c>
      <c r="GQ6" s="174">
        <f>COUNTIF(HQ2:HQ425,"καλή")</f>
        <v>8</v>
      </c>
      <c r="GR6" s="199">
        <f>SUM(GN6:GQ6)</f>
        <v>36</v>
      </c>
      <c r="GS6" s="184" t="s">
        <v>2603</v>
      </c>
      <c r="GT6" s="48">
        <f>COUNTIF(HT2:HT350,"καλή")</f>
        <v>12</v>
      </c>
      <c r="GU6" s="48">
        <f>COUNTIF(HU2:HU350,"καλή")</f>
        <v>10</v>
      </c>
      <c r="GV6" s="100">
        <f>COUNTIF(HV2:HV350,"καλή")</f>
        <v>10</v>
      </c>
      <c r="GW6" s="199">
        <f>SUM(GS6:GV6)</f>
        <v>32</v>
      </c>
      <c r="GX6" s="184" t="s">
        <v>2603</v>
      </c>
      <c r="GY6" s="48">
        <f>COUNTIF(HY2:HY425,"καλή")</f>
        <v>10</v>
      </c>
      <c r="GZ6" s="48">
        <f>COUNTIF(HZ2:HZ425,"καλή")</f>
        <v>8</v>
      </c>
      <c r="HA6" s="48">
        <f>COUNTIF(IA2:IA425,"καλή")</f>
        <v>8</v>
      </c>
      <c r="HB6" s="100">
        <f>COUNTIF(IB2:IB425,"καλή")</f>
        <v>6</v>
      </c>
      <c r="HC6" s="170">
        <f>SUM(GY6:HB6)</f>
        <v>32</v>
      </c>
      <c r="HJ6" s="168"/>
      <c r="HK6" s="3">
        <v>5</v>
      </c>
      <c r="HL6" s="2" t="s">
        <v>2430</v>
      </c>
      <c r="HM6" s="157"/>
      <c r="HN6" s="3" t="s">
        <v>2431</v>
      </c>
      <c r="HO6" s="3" t="s">
        <v>2431</v>
      </c>
      <c r="HP6" s="3" t="s">
        <v>2431</v>
      </c>
      <c r="HQ6" s="3" t="s">
        <v>2431</v>
      </c>
      <c r="HR6" s="2" t="s">
        <v>2604</v>
      </c>
      <c r="HS6" s="93"/>
      <c r="HT6" s="3" t="s">
        <v>2431</v>
      </c>
      <c r="HU6" s="3" t="s">
        <v>2431</v>
      </c>
      <c r="HV6" s="3" t="s">
        <v>2431</v>
      </c>
      <c r="HX6" s="85"/>
      <c r="HY6" s="3" t="s">
        <v>2433</v>
      </c>
      <c r="HZ6" s="3" t="s">
        <v>2431</v>
      </c>
      <c r="IA6" s="3" t="s">
        <v>2431</v>
      </c>
      <c r="IB6" s="3" t="s">
        <v>2433</v>
      </c>
      <c r="ID6" s="168"/>
      <c r="IE6" s="2" t="s">
        <v>2430</v>
      </c>
      <c r="IF6" s="2" t="s">
        <v>2436</v>
      </c>
      <c r="IG6" s="3" t="s">
        <v>2431</v>
      </c>
      <c r="IH6" s="3" t="s">
        <v>2431</v>
      </c>
      <c r="II6" s="3" t="s">
        <v>2432</v>
      </c>
      <c r="IJ6" s="3" t="s">
        <v>2431</v>
      </c>
      <c r="IK6" s="3" t="s">
        <v>2431</v>
      </c>
      <c r="IL6" s="3" t="s">
        <v>2433</v>
      </c>
      <c r="IM6" s="3" t="s">
        <v>2431</v>
      </c>
      <c r="IN6" s="3" t="s">
        <v>2431</v>
      </c>
      <c r="IO6" s="2" t="s">
        <v>2605</v>
      </c>
      <c r="JH6" s="184" t="s">
        <v>2603</v>
      </c>
      <c r="JI6" s="173" t="e">
        <f>#REF!</f>
        <v>#REF!</v>
      </c>
      <c r="JJ6" s="173" t="e">
        <f>#REF!</f>
        <v>#REF!</v>
      </c>
      <c r="JK6" s="173" t="e">
        <f>#REF!</f>
        <v>#REF!</v>
      </c>
      <c r="JL6" s="173" t="e">
        <f>#REF!</f>
        <v>#REF!</v>
      </c>
      <c r="JM6" s="199" t="e">
        <f>SUM(JI6:JL6)</f>
        <v>#REF!</v>
      </c>
      <c r="JN6" s="184" t="s">
        <v>2603</v>
      </c>
      <c r="JO6" s="48" t="e">
        <f>#REF!</f>
        <v>#REF!</v>
      </c>
      <c r="JP6" s="48" t="e">
        <f>#REF!</f>
        <v>#REF!</v>
      </c>
      <c r="JQ6" s="48" t="e">
        <f>#REF!</f>
        <v>#REF!</v>
      </c>
      <c r="JR6" s="199" t="e">
        <f>SUM(JN6:JQ6)</f>
        <v>#REF!</v>
      </c>
      <c r="JS6" s="184" t="s">
        <v>2603</v>
      </c>
      <c r="JT6" s="48" t="e">
        <f>#REF!</f>
        <v>#REF!</v>
      </c>
      <c r="JU6" s="48" t="e">
        <f>#REF!</f>
        <v>#REF!</v>
      </c>
      <c r="JV6" s="48" t="e">
        <f>#REF!</f>
        <v>#REF!</v>
      </c>
      <c r="JW6" s="48" t="e">
        <f>#REF!</f>
        <v>#REF!</v>
      </c>
      <c r="JX6" s="170" t="e">
        <f>SUM(JT6:JW6)</f>
        <v>#REF!</v>
      </c>
      <c r="KB6" s="178" t="s">
        <v>2601</v>
      </c>
      <c r="KC6" s="140" t="s">
        <v>2602</v>
      </c>
      <c r="KD6" s="139">
        <v>3</v>
      </c>
      <c r="KE6" s="139">
        <v>8</v>
      </c>
      <c r="KF6" s="137">
        <f t="shared" si="1"/>
        <v>0.375</v>
      </c>
      <c r="KG6" s="180"/>
      <c r="KH6" s="184" t="s">
        <v>2603</v>
      </c>
      <c r="KI6" s="173">
        <f>COUNTIF(LI2:LI425,"καλή")</f>
        <v>9</v>
      </c>
      <c r="KJ6" s="173">
        <f>COUNTIF(LJ2:LJ425,"καλή")</f>
        <v>9</v>
      </c>
      <c r="KK6" s="173">
        <f>COUNTIF(LK2:LK425,"καλή")</f>
        <v>10</v>
      </c>
      <c r="KL6" s="174">
        <f>COUNTIF(LL2:LL425,"καλή")</f>
        <v>8</v>
      </c>
      <c r="KM6" s="199">
        <f>SUM(KI6:KL6)</f>
        <v>36</v>
      </c>
      <c r="KN6" s="184" t="s">
        <v>2603</v>
      </c>
      <c r="KO6" s="48">
        <f>COUNTIF(LO2:LO350,"καλή")</f>
        <v>12</v>
      </c>
      <c r="KP6" s="48">
        <f>COUNTIF(LP2:LP350,"καλή")</f>
        <v>10</v>
      </c>
      <c r="KQ6" s="100">
        <f>COUNTIF(LQ2:LQ350,"καλή")</f>
        <v>10</v>
      </c>
      <c r="KR6" s="199">
        <f>SUM(KN6:KQ6)</f>
        <v>32</v>
      </c>
      <c r="KS6" s="184" t="s">
        <v>2603</v>
      </c>
      <c r="KT6" s="48">
        <f>COUNTIF(LT2:LT425,"καλή")</f>
        <v>10</v>
      </c>
      <c r="KU6" s="48">
        <f>COUNTIF(LU2:LU425,"καλή")</f>
        <v>8</v>
      </c>
      <c r="KV6" s="48">
        <f>COUNTIF(LV2:LV425,"καλή")</f>
        <v>8</v>
      </c>
      <c r="KW6" s="100">
        <f>COUNTIF(LW2:LW425,"καλή")</f>
        <v>6</v>
      </c>
      <c r="KX6" s="170">
        <f>SUM(KT6:KW6)</f>
        <v>32</v>
      </c>
      <c r="LE6" s="168"/>
      <c r="LF6" s="3">
        <v>5</v>
      </c>
      <c r="LG6" s="2" t="s">
        <v>2430</v>
      </c>
      <c r="LH6" s="157"/>
      <c r="LI6" s="3" t="s">
        <v>2431</v>
      </c>
      <c r="LJ6" s="3" t="s">
        <v>2431</v>
      </c>
      <c r="LK6" s="3" t="s">
        <v>2431</v>
      </c>
      <c r="LL6" s="3" t="s">
        <v>2431</v>
      </c>
      <c r="LM6" s="2" t="s">
        <v>2604</v>
      </c>
      <c r="LN6" s="93"/>
      <c r="LO6" s="3" t="s">
        <v>2431</v>
      </c>
      <c r="LP6" s="3" t="s">
        <v>2431</v>
      </c>
      <c r="LQ6" s="3" t="s">
        <v>2431</v>
      </c>
      <c r="LR6" s="2"/>
      <c r="LS6" s="85"/>
      <c r="LT6" s="3" t="s">
        <v>2433</v>
      </c>
      <c r="LU6" s="3" t="s">
        <v>2431</v>
      </c>
      <c r="LV6" s="3" t="s">
        <v>2431</v>
      </c>
      <c r="LW6" s="3" t="s">
        <v>2433</v>
      </c>
      <c r="LX6" s="2"/>
      <c r="LY6" s="168"/>
      <c r="LZ6" s="2" t="s">
        <v>2430</v>
      </c>
      <c r="MA6" s="2" t="s">
        <v>2436</v>
      </c>
      <c r="MB6" s="3" t="s">
        <v>2431</v>
      </c>
      <c r="MC6" s="3" t="s">
        <v>2431</v>
      </c>
      <c r="MD6" s="3" t="s">
        <v>2432</v>
      </c>
      <c r="ME6" s="3" t="s">
        <v>2431</v>
      </c>
      <c r="MF6" s="3" t="s">
        <v>2431</v>
      </c>
      <c r="MG6" s="3" t="s">
        <v>2433</v>
      </c>
      <c r="MH6" s="3" t="s">
        <v>2431</v>
      </c>
      <c r="MI6" s="3" t="s">
        <v>2431</v>
      </c>
      <c r="MJ6" s="2" t="s">
        <v>2605</v>
      </c>
      <c r="MN6" s="408" t="s">
        <v>1964</v>
      </c>
      <c r="MO6" s="409" t="s">
        <v>2606</v>
      </c>
      <c r="MP6" s="410" t="s">
        <v>2607</v>
      </c>
      <c r="MR6" s="409" t="s">
        <v>2608</v>
      </c>
      <c r="MT6" s="434" t="s">
        <v>2607</v>
      </c>
      <c r="MW6" s="409" t="s">
        <v>2609</v>
      </c>
      <c r="MZ6" s="437" t="s">
        <v>2610</v>
      </c>
      <c r="NL6" s="510">
        <v>5</v>
      </c>
      <c r="NM6" s="2" t="s">
        <v>2611</v>
      </c>
      <c r="NN6" s="443" t="s">
        <v>2612</v>
      </c>
      <c r="NO6" s="2">
        <v>6947161430</v>
      </c>
      <c r="NP6" s="2" t="s">
        <v>2613</v>
      </c>
      <c r="NQ6" s="2"/>
      <c r="NR6" s="2" t="s">
        <v>2614</v>
      </c>
      <c r="NS6" s="2"/>
    </row>
    <row r="7" spans="1:383" ht="271.5" thickTop="1" thickBot="1">
      <c r="A7" s="65">
        <v>6</v>
      </c>
      <c r="B7" s="55" t="s">
        <v>2392</v>
      </c>
      <c r="C7" s="10" t="s">
        <v>696</v>
      </c>
      <c r="D7" s="10">
        <v>6972431687</v>
      </c>
      <c r="E7" s="27" t="s">
        <v>2615</v>
      </c>
      <c r="F7" s="1386" t="s">
        <v>2379</v>
      </c>
      <c r="G7" s="1387"/>
      <c r="H7" s="1388"/>
      <c r="I7" s="300" t="s">
        <v>2383</v>
      </c>
      <c r="J7" s="198"/>
      <c r="M7" s="3">
        <v>2</v>
      </c>
      <c r="R7" s="416" t="s">
        <v>2616</v>
      </c>
      <c r="S7" s="417" t="s">
        <v>2617</v>
      </c>
      <c r="T7" s="418" t="s">
        <v>2618</v>
      </c>
      <c r="U7" s="419">
        <v>6979971391</v>
      </c>
      <c r="V7" s="420"/>
      <c r="W7" s="3">
        <v>2</v>
      </c>
      <c r="X7" s="401" t="s">
        <v>2445</v>
      </c>
      <c r="Y7" s="401" t="s">
        <v>2445</v>
      </c>
      <c r="AB7" s="346" t="s">
        <v>2619</v>
      </c>
      <c r="AC7" s="346" t="s">
        <v>773</v>
      </c>
      <c r="AD7" s="17">
        <v>8</v>
      </c>
      <c r="AE7" s="17">
        <v>6</v>
      </c>
      <c r="AF7" s="17">
        <v>1</v>
      </c>
      <c r="AG7" s="17" t="s">
        <v>771</v>
      </c>
      <c r="AH7" s="361">
        <f t="shared" si="2"/>
        <v>15</v>
      </c>
      <c r="AI7" s="136" t="s">
        <v>2387</v>
      </c>
      <c r="AM7" s="273">
        <v>45787</v>
      </c>
      <c r="AN7" s="274" t="s">
        <v>2537</v>
      </c>
      <c r="AO7" s="274"/>
      <c r="AP7" s="274"/>
      <c r="AS7" s="273">
        <v>45815</v>
      </c>
      <c r="AT7" s="274" t="s">
        <v>2537</v>
      </c>
      <c r="AU7" s="274"/>
      <c r="AV7" s="274"/>
      <c r="AY7" s="382"/>
      <c r="AZ7" s="383"/>
      <c r="BA7" s="383"/>
      <c r="BC7" s="2"/>
      <c r="BL7" s="3"/>
      <c r="BM7" s="322" t="s">
        <v>1154</v>
      </c>
      <c r="BN7">
        <f>1+3</f>
        <v>4</v>
      </c>
      <c r="BO7" s="324">
        <f>1+1+1+3</f>
        <v>6</v>
      </c>
      <c r="BP7">
        <f>1+3</f>
        <v>4</v>
      </c>
      <c r="BQ7" s="324">
        <f>3+3+3+3</f>
        <v>12</v>
      </c>
      <c r="BR7" s="324">
        <f>3+3</f>
        <v>6</v>
      </c>
      <c r="BS7">
        <f>1+1</f>
        <v>2</v>
      </c>
      <c r="BT7">
        <f>3</f>
        <v>3</v>
      </c>
      <c r="BU7" s="324">
        <f>1+3+3</f>
        <v>7</v>
      </c>
      <c r="BV7" s="324">
        <f>1+1+3+3+3</f>
        <v>11</v>
      </c>
      <c r="BW7" s="324">
        <f>1+1+3+3+3+3</f>
        <v>14</v>
      </c>
      <c r="BX7" s="324">
        <f>3+3</f>
        <v>6</v>
      </c>
      <c r="BY7" s="324">
        <f>3+3</f>
        <v>6</v>
      </c>
      <c r="BZ7" s="324">
        <f>3+3+3</f>
        <v>9</v>
      </c>
      <c r="CA7" s="325">
        <v>5</v>
      </c>
      <c r="CB7" s="2" t="s">
        <v>606</v>
      </c>
      <c r="CC7" s="324">
        <f>2+2+2</f>
        <v>6</v>
      </c>
      <c r="CD7">
        <f>2+2</f>
        <v>4</v>
      </c>
      <c r="CE7">
        <f>2</f>
        <v>2</v>
      </c>
      <c r="CG7">
        <v>2</v>
      </c>
      <c r="CI7">
        <f>2+2</f>
        <v>4</v>
      </c>
      <c r="CJ7" s="331">
        <v>5</v>
      </c>
      <c r="CK7" s="322" t="s">
        <v>2620</v>
      </c>
      <c r="CM7">
        <f>1+7+7</f>
        <v>15</v>
      </c>
      <c r="CN7">
        <f>7+7</f>
        <v>14</v>
      </c>
      <c r="CO7">
        <f>5</f>
        <v>5</v>
      </c>
      <c r="CQ7" s="325">
        <v>16</v>
      </c>
      <c r="CR7" s="322" t="s">
        <v>606</v>
      </c>
      <c r="CT7" s="324">
        <f>2+2+2</f>
        <v>6</v>
      </c>
      <c r="CU7">
        <f>2</f>
        <v>2</v>
      </c>
      <c r="CV7" s="324">
        <f>2+2+2</f>
        <v>6</v>
      </c>
      <c r="CW7">
        <f>2</f>
        <v>2</v>
      </c>
      <c r="CX7">
        <f>2+2</f>
        <v>4</v>
      </c>
      <c r="CY7" s="331">
        <v>5</v>
      </c>
      <c r="CZ7" s="322" t="s">
        <v>2470</v>
      </c>
      <c r="DF7" s="325">
        <v>5</v>
      </c>
      <c r="DI7" s="2" t="s">
        <v>2621</v>
      </c>
      <c r="DJ7" s="82" t="s">
        <v>2622</v>
      </c>
      <c r="DK7" s="2" t="s">
        <v>2623</v>
      </c>
      <c r="DL7" s="2" t="s">
        <v>2623</v>
      </c>
      <c r="DM7" s="81"/>
      <c r="DN7" s="1145"/>
      <c r="DO7" s="1145"/>
      <c r="DP7" s="1145"/>
      <c r="DQ7" s="1145"/>
      <c r="DU7" s="92" t="s">
        <v>2622</v>
      </c>
      <c r="DV7" s="93" t="s">
        <v>2623</v>
      </c>
      <c r="DW7" s="93" t="s">
        <v>2623</v>
      </c>
      <c r="DX7" s="93" t="s">
        <v>2624</v>
      </c>
      <c r="EA7" s="82">
        <v>6</v>
      </c>
      <c r="EB7" s="82" t="s">
        <v>2457</v>
      </c>
      <c r="EC7" s="82" t="s">
        <v>2458</v>
      </c>
      <c r="ED7" s="82" t="s">
        <v>2625</v>
      </c>
      <c r="EE7" s="82" t="s">
        <v>2626</v>
      </c>
      <c r="EF7" s="82" t="s">
        <v>2627</v>
      </c>
      <c r="EI7" s="286" t="s">
        <v>2628</v>
      </c>
      <c r="EJ7" s="134" t="s">
        <v>1187</v>
      </c>
      <c r="EK7" s="190" t="s">
        <v>2629</v>
      </c>
      <c r="EL7" s="294" t="s">
        <v>2554</v>
      </c>
      <c r="EM7" s="189" t="s">
        <v>2630</v>
      </c>
      <c r="EO7" s="151" t="s">
        <v>2631</v>
      </c>
      <c r="EP7" s="289" t="s">
        <v>2387</v>
      </c>
      <c r="EV7" s="2"/>
      <c r="EX7" s="344" t="s">
        <v>2632</v>
      </c>
      <c r="EY7" s="2"/>
      <c r="EZ7" s="338" t="s">
        <v>632</v>
      </c>
      <c r="FB7" s="151" t="s">
        <v>2631</v>
      </c>
      <c r="FC7" s="289" t="s">
        <v>2387</v>
      </c>
      <c r="FF7" t="s">
        <v>2633</v>
      </c>
      <c r="FK7" s="104" t="s">
        <v>2516</v>
      </c>
      <c r="FL7" s="53" t="s">
        <v>2634</v>
      </c>
      <c r="FM7" s="53" t="s">
        <v>2518</v>
      </c>
      <c r="FN7" s="48" t="s">
        <v>2635</v>
      </c>
      <c r="FO7" s="123" t="s">
        <v>2598</v>
      </c>
      <c r="FP7" s="48"/>
      <c r="FQ7" s="48"/>
      <c r="FR7" s="100"/>
      <c r="FV7" s="53" t="s">
        <v>2636</v>
      </c>
      <c r="FW7" s="53" t="s">
        <v>2637</v>
      </c>
      <c r="FX7" s="268" t="s">
        <v>2616</v>
      </c>
      <c r="FY7" s="48" t="s">
        <v>2617</v>
      </c>
      <c r="FZ7" s="48" t="s">
        <v>2618</v>
      </c>
      <c r="GA7" s="51">
        <v>6979971391</v>
      </c>
      <c r="GB7" s="54"/>
      <c r="GG7" s="178" t="s">
        <v>2638</v>
      </c>
      <c r="GH7" s="140" t="s">
        <v>482</v>
      </c>
      <c r="GI7" s="139">
        <v>2</v>
      </c>
      <c r="GJ7" s="139">
        <v>5</v>
      </c>
      <c r="GK7" s="137">
        <f t="shared" si="0"/>
        <v>0.4</v>
      </c>
      <c r="GL7" s="180"/>
      <c r="GM7" s="184" t="s">
        <v>2639</v>
      </c>
      <c r="GN7" s="173">
        <f>COUNTIF(HN2:HN425,"πολύ καλή")</f>
        <v>5</v>
      </c>
      <c r="GO7" s="173">
        <f>COUNTIF(HO2:HO425,"πολύ καλή")</f>
        <v>8</v>
      </c>
      <c r="GP7" s="173">
        <f>COUNTIF(HP2:HP425,"πολύ καλή")</f>
        <v>4</v>
      </c>
      <c r="GQ7" s="174">
        <f>COUNTIF(HQ2:HQ425,"πολύ καλή")</f>
        <v>8</v>
      </c>
      <c r="GR7" s="199">
        <f>SUM(GN7:GQ7)</f>
        <v>25</v>
      </c>
      <c r="GS7" s="184" t="s">
        <v>2639</v>
      </c>
      <c r="GT7" s="48">
        <f>COUNTIF(HT2:HT350,"πολύ καλή")</f>
        <v>6</v>
      </c>
      <c r="GU7" s="48">
        <f>COUNTIF(HU2:HU350,"πολύ καλή")</f>
        <v>8</v>
      </c>
      <c r="GV7" s="100">
        <f>COUNTIF(HV2:HV350,"πολύ καλή")</f>
        <v>7</v>
      </c>
      <c r="GW7" s="199">
        <f>SUM(GS7:GV7)</f>
        <v>21</v>
      </c>
      <c r="GX7" s="184" t="s">
        <v>2639</v>
      </c>
      <c r="GY7" s="48">
        <f>COUNTIF(HY2:HY425,"πολύ καλή")</f>
        <v>6</v>
      </c>
      <c r="GZ7" s="48">
        <f>COUNTIF(HZ2:HZ425,"πολύ καλή")</f>
        <v>6</v>
      </c>
      <c r="HA7" s="48">
        <f>COUNTIF(IA2:IA425,"πολύ καλή")</f>
        <v>6</v>
      </c>
      <c r="HB7" s="100">
        <f>COUNTIF(IB2:IB425,"πολύ καλή")</f>
        <v>7</v>
      </c>
      <c r="HC7" s="170">
        <f>SUM(GY7:HB7)</f>
        <v>25</v>
      </c>
      <c r="HJ7" s="168"/>
      <c r="HK7" s="3">
        <v>6</v>
      </c>
      <c r="HL7" s="2" t="s">
        <v>2430</v>
      </c>
      <c r="HM7" s="157"/>
      <c r="HN7" s="3" t="s">
        <v>2433</v>
      </c>
      <c r="HO7" s="3" t="s">
        <v>2432</v>
      </c>
      <c r="HP7" s="3" t="s">
        <v>2432</v>
      </c>
      <c r="HQ7" s="3" t="s">
        <v>2433</v>
      </c>
      <c r="HS7" s="93"/>
      <c r="HT7" s="3" t="s">
        <v>2435</v>
      </c>
      <c r="HU7" s="3" t="s">
        <v>2435</v>
      </c>
      <c r="HV7" s="3" t="s">
        <v>2435</v>
      </c>
      <c r="HX7" s="85"/>
      <c r="HY7" s="3" t="s">
        <v>2435</v>
      </c>
      <c r="HZ7" s="3" t="s">
        <v>2435</v>
      </c>
      <c r="IA7" s="3" t="s">
        <v>2435</v>
      </c>
      <c r="IB7" s="3" t="s">
        <v>2435</v>
      </c>
      <c r="ID7" s="168"/>
      <c r="IE7" s="2" t="s">
        <v>2430</v>
      </c>
      <c r="IF7" s="2" t="s">
        <v>2436</v>
      </c>
      <c r="IG7" s="3" t="s">
        <v>2432</v>
      </c>
      <c r="IH7" s="3" t="s">
        <v>2432</v>
      </c>
      <c r="II7" s="3" t="s">
        <v>2432</v>
      </c>
      <c r="IJ7" s="3" t="s">
        <v>2432</v>
      </c>
      <c r="IK7" s="3" t="s">
        <v>2433</v>
      </c>
      <c r="IL7" s="3" t="s">
        <v>2432</v>
      </c>
      <c r="IM7" s="3" t="s">
        <v>2432</v>
      </c>
      <c r="IN7" s="3" t="s">
        <v>2435</v>
      </c>
      <c r="JH7" s="184" t="s">
        <v>2639</v>
      </c>
      <c r="JI7" s="173" t="e">
        <f>#REF!</f>
        <v>#REF!</v>
      </c>
      <c r="JJ7" s="173" t="e">
        <f>#REF!</f>
        <v>#REF!</v>
      </c>
      <c r="JK7" s="173" t="e">
        <f>#REF!</f>
        <v>#REF!</v>
      </c>
      <c r="JL7" s="173" t="e">
        <f>#REF!</f>
        <v>#REF!</v>
      </c>
      <c r="JM7" s="199" t="e">
        <f>SUM(JI7:JL7)</f>
        <v>#REF!</v>
      </c>
      <c r="JN7" s="184" t="s">
        <v>2639</v>
      </c>
      <c r="JO7" s="48" t="e">
        <f>#REF!</f>
        <v>#REF!</v>
      </c>
      <c r="JP7" s="48" t="e">
        <f>#REF!</f>
        <v>#REF!</v>
      </c>
      <c r="JQ7" s="48" t="e">
        <f>#REF!</f>
        <v>#REF!</v>
      </c>
      <c r="JR7" s="199" t="e">
        <f>SUM(JN7:JQ7)</f>
        <v>#REF!</v>
      </c>
      <c r="JS7" s="184" t="s">
        <v>2639</v>
      </c>
      <c r="JT7" s="48" t="e">
        <f>#REF!</f>
        <v>#REF!</v>
      </c>
      <c r="JU7" s="48" t="e">
        <f>#REF!</f>
        <v>#REF!</v>
      </c>
      <c r="JV7" s="48" t="e">
        <f>#REF!</f>
        <v>#REF!</v>
      </c>
      <c r="JW7" s="48" t="e">
        <f>#REF!</f>
        <v>#REF!</v>
      </c>
      <c r="JX7" s="170" t="e">
        <f>SUM(JT7:JW7)</f>
        <v>#REF!</v>
      </c>
      <c r="KB7" s="178" t="s">
        <v>2638</v>
      </c>
      <c r="KC7" s="140" t="s">
        <v>482</v>
      </c>
      <c r="KD7" s="139">
        <v>2</v>
      </c>
      <c r="KE7" s="139">
        <v>5</v>
      </c>
      <c r="KF7" s="137">
        <f t="shared" si="1"/>
        <v>0.4</v>
      </c>
      <c r="KG7" s="180"/>
      <c r="KH7" s="184" t="s">
        <v>2639</v>
      </c>
      <c r="KI7" s="173">
        <f>COUNTIF(LI2:LI425,"πολύ καλή")</f>
        <v>5</v>
      </c>
      <c r="KJ7" s="173">
        <f>COUNTIF(LJ2:LJ425,"πολύ καλή")</f>
        <v>8</v>
      </c>
      <c r="KK7" s="173">
        <f>COUNTIF(LK2:LK425,"πολύ καλή")</f>
        <v>4</v>
      </c>
      <c r="KL7" s="174">
        <f>COUNTIF(LL2:LL425,"πολύ καλή")</f>
        <v>8</v>
      </c>
      <c r="KM7" s="199">
        <f>SUM(KI7:KL7)</f>
        <v>25</v>
      </c>
      <c r="KN7" s="184" t="s">
        <v>2639</v>
      </c>
      <c r="KO7" s="48">
        <f>COUNTIF(LO2:LO350,"πολύ καλή")</f>
        <v>6</v>
      </c>
      <c r="KP7" s="48">
        <f>COUNTIF(LP2:LP350,"πολύ καλή")</f>
        <v>8</v>
      </c>
      <c r="KQ7" s="100">
        <f>COUNTIF(LQ2:LQ350,"πολύ καλή")</f>
        <v>7</v>
      </c>
      <c r="KR7" s="199">
        <f>SUM(KN7:KQ7)</f>
        <v>21</v>
      </c>
      <c r="KS7" s="184" t="s">
        <v>2639</v>
      </c>
      <c r="KT7" s="48">
        <f>COUNTIF(LT2:LT425,"πολύ καλή")</f>
        <v>6</v>
      </c>
      <c r="KU7" s="48">
        <f>COUNTIF(LU2:LU425,"πολύ καλή")</f>
        <v>6</v>
      </c>
      <c r="KV7" s="48">
        <f>COUNTIF(LV2:LV425,"πολύ καλή")</f>
        <v>6</v>
      </c>
      <c r="KW7" s="100">
        <f>COUNTIF(LW2:LW425,"πολύ καλή")</f>
        <v>7</v>
      </c>
      <c r="KX7" s="170">
        <f>SUM(KT7:KW7)</f>
        <v>25</v>
      </c>
      <c r="LE7" s="168"/>
      <c r="LF7" s="3">
        <v>6</v>
      </c>
      <c r="LG7" s="2" t="s">
        <v>2430</v>
      </c>
      <c r="LH7" s="157"/>
      <c r="LI7" s="3" t="s">
        <v>2433</v>
      </c>
      <c r="LJ7" s="3" t="s">
        <v>2432</v>
      </c>
      <c r="LK7" s="3" t="s">
        <v>2432</v>
      </c>
      <c r="LL7" s="3" t="s">
        <v>2433</v>
      </c>
      <c r="LM7" s="2"/>
      <c r="LN7" s="93"/>
      <c r="LO7" s="3" t="s">
        <v>2435</v>
      </c>
      <c r="LP7" s="3" t="s">
        <v>2435</v>
      </c>
      <c r="LQ7" s="3" t="s">
        <v>2435</v>
      </c>
      <c r="LR7" s="2"/>
      <c r="LS7" s="85"/>
      <c r="LT7" s="3" t="s">
        <v>2435</v>
      </c>
      <c r="LU7" s="3" t="s">
        <v>2435</v>
      </c>
      <c r="LV7" s="3" t="s">
        <v>2435</v>
      </c>
      <c r="LW7" s="3" t="s">
        <v>2435</v>
      </c>
      <c r="LX7" s="2"/>
      <c r="LY7" s="168"/>
      <c r="LZ7" s="2" t="s">
        <v>2430</v>
      </c>
      <c r="MA7" s="2" t="s">
        <v>2436</v>
      </c>
      <c r="MB7" s="3" t="s">
        <v>2432</v>
      </c>
      <c r="MC7" s="3" t="s">
        <v>2432</v>
      </c>
      <c r="MD7" s="3" t="s">
        <v>2432</v>
      </c>
      <c r="ME7" s="3" t="s">
        <v>2432</v>
      </c>
      <c r="MF7" s="3" t="s">
        <v>2433</v>
      </c>
      <c r="MG7" s="3" t="s">
        <v>2432</v>
      </c>
      <c r="MH7" s="3" t="s">
        <v>2432</v>
      </c>
      <c r="MI7" s="3" t="s">
        <v>2435</v>
      </c>
      <c r="MJ7" s="2"/>
      <c r="MN7" s="408" t="s">
        <v>2640</v>
      </c>
      <c r="MO7" s="334"/>
      <c r="MP7" s="334"/>
      <c r="MQ7" s="334"/>
      <c r="MZ7" s="437" t="s">
        <v>2641</v>
      </c>
      <c r="NL7" s="442">
        <v>6</v>
      </c>
      <c r="NM7" s="2" t="s">
        <v>2642</v>
      </c>
      <c r="NN7" s="444" t="s">
        <v>2615</v>
      </c>
      <c r="NO7" s="2">
        <v>6972431687</v>
      </c>
      <c r="NP7" s="2" t="s">
        <v>2643</v>
      </c>
      <c r="NQ7" s="2" t="s">
        <v>2644</v>
      </c>
      <c r="NR7" s="2" t="s">
        <v>2645</v>
      </c>
      <c r="NS7" s="2" t="s">
        <v>2646</v>
      </c>
    </row>
    <row r="8" spans="1:383" ht="45" customHeight="1" thickTop="1" thickBot="1">
      <c r="A8" s="65">
        <v>7</v>
      </c>
      <c r="B8" s="55" t="s">
        <v>2393</v>
      </c>
      <c r="C8" s="10" t="s">
        <v>540</v>
      </c>
      <c r="D8" s="10">
        <v>6974839532</v>
      </c>
      <c r="E8" s="27" t="s">
        <v>2647</v>
      </c>
      <c r="F8" s="1386" t="s">
        <v>2379</v>
      </c>
      <c r="G8" s="1387"/>
      <c r="H8" s="1388"/>
      <c r="I8" s="24"/>
      <c r="J8" s="198"/>
      <c r="M8" s="3">
        <v>2</v>
      </c>
      <c r="R8" s="416" t="s">
        <v>522</v>
      </c>
      <c r="S8" s="417" t="s">
        <v>523</v>
      </c>
      <c r="T8" s="418" t="s">
        <v>525</v>
      </c>
      <c r="U8" s="419">
        <v>6974120129</v>
      </c>
      <c r="V8" s="420" t="s">
        <v>2648</v>
      </c>
      <c r="W8" s="3">
        <v>1</v>
      </c>
      <c r="X8" s="401" t="s">
        <v>2445</v>
      </c>
      <c r="Y8" s="401" t="s">
        <v>2445</v>
      </c>
      <c r="AB8" s="346" t="s">
        <v>452</v>
      </c>
      <c r="AC8" s="346" t="s">
        <v>453</v>
      </c>
      <c r="AD8" s="17">
        <v>84</v>
      </c>
      <c r="AE8" s="17">
        <v>58</v>
      </c>
      <c r="AF8" s="17">
        <v>111</v>
      </c>
      <c r="AG8" s="17">
        <v>18</v>
      </c>
      <c r="AH8" s="361">
        <f t="shared" si="2"/>
        <v>271</v>
      </c>
      <c r="AI8" s="136" t="s">
        <v>2387</v>
      </c>
      <c r="AJ8" t="s">
        <v>625</v>
      </c>
      <c r="AM8" s="275">
        <v>45791</v>
      </c>
      <c r="AN8" s="276" t="s">
        <v>2537</v>
      </c>
      <c r="AO8" s="276"/>
      <c r="AP8" s="276"/>
      <c r="AS8" s="275">
        <v>45819</v>
      </c>
      <c r="AT8" s="276" t="s">
        <v>2537</v>
      </c>
      <c r="AU8" s="276"/>
      <c r="AV8" s="276"/>
      <c r="AY8" s="382"/>
      <c r="AZ8" s="383"/>
      <c r="BA8" s="383"/>
      <c r="BC8" s="2"/>
      <c r="BL8" s="3"/>
      <c r="BM8" s="322" t="s">
        <v>1144</v>
      </c>
      <c r="BN8">
        <f>3</f>
        <v>3</v>
      </c>
      <c r="BO8" s="324">
        <f>3+1+3+1</f>
        <v>8</v>
      </c>
      <c r="BP8" s="324">
        <f>2+3+2+3+3</f>
        <v>13</v>
      </c>
      <c r="BQ8" s="324">
        <f>3+3</f>
        <v>6</v>
      </c>
      <c r="BR8" s="324">
        <f>3+3</f>
        <v>6</v>
      </c>
      <c r="BS8" s="324">
        <f>3+2+3+3</f>
        <v>11</v>
      </c>
      <c r="BT8" s="324">
        <f>3+3+1+3+3</f>
        <v>13</v>
      </c>
      <c r="BU8" s="324">
        <f>3+1+3+3</f>
        <v>10</v>
      </c>
      <c r="BV8" s="324">
        <f>3+2+3+3+2+3+2</f>
        <v>18</v>
      </c>
      <c r="BW8" s="324">
        <f>3+3+3+3+3+3+3+3</f>
        <v>24</v>
      </c>
      <c r="BY8">
        <f>2+1</f>
        <v>3</v>
      </c>
      <c r="BZ8" s="324">
        <f>3+3</f>
        <v>6</v>
      </c>
      <c r="CA8" s="325">
        <v>5</v>
      </c>
      <c r="CB8" s="335" t="s">
        <v>2538</v>
      </c>
      <c r="CC8" s="327">
        <f>4+2+3</f>
        <v>9</v>
      </c>
      <c r="CD8" s="327">
        <f>7+4+2</f>
        <v>13</v>
      </c>
      <c r="CE8" s="328">
        <f>6+4+2+6</f>
        <v>18</v>
      </c>
      <c r="CF8" s="327">
        <v>6</v>
      </c>
      <c r="CG8" s="327">
        <f>4+2+3</f>
        <v>9</v>
      </c>
      <c r="CH8" s="327">
        <f>2</f>
        <v>2</v>
      </c>
      <c r="CI8" s="327"/>
      <c r="CJ8" s="332">
        <v>14</v>
      </c>
      <c r="CK8" s="322" t="s">
        <v>2649</v>
      </c>
      <c r="CL8">
        <f>3</f>
        <v>3</v>
      </c>
      <c r="CM8">
        <f>3</f>
        <v>3</v>
      </c>
      <c r="CN8">
        <f>3+3</f>
        <v>6</v>
      </c>
      <c r="CO8">
        <f>3</f>
        <v>3</v>
      </c>
      <c r="CP8">
        <f>3</f>
        <v>3</v>
      </c>
      <c r="CQ8" s="325">
        <v>7</v>
      </c>
      <c r="CR8" s="322" t="s">
        <v>614</v>
      </c>
      <c r="CS8">
        <f>2</f>
        <v>2</v>
      </c>
      <c r="CT8" s="324">
        <f>2+2+2+2+2</f>
        <v>10</v>
      </c>
      <c r="CU8">
        <f>2</f>
        <v>2</v>
      </c>
      <c r="CV8" s="324">
        <f>2+2+2</f>
        <v>6</v>
      </c>
      <c r="CW8">
        <f>2+2</f>
        <v>4</v>
      </c>
      <c r="CX8">
        <f>2</f>
        <v>2</v>
      </c>
      <c r="CY8" s="331">
        <v>5</v>
      </c>
      <c r="CZ8" s="322" t="s">
        <v>2650</v>
      </c>
      <c r="DF8" s="325">
        <v>5</v>
      </c>
      <c r="DI8" s="81"/>
      <c r="DJ8" s="82" t="s">
        <v>2651</v>
      </c>
      <c r="DK8" s="2" t="s">
        <v>2652</v>
      </c>
      <c r="DL8" s="2" t="s">
        <v>2653</v>
      </c>
      <c r="DM8" s="81"/>
      <c r="DN8" s="1145"/>
      <c r="DO8" s="1145"/>
      <c r="DP8" s="1145"/>
      <c r="DQ8" s="1145"/>
      <c r="DT8" s="81"/>
      <c r="DU8" s="92" t="s">
        <v>2651</v>
      </c>
      <c r="DV8" s="93" t="s">
        <v>2652</v>
      </c>
      <c r="DW8" s="93" t="s">
        <v>2653</v>
      </c>
      <c r="DX8" s="94"/>
      <c r="EA8" s="82">
        <v>7</v>
      </c>
      <c r="EB8" s="82" t="s">
        <v>2654</v>
      </c>
      <c r="EC8" s="82" t="s">
        <v>2411</v>
      </c>
      <c r="ED8" s="82" t="s">
        <v>2506</v>
      </c>
      <c r="EE8" s="82" t="s">
        <v>2460</v>
      </c>
      <c r="EF8" s="82" t="s">
        <v>2655</v>
      </c>
      <c r="EJ8" s="286" t="s">
        <v>505</v>
      </c>
      <c r="EK8" s="131" t="s">
        <v>2580</v>
      </c>
      <c r="EL8" s="133" t="s">
        <v>1144</v>
      </c>
      <c r="EM8" s="295" t="s">
        <v>2656</v>
      </c>
      <c r="EV8" s="2"/>
      <c r="EW8" s="81"/>
      <c r="EX8" s="190" t="s">
        <v>2657</v>
      </c>
      <c r="EY8" s="2"/>
      <c r="EZ8" s="350" t="s">
        <v>2593</v>
      </c>
      <c r="FA8" s="81"/>
      <c r="FB8" s="337"/>
      <c r="FC8" s="334"/>
      <c r="FD8" s="81"/>
      <c r="FE8" s="81"/>
      <c r="FF8" s="81"/>
      <c r="FK8" s="105" t="s">
        <v>2516</v>
      </c>
      <c r="FL8" s="101" t="s">
        <v>2555</v>
      </c>
      <c r="FM8" s="101" t="s">
        <v>2658</v>
      </c>
      <c r="FN8" s="49" t="s">
        <v>2659</v>
      </c>
      <c r="FO8" s="123" t="s">
        <v>2598</v>
      </c>
      <c r="FP8" s="49"/>
      <c r="FQ8" s="49"/>
      <c r="FR8" s="102"/>
      <c r="FV8" s="53" t="s">
        <v>2476</v>
      </c>
      <c r="FW8" s="48" t="s">
        <v>2660</v>
      </c>
      <c r="FX8" s="268" t="s">
        <v>522</v>
      </c>
      <c r="FY8" s="48" t="s">
        <v>523</v>
      </c>
      <c r="FZ8" s="48" t="s">
        <v>525</v>
      </c>
      <c r="GA8" s="51">
        <v>6974120129</v>
      </c>
      <c r="GB8" s="54"/>
      <c r="GF8" s="138"/>
      <c r="GG8" s="3"/>
      <c r="GK8" s="3"/>
      <c r="GL8" s="3"/>
      <c r="GM8" s="185" t="s">
        <v>2431</v>
      </c>
      <c r="GN8" s="49">
        <f>COUNTIF(HN2:HN425,"άριστη")</f>
        <v>18</v>
      </c>
      <c r="GO8" s="49">
        <f>COUNTIF(HO2:HO425,"άριστη")</f>
        <v>14</v>
      </c>
      <c r="GP8" s="49">
        <f>COUNTIF(HP2:HP425,"άριστη")</f>
        <v>18</v>
      </c>
      <c r="GQ8" s="102">
        <f>COUNTIF(HQ2:HQ425,"άριστη")</f>
        <v>14</v>
      </c>
      <c r="GR8" s="199">
        <f>SUM(GN8:GQ8)</f>
        <v>64</v>
      </c>
      <c r="GS8" s="185" t="s">
        <v>2431</v>
      </c>
      <c r="GT8" s="49">
        <f>COUNTIF(HT2:HT350,"άριστη")</f>
        <v>8</v>
      </c>
      <c r="GU8" s="49">
        <f>COUNTIF(HU2:HU350,"άριστη")</f>
        <v>9</v>
      </c>
      <c r="GV8" s="102">
        <f>COUNTIF(HV2:HV350,"άριστη")</f>
        <v>8</v>
      </c>
      <c r="GW8" s="199">
        <f>SUM(GS8:GV8)</f>
        <v>25</v>
      </c>
      <c r="GX8" s="185" t="s">
        <v>2431</v>
      </c>
      <c r="GY8" s="49">
        <f>COUNTIF(HY2:HY425,"άριστη")</f>
        <v>2</v>
      </c>
      <c r="GZ8" s="49">
        <f>COUNTIF(HZ2:HZ425,"άριστη")</f>
        <v>3</v>
      </c>
      <c r="HA8" s="49">
        <f>COUNTIF(IA2:IA425,"άριστη")</f>
        <v>3</v>
      </c>
      <c r="HB8" s="102">
        <f>COUNTIF(IB2:IB425,"άριστη")</f>
        <v>3</v>
      </c>
      <c r="HC8" s="170">
        <f>SUM(GY8:HB8)</f>
        <v>11</v>
      </c>
      <c r="HD8" s="138"/>
      <c r="HE8" s="138"/>
      <c r="HF8" s="138"/>
      <c r="HG8" s="138"/>
      <c r="HH8" s="138"/>
      <c r="HI8" s="138"/>
      <c r="HJ8" s="168"/>
      <c r="HK8" s="3">
        <v>7</v>
      </c>
      <c r="HL8" s="2" t="s">
        <v>2430</v>
      </c>
      <c r="HM8" s="157"/>
      <c r="HN8" s="3" t="s">
        <v>2432</v>
      </c>
      <c r="HO8" s="3" t="s">
        <v>2432</v>
      </c>
      <c r="HP8" s="3" t="s">
        <v>2432</v>
      </c>
      <c r="HQ8" s="3" t="s">
        <v>2432</v>
      </c>
      <c r="HS8" s="93"/>
      <c r="HT8" s="3" t="s">
        <v>2432</v>
      </c>
      <c r="HU8" s="3" t="s">
        <v>2432</v>
      </c>
      <c r="HV8" s="3" t="s">
        <v>2435</v>
      </c>
      <c r="HX8" s="85"/>
      <c r="HY8" s="3" t="s">
        <v>2432</v>
      </c>
      <c r="HZ8" s="3" t="s">
        <v>2435</v>
      </c>
      <c r="IA8" s="3" t="s">
        <v>2432</v>
      </c>
      <c r="IB8" s="3" t="s">
        <v>2435</v>
      </c>
      <c r="ID8" s="168"/>
      <c r="IE8" s="2" t="s">
        <v>2430</v>
      </c>
      <c r="IF8" s="2" t="s">
        <v>2436</v>
      </c>
      <c r="IG8" s="3" t="s">
        <v>2432</v>
      </c>
      <c r="IH8" s="3" t="s">
        <v>2432</v>
      </c>
      <c r="II8" s="3" t="s">
        <v>2432</v>
      </c>
      <c r="IJ8" s="3" t="s">
        <v>2432</v>
      </c>
      <c r="IK8" s="3" t="s">
        <v>2432</v>
      </c>
      <c r="IL8" s="3" t="s">
        <v>2432</v>
      </c>
      <c r="IM8" s="3" t="s">
        <v>2432</v>
      </c>
      <c r="IN8" s="3" t="s">
        <v>2432</v>
      </c>
      <c r="IO8" s="2" t="s">
        <v>2661</v>
      </c>
      <c r="IP8" s="138"/>
      <c r="JH8" s="185" t="s">
        <v>2431</v>
      </c>
      <c r="JI8" s="173" t="e">
        <f>#REF!</f>
        <v>#REF!</v>
      </c>
      <c r="JJ8" s="173" t="e">
        <f>#REF!</f>
        <v>#REF!</v>
      </c>
      <c r="JK8" s="173" t="e">
        <f>#REF!</f>
        <v>#REF!</v>
      </c>
      <c r="JL8" s="173" t="e">
        <f>#REF!</f>
        <v>#REF!</v>
      </c>
      <c r="JM8" s="199" t="e">
        <f>SUM(JI8:JL8)</f>
        <v>#REF!</v>
      </c>
      <c r="JN8" s="185" t="s">
        <v>2431</v>
      </c>
      <c r="JO8" s="48" t="e">
        <f>#REF!</f>
        <v>#REF!</v>
      </c>
      <c r="JP8" s="48" t="e">
        <f>#REF!</f>
        <v>#REF!</v>
      </c>
      <c r="JQ8" s="48" t="e">
        <f>#REF!</f>
        <v>#REF!</v>
      </c>
      <c r="JR8" s="199" t="e">
        <f>SUM(JN8:JQ8)</f>
        <v>#REF!</v>
      </c>
      <c r="JS8" s="185" t="s">
        <v>2431</v>
      </c>
      <c r="JT8" s="48" t="e">
        <f>#REF!</f>
        <v>#REF!</v>
      </c>
      <c r="JU8" s="48" t="e">
        <f>#REF!</f>
        <v>#REF!</v>
      </c>
      <c r="JV8" s="48" t="e">
        <f>#REF!</f>
        <v>#REF!</v>
      </c>
      <c r="JW8" s="48" t="e">
        <f>#REF!</f>
        <v>#REF!</v>
      </c>
      <c r="JX8" s="170" t="e">
        <f>SUM(JT8:JW8)</f>
        <v>#REF!</v>
      </c>
      <c r="KA8" s="138"/>
      <c r="KB8" s="3"/>
      <c r="KC8" s="3"/>
      <c r="KD8" s="3"/>
      <c r="KE8" s="3"/>
      <c r="KF8" s="3"/>
      <c r="KG8" s="3"/>
      <c r="KH8" s="185" t="s">
        <v>2431</v>
      </c>
      <c r="KI8" s="49">
        <f>COUNTIF(LI2:LI425,"άριστη")</f>
        <v>18</v>
      </c>
      <c r="KJ8" s="49">
        <f>COUNTIF(LJ2:LJ425,"άριστη")</f>
        <v>14</v>
      </c>
      <c r="KK8" s="49">
        <f>COUNTIF(LK2:LK425,"άριστη")</f>
        <v>18</v>
      </c>
      <c r="KL8" s="102">
        <f>COUNTIF(LL2:LL425,"άριστη")</f>
        <v>14</v>
      </c>
      <c r="KM8" s="199">
        <f>SUM(KI8:KL8)</f>
        <v>64</v>
      </c>
      <c r="KN8" s="185" t="s">
        <v>2431</v>
      </c>
      <c r="KO8" s="49">
        <f>COUNTIF(LO2:LO350,"άριστη")</f>
        <v>8</v>
      </c>
      <c r="KP8" s="49">
        <f>COUNTIF(LP2:LP350,"άριστη")</f>
        <v>9</v>
      </c>
      <c r="KQ8" s="102">
        <f>COUNTIF(LQ2:LQ350,"άριστη")</f>
        <v>8</v>
      </c>
      <c r="KR8" s="199">
        <f>SUM(KN8:KQ8)</f>
        <v>25</v>
      </c>
      <c r="KS8" s="185" t="s">
        <v>2431</v>
      </c>
      <c r="KT8" s="49">
        <f>COUNTIF(LT2:LT425,"άριστη")</f>
        <v>2</v>
      </c>
      <c r="KU8" s="49">
        <f>COUNTIF(LU2:LU425,"άριστη")</f>
        <v>3</v>
      </c>
      <c r="KV8" s="49">
        <f>COUNTIF(LV2:LV425,"άριστη")</f>
        <v>3</v>
      </c>
      <c r="KW8" s="102">
        <f>COUNTIF(LW2:LW425,"άριστη")</f>
        <v>3</v>
      </c>
      <c r="KX8" s="170">
        <f>SUM(KT8:KW8)</f>
        <v>11</v>
      </c>
      <c r="KY8" s="138"/>
      <c r="KZ8" s="138"/>
      <c r="LA8" s="138"/>
      <c r="LB8" s="138"/>
      <c r="LC8" s="138"/>
      <c r="LD8" s="138"/>
      <c r="LE8" s="168"/>
      <c r="LF8" s="3">
        <v>7</v>
      </c>
      <c r="LG8" s="2" t="s">
        <v>2430</v>
      </c>
      <c r="LH8" s="157"/>
      <c r="LI8" s="3" t="s">
        <v>2432</v>
      </c>
      <c r="LJ8" s="3" t="s">
        <v>2432</v>
      </c>
      <c r="LK8" s="3" t="s">
        <v>2432</v>
      </c>
      <c r="LL8" s="3" t="s">
        <v>2432</v>
      </c>
      <c r="LM8" s="2"/>
      <c r="LN8" s="93"/>
      <c r="LO8" s="3" t="s">
        <v>2432</v>
      </c>
      <c r="LP8" s="3" t="s">
        <v>2432</v>
      </c>
      <c r="LQ8" s="3" t="s">
        <v>2435</v>
      </c>
      <c r="LR8" s="2"/>
      <c r="LS8" s="85"/>
      <c r="LT8" s="3" t="s">
        <v>2432</v>
      </c>
      <c r="LU8" s="3" t="s">
        <v>2435</v>
      </c>
      <c r="LV8" s="3" t="s">
        <v>2432</v>
      </c>
      <c r="LW8" s="3" t="s">
        <v>2435</v>
      </c>
      <c r="LX8" s="2"/>
      <c r="LY8" s="168"/>
      <c r="LZ8" s="2" t="s">
        <v>2430</v>
      </c>
      <c r="MA8" s="2" t="s">
        <v>2436</v>
      </c>
      <c r="MB8" s="3" t="s">
        <v>2432</v>
      </c>
      <c r="MC8" s="3" t="s">
        <v>2432</v>
      </c>
      <c r="MD8" s="3" t="s">
        <v>2432</v>
      </c>
      <c r="ME8" s="3" t="s">
        <v>2432</v>
      </c>
      <c r="MF8" s="3" t="s">
        <v>2432</v>
      </c>
      <c r="MG8" s="3" t="s">
        <v>2432</v>
      </c>
      <c r="MH8" s="3" t="s">
        <v>2432</v>
      </c>
      <c r="MI8" s="3" t="s">
        <v>2432</v>
      </c>
      <c r="MJ8" s="2" t="s">
        <v>2661</v>
      </c>
      <c r="MN8" s="408" t="s">
        <v>2662</v>
      </c>
      <c r="MO8" s="409" t="s">
        <v>2663</v>
      </c>
      <c r="MZ8" s="437" t="s">
        <v>2664</v>
      </c>
      <c r="NL8" s="441">
        <v>7</v>
      </c>
      <c r="NM8" s="2" t="s">
        <v>2665</v>
      </c>
      <c r="NN8" s="444" t="s">
        <v>2666</v>
      </c>
      <c r="NO8" s="2">
        <v>6975793246</v>
      </c>
      <c r="NP8" s="2" t="s">
        <v>2667</v>
      </c>
      <c r="NQ8" s="2"/>
      <c r="NR8" s="2" t="s">
        <v>2668</v>
      </c>
      <c r="NS8" s="2" t="s">
        <v>2669</v>
      </c>
    </row>
    <row r="9" spans="1:383" ht="316.5" thickTop="1" thickBot="1">
      <c r="A9" s="66">
        <v>8</v>
      </c>
      <c r="B9" s="56" t="s">
        <v>2394</v>
      </c>
      <c r="C9" s="12" t="s">
        <v>2447</v>
      </c>
      <c r="D9" s="12">
        <v>6976890221</v>
      </c>
      <c r="E9" s="28" t="s">
        <v>2439</v>
      </c>
      <c r="F9" s="1389" t="s">
        <v>2379</v>
      </c>
      <c r="G9" s="1390"/>
      <c r="H9" s="1391"/>
      <c r="I9" s="9"/>
      <c r="J9" s="198"/>
      <c r="M9" s="3">
        <v>1</v>
      </c>
      <c r="R9" s="416" t="s">
        <v>575</v>
      </c>
      <c r="S9" s="417" t="s">
        <v>576</v>
      </c>
      <c r="T9" s="418" t="s">
        <v>577</v>
      </c>
      <c r="U9" s="419">
        <v>6955515575</v>
      </c>
      <c r="V9" s="420" t="s">
        <v>2670</v>
      </c>
      <c r="W9" s="3">
        <v>2</v>
      </c>
      <c r="X9" s="401" t="s">
        <v>2445</v>
      </c>
      <c r="Y9" s="401" t="s">
        <v>2445</v>
      </c>
      <c r="AB9" s="346" t="s">
        <v>603</v>
      </c>
      <c r="AC9" s="346" t="s">
        <v>604</v>
      </c>
      <c r="AD9" s="17">
        <v>46</v>
      </c>
      <c r="AE9" s="17">
        <v>20</v>
      </c>
      <c r="AF9" s="17">
        <v>22</v>
      </c>
      <c r="AG9" s="17">
        <v>2</v>
      </c>
      <c r="AH9" s="361">
        <f t="shared" si="2"/>
        <v>90</v>
      </c>
      <c r="AI9" s="136" t="s">
        <v>2387</v>
      </c>
      <c r="AM9" s="275">
        <v>45792</v>
      </c>
      <c r="AN9" s="276" t="s">
        <v>2537</v>
      </c>
      <c r="AO9" s="276"/>
      <c r="AP9" s="276"/>
      <c r="AS9" s="275">
        <v>45820</v>
      </c>
      <c r="AT9" s="276" t="s">
        <v>2537</v>
      </c>
      <c r="AU9" s="276"/>
      <c r="AV9" s="276"/>
      <c r="AY9" s="382"/>
      <c r="AZ9" s="383"/>
      <c r="BA9" s="383"/>
      <c r="BC9" s="2"/>
      <c r="BL9" s="3"/>
      <c r="BM9" s="322" t="s">
        <v>2671</v>
      </c>
      <c r="BO9">
        <f>3+2+3</f>
        <v>8</v>
      </c>
      <c r="BP9" s="324">
        <f>3+3+2+3+2+3+2</f>
        <v>18</v>
      </c>
      <c r="BQ9" s="324">
        <f>3+3+2+3</f>
        <v>11</v>
      </c>
      <c r="BR9" s="324">
        <f>2+3+3+2</f>
        <v>10</v>
      </c>
      <c r="BS9">
        <f>1+3+3</f>
        <v>7</v>
      </c>
      <c r="BT9">
        <f>3+3+2</f>
        <v>8</v>
      </c>
      <c r="BU9" s="324">
        <f>3+3+2+3+2</f>
        <v>13</v>
      </c>
      <c r="BV9" s="324">
        <f>2+2+3+2+3+2+2</f>
        <v>16</v>
      </c>
      <c r="BW9" s="324">
        <f>2+3+2+3+2+3+2+3+3+2+3+3+2+3+5</f>
        <v>41</v>
      </c>
      <c r="BX9">
        <f>2</f>
        <v>2</v>
      </c>
      <c r="BZ9" s="324">
        <f>3+2+3+3+2+5</f>
        <v>18</v>
      </c>
      <c r="CA9" s="325">
        <v>9</v>
      </c>
      <c r="CB9" s="2"/>
      <c r="CJ9" s="331"/>
      <c r="CK9" s="326" t="s">
        <v>2656</v>
      </c>
      <c r="CL9" s="327">
        <f>4</f>
        <v>4</v>
      </c>
      <c r="CM9" s="327">
        <f>4</f>
        <v>4</v>
      </c>
      <c r="CN9" s="327">
        <f>1+4+4</f>
        <v>9</v>
      </c>
      <c r="CO9" s="327"/>
      <c r="CP9" s="327"/>
      <c r="CQ9" s="329">
        <v>9</v>
      </c>
      <c r="CR9" s="326" t="s">
        <v>2672</v>
      </c>
      <c r="CS9" s="328">
        <f>6+2+3+4</f>
        <v>15</v>
      </c>
      <c r="CT9" s="328">
        <f>6+6+2+3+4</f>
        <v>21</v>
      </c>
      <c r="CU9" s="327"/>
      <c r="CV9" s="328">
        <f>6+2+3+4</f>
        <v>15</v>
      </c>
      <c r="CW9" s="327">
        <f>2+3+4</f>
        <v>9</v>
      </c>
      <c r="CX9" s="327"/>
      <c r="CY9" s="332">
        <v>9</v>
      </c>
      <c r="CZ9" s="322" t="s">
        <v>614</v>
      </c>
      <c r="DF9" s="325">
        <v>5</v>
      </c>
      <c r="DI9" s="1343" t="s">
        <v>2673</v>
      </c>
      <c r="DJ9" s="1343"/>
      <c r="DK9" s="1343"/>
      <c r="DL9" s="1343"/>
      <c r="DM9" s="1343"/>
      <c r="DN9" s="88"/>
      <c r="DO9" s="88"/>
      <c r="DP9" s="88"/>
      <c r="DQ9" s="88"/>
      <c r="DT9" s="1343" t="s">
        <v>2673</v>
      </c>
      <c r="DU9" s="1343"/>
      <c r="DV9" s="1343"/>
      <c r="DW9" s="1343"/>
      <c r="DX9" s="1343"/>
      <c r="EA9" s="305">
        <v>8</v>
      </c>
      <c r="EB9" s="305" t="s">
        <v>2674</v>
      </c>
      <c r="EC9" s="305" t="s">
        <v>2458</v>
      </c>
      <c r="ED9" s="305" t="s">
        <v>2675</v>
      </c>
      <c r="EE9" s="305" t="s">
        <v>2676</v>
      </c>
      <c r="EF9" s="305" t="s">
        <v>2677</v>
      </c>
      <c r="EJ9" s="286" t="s">
        <v>2628</v>
      </c>
      <c r="EK9" s="286" t="s">
        <v>2628</v>
      </c>
      <c r="EL9" s="287" t="s">
        <v>2678</v>
      </c>
      <c r="EM9" s="133" t="s">
        <v>2679</v>
      </c>
      <c r="EV9" s="2"/>
      <c r="EW9" s="81"/>
      <c r="EX9" s="190" t="s">
        <v>2680</v>
      </c>
      <c r="EY9" s="2"/>
      <c r="EZ9" s="294" t="s">
        <v>2630</v>
      </c>
      <c r="FA9" s="81"/>
      <c r="FB9" s="337"/>
      <c r="FC9" s="334"/>
      <c r="FD9" s="81"/>
      <c r="FE9" s="81"/>
      <c r="FF9" s="81"/>
      <c r="FK9" s="117" t="s">
        <v>2673</v>
      </c>
      <c r="FL9" s="97" t="s">
        <v>2681</v>
      </c>
      <c r="FM9" s="97" t="s">
        <v>2658</v>
      </c>
      <c r="FN9" s="97" t="s">
        <v>2682</v>
      </c>
      <c r="FO9" s="122" t="s">
        <v>2520</v>
      </c>
      <c r="FP9" s="97"/>
      <c r="FQ9" s="97"/>
      <c r="FR9" s="118"/>
      <c r="FV9" s="53" t="s">
        <v>2683</v>
      </c>
      <c r="FW9" s="48" t="s">
        <v>2684</v>
      </c>
      <c r="FX9" s="268" t="s">
        <v>575</v>
      </c>
      <c r="FY9" s="48" t="s">
        <v>576</v>
      </c>
      <c r="FZ9" s="48" t="s">
        <v>577</v>
      </c>
      <c r="GA9" s="51"/>
      <c r="GB9" s="54"/>
      <c r="GM9" s="1336" t="s">
        <v>48</v>
      </c>
      <c r="GN9" s="1336"/>
      <c r="GO9" s="1336"/>
      <c r="GP9" s="1336"/>
      <c r="GQ9" s="1336"/>
      <c r="GR9" s="1336"/>
      <c r="GS9" s="1336"/>
      <c r="GT9" s="1336"/>
      <c r="GU9" s="1336"/>
      <c r="GV9" s="1336"/>
      <c r="GW9" s="1336"/>
      <c r="GX9" s="1336"/>
      <c r="GY9" s="1336"/>
      <c r="GZ9" s="1336"/>
      <c r="HA9" s="1336"/>
      <c r="HB9" s="1336"/>
      <c r="HJ9" s="168"/>
      <c r="HK9" s="3">
        <v>8</v>
      </c>
      <c r="HL9" s="2" t="s">
        <v>2430</v>
      </c>
      <c r="HM9" s="157"/>
      <c r="HN9" s="3" t="s">
        <v>2431</v>
      </c>
      <c r="HO9" s="3" t="s">
        <v>2431</v>
      </c>
      <c r="HP9" s="3" t="s">
        <v>2431</v>
      </c>
      <c r="HQ9" s="3" t="s">
        <v>2433</v>
      </c>
      <c r="HS9" s="93"/>
      <c r="HT9" s="3" t="s">
        <v>2433</v>
      </c>
      <c r="HU9" s="3" t="s">
        <v>2433</v>
      </c>
      <c r="HV9" s="3" t="s">
        <v>2431</v>
      </c>
      <c r="HX9" s="85"/>
      <c r="HY9" s="3" t="s">
        <v>2433</v>
      </c>
      <c r="HZ9" s="3" t="s">
        <v>2433</v>
      </c>
      <c r="IA9" s="3" t="s">
        <v>2433</v>
      </c>
      <c r="IB9" s="3" t="s">
        <v>2433</v>
      </c>
      <c r="ID9" s="168"/>
      <c r="IE9" s="2" t="s">
        <v>2430</v>
      </c>
      <c r="IF9" s="2" t="s">
        <v>2436</v>
      </c>
      <c r="IG9" s="3" t="s">
        <v>2431</v>
      </c>
      <c r="IH9" s="3" t="s">
        <v>2431</v>
      </c>
      <c r="II9" s="3" t="s">
        <v>2433</v>
      </c>
      <c r="IJ9" s="3" t="s">
        <v>2431</v>
      </c>
      <c r="IK9" s="3" t="s">
        <v>2431</v>
      </c>
      <c r="IL9" s="3" t="s">
        <v>2431</v>
      </c>
      <c r="IM9" s="3" t="s">
        <v>2431</v>
      </c>
      <c r="IN9" s="3" t="s">
        <v>2431</v>
      </c>
      <c r="IO9" s="2" t="s">
        <v>2685</v>
      </c>
      <c r="JH9" s="1336" t="s">
        <v>48</v>
      </c>
      <c r="JI9" s="1336"/>
      <c r="JJ9" s="1336"/>
      <c r="JK9" s="1336"/>
      <c r="JL9" s="1336"/>
      <c r="JM9" s="1336"/>
      <c r="JN9" s="1336"/>
      <c r="JO9" s="1336"/>
      <c r="JP9" s="1336"/>
      <c r="JQ9" s="1336"/>
      <c r="JR9" s="1336"/>
      <c r="JS9" s="1336"/>
      <c r="JT9" s="1336"/>
      <c r="JU9" s="1336"/>
      <c r="JV9" s="1336"/>
      <c r="JW9" s="1336"/>
      <c r="KB9" s="136"/>
      <c r="KC9" s="3"/>
      <c r="KD9" s="3"/>
      <c r="KE9" s="3"/>
      <c r="KF9" s="136"/>
      <c r="KG9" s="136"/>
      <c r="KH9" s="1336" t="s">
        <v>48</v>
      </c>
      <c r="KI9" s="1336"/>
      <c r="KJ9" s="1336"/>
      <c r="KK9" s="1336"/>
      <c r="KL9" s="1336"/>
      <c r="KM9" s="1336"/>
      <c r="KN9" s="1336"/>
      <c r="KO9" s="1336"/>
      <c r="KP9" s="1336"/>
      <c r="KQ9" s="1336"/>
      <c r="KR9" s="1336"/>
      <c r="KS9" s="1336"/>
      <c r="KT9" s="1336"/>
      <c r="KU9" s="1336"/>
      <c r="KV9" s="1336"/>
      <c r="KW9" s="1336"/>
      <c r="LE9" s="168"/>
      <c r="LF9" s="3">
        <v>8</v>
      </c>
      <c r="LG9" s="2" t="s">
        <v>2430</v>
      </c>
      <c r="LH9" s="157"/>
      <c r="LI9" s="3" t="s">
        <v>2431</v>
      </c>
      <c r="LJ9" s="3" t="s">
        <v>2431</v>
      </c>
      <c r="LK9" s="3" t="s">
        <v>2431</v>
      </c>
      <c r="LL9" s="3" t="s">
        <v>2433</v>
      </c>
      <c r="LM9" s="2"/>
      <c r="LN9" s="93"/>
      <c r="LO9" s="3" t="s">
        <v>2433</v>
      </c>
      <c r="LP9" s="3" t="s">
        <v>2433</v>
      </c>
      <c r="LQ9" s="3" t="s">
        <v>2431</v>
      </c>
      <c r="LR9" s="2"/>
      <c r="LS9" s="85"/>
      <c r="LT9" s="3" t="s">
        <v>2433</v>
      </c>
      <c r="LU9" s="3" t="s">
        <v>2433</v>
      </c>
      <c r="LV9" s="3" t="s">
        <v>2433</v>
      </c>
      <c r="LW9" s="3" t="s">
        <v>2433</v>
      </c>
      <c r="LX9" s="2"/>
      <c r="LY9" s="168"/>
      <c r="LZ9" s="2" t="s">
        <v>2430</v>
      </c>
      <c r="MA9" s="2" t="s">
        <v>2436</v>
      </c>
      <c r="MB9" s="3" t="s">
        <v>2431</v>
      </c>
      <c r="MC9" s="3" t="s">
        <v>2431</v>
      </c>
      <c r="MD9" s="3" t="s">
        <v>2433</v>
      </c>
      <c r="ME9" s="3" t="s">
        <v>2431</v>
      </c>
      <c r="MF9" s="3" t="s">
        <v>2431</v>
      </c>
      <c r="MG9" s="3" t="s">
        <v>2431</v>
      </c>
      <c r="MH9" s="3" t="s">
        <v>2431</v>
      </c>
      <c r="MI9" s="3" t="s">
        <v>2431</v>
      </c>
      <c r="MJ9" s="2" t="s">
        <v>2685</v>
      </c>
      <c r="MN9" s="408" t="s">
        <v>2686</v>
      </c>
      <c r="MQ9" s="409" t="s">
        <v>2687</v>
      </c>
      <c r="MZ9" s="437" t="s">
        <v>2688</v>
      </c>
      <c r="NL9" s="442">
        <v>8</v>
      </c>
      <c r="NM9" s="2" t="s">
        <v>2689</v>
      </c>
      <c r="NN9" s="443" t="s">
        <v>2647</v>
      </c>
      <c r="NO9" s="2">
        <v>6974839532</v>
      </c>
      <c r="NP9" s="2" t="s">
        <v>2690</v>
      </c>
      <c r="NQ9" s="2" t="s">
        <v>2691</v>
      </c>
      <c r="NR9" s="2" t="s">
        <v>2692</v>
      </c>
      <c r="NS9" s="2"/>
    </row>
    <row r="10" spans="1:383" ht="271.5" thickTop="1" thickBot="1">
      <c r="A10" s="64">
        <v>1</v>
      </c>
      <c r="B10" s="11" t="s">
        <v>518</v>
      </c>
      <c r="C10" s="11" t="s">
        <v>784</v>
      </c>
      <c r="D10" s="11">
        <v>6971897078</v>
      </c>
      <c r="E10" s="29" t="s">
        <v>519</v>
      </c>
      <c r="F10" s="1383" t="s">
        <v>2693</v>
      </c>
      <c r="G10" s="1384"/>
      <c r="H10" s="1385"/>
      <c r="I10" s="23"/>
      <c r="J10" s="198"/>
      <c r="K10" s="1" t="s">
        <v>2694</v>
      </c>
      <c r="L10" s="186" t="s">
        <v>2695</v>
      </c>
      <c r="M10" s="3">
        <v>0</v>
      </c>
      <c r="R10" s="416" t="s">
        <v>592</v>
      </c>
      <c r="S10" s="417" t="s">
        <v>593</v>
      </c>
      <c r="T10" s="418" t="s">
        <v>594</v>
      </c>
      <c r="U10" s="419">
        <v>6948486899</v>
      </c>
      <c r="V10" s="420"/>
      <c r="W10" s="3">
        <v>4</v>
      </c>
      <c r="X10" s="401" t="s">
        <v>2445</v>
      </c>
      <c r="Y10" s="401" t="s">
        <v>2445</v>
      </c>
      <c r="AB10" s="346" t="s">
        <v>2696</v>
      </c>
      <c r="AC10" s="346" t="s">
        <v>2448</v>
      </c>
      <c r="AD10" s="17">
        <v>47</v>
      </c>
      <c r="AE10" s="17">
        <v>23</v>
      </c>
      <c r="AF10" s="17">
        <v>40</v>
      </c>
      <c r="AG10" s="17">
        <v>10</v>
      </c>
      <c r="AH10" s="361">
        <f t="shared" si="2"/>
        <v>120</v>
      </c>
      <c r="AI10" s="136" t="s">
        <v>2387</v>
      </c>
      <c r="AM10" s="275">
        <v>45794</v>
      </c>
      <c r="AN10" s="276" t="s">
        <v>2537</v>
      </c>
      <c r="AO10" s="276"/>
      <c r="AP10" s="276"/>
      <c r="AS10" s="275">
        <v>45822</v>
      </c>
      <c r="AT10" s="276" t="s">
        <v>2537</v>
      </c>
      <c r="AU10" s="276"/>
      <c r="AV10" s="276"/>
      <c r="AY10" s="382"/>
      <c r="AZ10" s="383"/>
      <c r="BA10" s="383"/>
      <c r="BC10" s="2"/>
      <c r="BL10" s="3"/>
      <c r="BM10" s="326" t="s">
        <v>1169</v>
      </c>
      <c r="BN10" s="327"/>
      <c r="BO10" s="327"/>
      <c r="BP10" s="328">
        <f>3+4+4</f>
        <v>11</v>
      </c>
      <c r="BQ10" s="327">
        <f>3+4</f>
        <v>7</v>
      </c>
      <c r="BR10" s="328">
        <f>4+4</f>
        <v>8</v>
      </c>
      <c r="BS10" s="327">
        <f>4</f>
        <v>4</v>
      </c>
      <c r="BT10" s="327">
        <f>4</f>
        <v>4</v>
      </c>
      <c r="BU10" s="328">
        <f>4+4</f>
        <v>8</v>
      </c>
      <c r="BV10" s="328">
        <f>4+4+4+4</f>
        <v>16</v>
      </c>
      <c r="BW10" s="328">
        <f>4+4+2+4+3+4+4+1</f>
        <v>26</v>
      </c>
      <c r="BX10" s="327">
        <f>4</f>
        <v>4</v>
      </c>
      <c r="BY10" s="327"/>
      <c r="BZ10" s="328">
        <f>4+4+1</f>
        <v>9</v>
      </c>
      <c r="CA10" s="329">
        <v>7</v>
      </c>
      <c r="CB10" s="2"/>
      <c r="CJ10" s="331"/>
      <c r="CK10" s="2"/>
      <c r="CR10" s="2"/>
      <c r="CZ10" s="322" t="s">
        <v>2697</v>
      </c>
      <c r="DF10" s="325">
        <v>5</v>
      </c>
      <c r="DI10" s="82" t="s">
        <v>2698</v>
      </c>
      <c r="DJ10" s="82" t="s">
        <v>2699</v>
      </c>
      <c r="DL10" s="2" t="s">
        <v>2700</v>
      </c>
      <c r="DM10" s="2" t="s">
        <v>2701</v>
      </c>
      <c r="DN10" s="1337" t="s">
        <v>2702</v>
      </c>
      <c r="DO10" s="1145"/>
      <c r="DP10" s="1145"/>
      <c r="DQ10" s="1145"/>
      <c r="DT10" s="92" t="s">
        <v>2703</v>
      </c>
      <c r="DU10" s="201" t="s">
        <v>2704</v>
      </c>
      <c r="DW10" s="93" t="s">
        <v>2700</v>
      </c>
      <c r="DX10" s="93" t="s">
        <v>2701</v>
      </c>
      <c r="EK10" s="262" t="s">
        <v>2513</v>
      </c>
      <c r="EL10" s="286" t="s">
        <v>2579</v>
      </c>
      <c r="EV10" s="2"/>
      <c r="EW10" s="2"/>
      <c r="EX10" s="294" t="s">
        <v>2705</v>
      </c>
      <c r="EY10" s="2"/>
      <c r="EZ10" s="352" t="s">
        <v>2628</v>
      </c>
      <c r="FA10" s="81"/>
      <c r="FB10" s="337"/>
      <c r="FC10" s="334"/>
      <c r="FD10" s="81"/>
      <c r="FE10" s="81"/>
      <c r="FF10" s="81"/>
      <c r="FK10" s="119" t="s">
        <v>2673</v>
      </c>
      <c r="FL10" s="53" t="s">
        <v>2706</v>
      </c>
      <c r="FM10" s="96" t="s">
        <v>2658</v>
      </c>
      <c r="FN10" s="48" t="s">
        <v>2707</v>
      </c>
      <c r="FO10" s="122" t="s">
        <v>2520</v>
      </c>
      <c r="FP10" s="48"/>
      <c r="FQ10" s="48"/>
      <c r="FR10" s="100"/>
      <c r="FV10" s="53" t="s">
        <v>2708</v>
      </c>
      <c r="FW10" s="53" t="s">
        <v>2709</v>
      </c>
      <c r="FX10" s="268" t="s">
        <v>592</v>
      </c>
      <c r="FY10" s="48" t="s">
        <v>593</v>
      </c>
      <c r="FZ10" s="48" t="s">
        <v>594</v>
      </c>
      <c r="GA10" s="51">
        <v>6948486899</v>
      </c>
      <c r="GB10" s="54"/>
      <c r="GM10" s="175" t="s">
        <v>2710</v>
      </c>
      <c r="GN10" s="171" t="s">
        <v>2354</v>
      </c>
      <c r="GO10" s="171" t="s">
        <v>2355</v>
      </c>
      <c r="GP10" s="171" t="s">
        <v>2356</v>
      </c>
      <c r="GQ10" s="172" t="s">
        <v>2357</v>
      </c>
      <c r="GR10" s="171" t="s">
        <v>2358</v>
      </c>
      <c r="GS10" s="171" t="s">
        <v>2359</v>
      </c>
      <c r="GT10" s="171" t="s">
        <v>2360</v>
      </c>
      <c r="GU10" s="172" t="s">
        <v>2361</v>
      </c>
      <c r="GV10" s="6" t="s">
        <v>2480</v>
      </c>
      <c r="HJ10" s="168"/>
      <c r="HK10" s="3">
        <v>9</v>
      </c>
      <c r="HL10" s="2" t="s">
        <v>2430</v>
      </c>
      <c r="HM10" s="157"/>
      <c r="HN10" s="3" t="s">
        <v>2431</v>
      </c>
      <c r="HO10" s="3" t="s">
        <v>2431</v>
      </c>
      <c r="HP10" s="3" t="s">
        <v>2431</v>
      </c>
      <c r="HQ10" s="3" t="s">
        <v>2431</v>
      </c>
      <c r="HS10" s="93"/>
      <c r="HT10" s="3" t="s">
        <v>2431</v>
      </c>
      <c r="HU10" s="3" t="s">
        <v>2431</v>
      </c>
      <c r="HV10" s="3" t="s">
        <v>2431</v>
      </c>
      <c r="HX10" s="85"/>
      <c r="HY10" s="3" t="s">
        <v>2435</v>
      </c>
      <c r="HZ10" s="3" t="s">
        <v>2435</v>
      </c>
      <c r="IA10" s="3" t="s">
        <v>2435</v>
      </c>
      <c r="IB10" s="3" t="s">
        <v>2435</v>
      </c>
      <c r="ID10" s="168"/>
      <c r="IE10" s="2" t="s">
        <v>2430</v>
      </c>
      <c r="IF10" s="2" t="s">
        <v>2436</v>
      </c>
      <c r="IG10" s="3" t="s">
        <v>2431</v>
      </c>
      <c r="IH10" s="3" t="s">
        <v>2431</v>
      </c>
      <c r="II10" s="3" t="s">
        <v>2431</v>
      </c>
      <c r="IJ10" s="3" t="s">
        <v>2431</v>
      </c>
      <c r="IK10" s="3" t="s">
        <v>2431</v>
      </c>
      <c r="IL10" s="3" t="s">
        <v>2431</v>
      </c>
      <c r="IM10" s="3" t="s">
        <v>2431</v>
      </c>
      <c r="IN10" s="3" t="s">
        <v>2431</v>
      </c>
      <c r="JH10" s="175" t="s">
        <v>2710</v>
      </c>
      <c r="JI10" s="171" t="s">
        <v>2354</v>
      </c>
      <c r="JJ10" s="171" t="s">
        <v>2355</v>
      </c>
      <c r="JK10" s="171" t="s">
        <v>2356</v>
      </c>
      <c r="JL10" s="172" t="s">
        <v>2357</v>
      </c>
      <c r="JM10" s="171" t="s">
        <v>2358</v>
      </c>
      <c r="JN10" s="171" t="s">
        <v>2359</v>
      </c>
      <c r="JO10" s="171" t="s">
        <v>2360</v>
      </c>
      <c r="JP10" s="172" t="s">
        <v>2361</v>
      </c>
      <c r="JQ10" s="6" t="s">
        <v>2480</v>
      </c>
      <c r="KB10" s="136"/>
      <c r="KC10" s="3"/>
      <c r="KD10" s="3"/>
      <c r="KE10" s="3"/>
      <c r="KF10" s="136"/>
      <c r="KG10" s="136"/>
      <c r="KH10" s="175" t="s">
        <v>2710</v>
      </c>
      <c r="KI10" s="171" t="s">
        <v>2354</v>
      </c>
      <c r="KJ10" s="171" t="s">
        <v>2355</v>
      </c>
      <c r="KK10" s="171" t="s">
        <v>2356</v>
      </c>
      <c r="KL10" s="172" t="s">
        <v>2357</v>
      </c>
      <c r="KM10" s="171" t="s">
        <v>2358</v>
      </c>
      <c r="KN10" s="171" t="s">
        <v>2359</v>
      </c>
      <c r="KO10" s="171" t="s">
        <v>2360</v>
      </c>
      <c r="KP10" s="172" t="s">
        <v>2361</v>
      </c>
      <c r="KQ10" s="6" t="s">
        <v>2480</v>
      </c>
      <c r="LE10" s="168"/>
      <c r="LF10" s="3">
        <v>9</v>
      </c>
      <c r="LG10" s="2" t="s">
        <v>2430</v>
      </c>
      <c r="LH10" s="157"/>
      <c r="LI10" s="3" t="s">
        <v>2431</v>
      </c>
      <c r="LJ10" s="3" t="s">
        <v>2431</v>
      </c>
      <c r="LK10" s="3" t="s">
        <v>2431</v>
      </c>
      <c r="LL10" s="3" t="s">
        <v>2431</v>
      </c>
      <c r="LM10" s="2"/>
      <c r="LN10" s="93"/>
      <c r="LO10" s="3" t="s">
        <v>2431</v>
      </c>
      <c r="LP10" s="3" t="s">
        <v>2431</v>
      </c>
      <c r="LQ10" s="3" t="s">
        <v>2431</v>
      </c>
      <c r="LR10" s="2"/>
      <c r="LS10" s="85"/>
      <c r="LT10" s="3" t="s">
        <v>2435</v>
      </c>
      <c r="LU10" s="3" t="s">
        <v>2435</v>
      </c>
      <c r="LV10" s="3" t="s">
        <v>2435</v>
      </c>
      <c r="LW10" s="3" t="s">
        <v>2435</v>
      </c>
      <c r="LX10" s="2"/>
      <c r="LY10" s="168"/>
      <c r="LZ10" s="2" t="s">
        <v>2430</v>
      </c>
      <c r="MA10" s="2" t="s">
        <v>2436</v>
      </c>
      <c r="MB10" s="3" t="s">
        <v>2431</v>
      </c>
      <c r="MC10" s="3" t="s">
        <v>2431</v>
      </c>
      <c r="MD10" s="3" t="s">
        <v>2431</v>
      </c>
      <c r="ME10" s="3" t="s">
        <v>2431</v>
      </c>
      <c r="MF10" s="3" t="s">
        <v>2431</v>
      </c>
      <c r="MG10" s="3" t="s">
        <v>2431</v>
      </c>
      <c r="MH10" s="3" t="s">
        <v>2431</v>
      </c>
      <c r="MI10" s="3" t="s">
        <v>2431</v>
      </c>
      <c r="MJ10" s="2"/>
      <c r="NL10" s="510">
        <v>9</v>
      </c>
      <c r="NM10" s="2" t="s">
        <v>2711</v>
      </c>
      <c r="NN10" s="443" t="s">
        <v>2712</v>
      </c>
      <c r="NO10" s="2">
        <v>6988607936</v>
      </c>
      <c r="NP10" s="2" t="s">
        <v>2713</v>
      </c>
      <c r="NQ10" s="2" t="s">
        <v>2714</v>
      </c>
      <c r="NR10" s="2" t="s">
        <v>2715</v>
      </c>
      <c r="NS10" s="2"/>
    </row>
    <row r="11" spans="1:383" ht="256.5" thickTop="1" thickBot="1">
      <c r="A11" s="65">
        <v>2</v>
      </c>
      <c r="B11" s="10" t="s">
        <v>527</v>
      </c>
      <c r="C11" s="10" t="s">
        <v>475</v>
      </c>
      <c r="D11" s="10">
        <v>6976606306</v>
      </c>
      <c r="E11" s="30" t="s">
        <v>528</v>
      </c>
      <c r="F11" s="1386" t="s">
        <v>2693</v>
      </c>
      <c r="G11" s="1387"/>
      <c r="H11" s="1388"/>
      <c r="I11" s="24"/>
      <c r="J11" s="198"/>
      <c r="M11" s="3">
        <v>1</v>
      </c>
      <c r="R11" s="421" t="s">
        <v>2716</v>
      </c>
      <c r="S11" s="285" t="s">
        <v>773</v>
      </c>
      <c r="T11" s="422" t="s">
        <v>2717</v>
      </c>
      <c r="U11" s="423">
        <v>6947560903</v>
      </c>
      <c r="V11" s="424"/>
      <c r="W11" s="366" t="s">
        <v>2718</v>
      </c>
      <c r="X11" s="406" t="s">
        <v>2719</v>
      </c>
      <c r="Y11" s="81"/>
      <c r="AB11" s="346" t="s">
        <v>539</v>
      </c>
      <c r="AC11" s="346" t="s">
        <v>540</v>
      </c>
      <c r="AD11" s="17">
        <v>10</v>
      </c>
      <c r="AE11" s="17">
        <v>6</v>
      </c>
      <c r="AF11" s="17">
        <v>12</v>
      </c>
      <c r="AG11" s="17">
        <v>2</v>
      </c>
      <c r="AH11" s="361">
        <f t="shared" si="2"/>
        <v>30</v>
      </c>
      <c r="AI11" s="136" t="s">
        <v>2387</v>
      </c>
      <c r="AM11" s="273">
        <v>45798</v>
      </c>
      <c r="AN11" s="274" t="s">
        <v>2537</v>
      </c>
      <c r="AO11" s="274"/>
      <c r="AP11" s="274"/>
      <c r="AS11" s="273">
        <v>45826</v>
      </c>
      <c r="AT11" s="274" t="s">
        <v>2537</v>
      </c>
      <c r="AU11" s="274"/>
      <c r="AV11" s="274"/>
      <c r="AY11" s="382"/>
      <c r="AZ11" s="383"/>
      <c r="BA11" s="383"/>
      <c r="BC11" s="2"/>
      <c r="BL11" s="3"/>
      <c r="BM11" s="2"/>
      <c r="CA11" s="3"/>
      <c r="CB11" s="2"/>
      <c r="CJ11" s="3"/>
      <c r="CK11" s="2"/>
      <c r="CR11" s="2"/>
      <c r="CZ11" s="322" t="s">
        <v>2720</v>
      </c>
      <c r="DF11" s="325">
        <v>5</v>
      </c>
      <c r="DI11" s="82" t="s">
        <v>2721</v>
      </c>
      <c r="DJ11" s="82" t="s">
        <v>2722</v>
      </c>
      <c r="DL11" s="2" t="s">
        <v>2723</v>
      </c>
      <c r="DM11" s="2" t="s">
        <v>2724</v>
      </c>
      <c r="DN11" s="1145"/>
      <c r="DO11" s="1145"/>
      <c r="DP11" s="1145"/>
      <c r="DQ11" s="1145"/>
      <c r="DT11" s="92" t="s">
        <v>2725</v>
      </c>
      <c r="DU11" s="92" t="s">
        <v>2726</v>
      </c>
      <c r="DW11" s="93" t="s">
        <v>2723</v>
      </c>
      <c r="DX11" s="93" t="s">
        <v>2724</v>
      </c>
      <c r="EV11" s="2"/>
      <c r="EW11" s="2"/>
      <c r="EX11" s="286" t="s">
        <v>2727</v>
      </c>
      <c r="EY11" s="2"/>
      <c r="EZ11" s="81"/>
      <c r="FA11" s="81"/>
      <c r="FB11" s="337"/>
      <c r="FC11" s="334"/>
      <c r="FD11" s="81"/>
      <c r="FE11" s="81"/>
      <c r="FF11" s="81"/>
      <c r="FK11" s="119" t="s">
        <v>2673</v>
      </c>
      <c r="FL11" s="53" t="s">
        <v>2728</v>
      </c>
      <c r="FM11" s="53" t="s">
        <v>2729</v>
      </c>
      <c r="FN11" s="48" t="s">
        <v>2730</v>
      </c>
      <c r="FO11" s="122" t="s">
        <v>2731</v>
      </c>
      <c r="FP11" s="48"/>
      <c r="FQ11" s="48"/>
      <c r="FR11" s="100"/>
      <c r="FV11" s="53" t="s">
        <v>2683</v>
      </c>
      <c r="FW11" s="48" t="s">
        <v>2732</v>
      </c>
      <c r="FX11" s="268" t="s">
        <v>2716</v>
      </c>
      <c r="FY11" s="48" t="s">
        <v>773</v>
      </c>
      <c r="FZ11" s="48" t="s">
        <v>2717</v>
      </c>
      <c r="GA11" s="51">
        <v>6947560903</v>
      </c>
      <c r="GB11" s="54"/>
      <c r="GM11" s="184" t="s">
        <v>2525</v>
      </c>
      <c r="GN11" s="173">
        <f t="shared" ref="GN11:GU11" si="3">COUNTIFS($BA$2:$BA$425,"ΜΠΙΤΖΟΥ ΘΕΟΔΟΣΙΑ",IG$2:IG$425,"κακή")</f>
        <v>0</v>
      </c>
      <c r="GO11" s="173">
        <f t="shared" si="3"/>
        <v>0</v>
      </c>
      <c r="GP11" s="173">
        <f t="shared" si="3"/>
        <v>0</v>
      </c>
      <c r="GQ11" s="173">
        <f t="shared" si="3"/>
        <v>0</v>
      </c>
      <c r="GR11" s="173">
        <f t="shared" si="3"/>
        <v>0</v>
      </c>
      <c r="GS11" s="173">
        <f t="shared" si="3"/>
        <v>0</v>
      </c>
      <c r="GT11" s="173">
        <f t="shared" si="3"/>
        <v>0</v>
      </c>
      <c r="GU11" s="174">
        <f t="shared" si="3"/>
        <v>0</v>
      </c>
      <c r="GV11" s="170">
        <f>SUM(GR11:GU11)</f>
        <v>0</v>
      </c>
      <c r="HJ11" s="168"/>
      <c r="HK11" s="3">
        <v>10</v>
      </c>
      <c r="HL11" s="2" t="s">
        <v>2430</v>
      </c>
      <c r="HM11" s="157"/>
      <c r="HN11" s="3" t="s">
        <v>2431</v>
      </c>
      <c r="HO11" s="3" t="s">
        <v>2431</v>
      </c>
      <c r="HP11" s="3" t="s">
        <v>2431</v>
      </c>
      <c r="HQ11" s="3" t="s">
        <v>2431</v>
      </c>
      <c r="HS11" s="93"/>
      <c r="HT11" s="3" t="s">
        <v>2432</v>
      </c>
      <c r="HU11" s="3" t="s">
        <v>2432</v>
      </c>
      <c r="HV11" s="3" t="s">
        <v>2431</v>
      </c>
      <c r="HX11" s="85"/>
      <c r="HY11" s="3" t="s">
        <v>2435</v>
      </c>
      <c r="HZ11" s="3" t="s">
        <v>2435</v>
      </c>
      <c r="IA11" s="3" t="s">
        <v>2435</v>
      </c>
      <c r="IB11" s="3" t="s">
        <v>2435</v>
      </c>
      <c r="ID11" s="168"/>
      <c r="IE11" s="2" t="s">
        <v>2430</v>
      </c>
      <c r="IF11" s="2" t="s">
        <v>2436</v>
      </c>
      <c r="IG11" s="3" t="s">
        <v>2431</v>
      </c>
      <c r="IH11" s="3" t="s">
        <v>2431</v>
      </c>
      <c r="II11" s="3" t="s">
        <v>2431</v>
      </c>
      <c r="IJ11" s="3" t="s">
        <v>2431</v>
      </c>
      <c r="IK11" s="3" t="s">
        <v>2431</v>
      </c>
      <c r="IL11" s="3" t="s">
        <v>2431</v>
      </c>
      <c r="IM11" s="3" t="s">
        <v>2431</v>
      </c>
      <c r="IN11" s="3" t="s">
        <v>2431</v>
      </c>
      <c r="IO11" s="2" t="s">
        <v>2733</v>
      </c>
      <c r="JH11" s="184" t="s">
        <v>2525</v>
      </c>
      <c r="JI11" s="173" t="e">
        <f>#REF!</f>
        <v>#REF!</v>
      </c>
      <c r="JJ11" s="173" t="e">
        <f>#REF!</f>
        <v>#REF!</v>
      </c>
      <c r="JK11" s="173" t="e">
        <f>#REF!</f>
        <v>#REF!</v>
      </c>
      <c r="JL11" s="173" t="e">
        <f>#REF!</f>
        <v>#REF!</v>
      </c>
      <c r="JM11" s="173" t="e">
        <f>#REF!</f>
        <v>#REF!</v>
      </c>
      <c r="JN11" s="173" t="e">
        <f>#REF!</f>
        <v>#REF!</v>
      </c>
      <c r="JO11" s="173" t="e">
        <f>#REF!</f>
        <v>#REF!</v>
      </c>
      <c r="JP11" s="173" t="e">
        <f>#REF!</f>
        <v>#REF!</v>
      </c>
      <c r="JQ11" s="170" t="e">
        <f>SUM(JM11:JP11)</f>
        <v>#REF!</v>
      </c>
      <c r="KB11" s="136"/>
      <c r="KC11" s="3"/>
      <c r="KD11" s="3"/>
      <c r="KE11" s="3"/>
      <c r="KF11" s="136"/>
      <c r="KG11" s="136"/>
      <c r="KH11" s="184" t="s">
        <v>2525</v>
      </c>
      <c r="KI11" s="173">
        <f t="shared" ref="KI11:KP11" si="4">COUNTIFS($BA$2:$BA$425,"ΜΠΙΤΖΟΥ ΘΕΟΔΟΣΙΑ",MB$2:MB$425,"κακή")</f>
        <v>0</v>
      </c>
      <c r="KJ11" s="173">
        <f t="shared" si="4"/>
        <v>0</v>
      </c>
      <c r="KK11" s="173">
        <f t="shared" si="4"/>
        <v>0</v>
      </c>
      <c r="KL11" s="173">
        <f t="shared" si="4"/>
        <v>0</v>
      </c>
      <c r="KM11" s="173">
        <f t="shared" si="4"/>
        <v>0</v>
      </c>
      <c r="KN11" s="173">
        <f t="shared" si="4"/>
        <v>0</v>
      </c>
      <c r="KO11" s="173">
        <f t="shared" si="4"/>
        <v>0</v>
      </c>
      <c r="KP11" s="174">
        <f t="shared" si="4"/>
        <v>0</v>
      </c>
      <c r="KQ11" s="170">
        <f>SUM(KM11:KP11)</f>
        <v>0</v>
      </c>
      <c r="LE11" s="168"/>
      <c r="LF11" s="3">
        <v>10</v>
      </c>
      <c r="LG11" s="2" t="s">
        <v>2430</v>
      </c>
      <c r="LH11" s="157"/>
      <c r="LI11" s="3" t="s">
        <v>2431</v>
      </c>
      <c r="LJ11" s="3" t="s">
        <v>2431</v>
      </c>
      <c r="LK11" s="3" t="s">
        <v>2431</v>
      </c>
      <c r="LL11" s="3" t="s">
        <v>2431</v>
      </c>
      <c r="LM11" s="2"/>
      <c r="LN11" s="93"/>
      <c r="LO11" s="3" t="s">
        <v>2432</v>
      </c>
      <c r="LP11" s="3" t="s">
        <v>2432</v>
      </c>
      <c r="LQ11" s="3" t="s">
        <v>2431</v>
      </c>
      <c r="LR11" s="2"/>
      <c r="LS11" s="85"/>
      <c r="LT11" s="3" t="s">
        <v>2435</v>
      </c>
      <c r="LU11" s="3" t="s">
        <v>2435</v>
      </c>
      <c r="LV11" s="3" t="s">
        <v>2435</v>
      </c>
      <c r="LW11" s="3" t="s">
        <v>2435</v>
      </c>
      <c r="LX11" s="2"/>
      <c r="LY11" s="168"/>
      <c r="LZ11" s="2" t="s">
        <v>2430</v>
      </c>
      <c r="MA11" s="2" t="s">
        <v>2436</v>
      </c>
      <c r="MB11" s="3" t="s">
        <v>2431</v>
      </c>
      <c r="MC11" s="3" t="s">
        <v>2431</v>
      </c>
      <c r="MD11" s="3" t="s">
        <v>2431</v>
      </c>
      <c r="ME11" s="3" t="s">
        <v>2431</v>
      </c>
      <c r="MF11" s="3" t="s">
        <v>2431</v>
      </c>
      <c r="MG11" s="3" t="s">
        <v>2431</v>
      </c>
      <c r="MH11" s="3" t="s">
        <v>2431</v>
      </c>
      <c r="MI11" s="3" t="s">
        <v>2431</v>
      </c>
      <c r="MJ11" s="2" t="s">
        <v>2733</v>
      </c>
      <c r="NF11" s="440"/>
      <c r="NL11" s="510">
        <v>10</v>
      </c>
      <c r="NM11" s="2" t="s">
        <v>2734</v>
      </c>
      <c r="NN11" s="443" t="s">
        <v>2735</v>
      </c>
      <c r="NO11" s="2">
        <v>6984586165</v>
      </c>
      <c r="NP11" s="2" t="s">
        <v>2736</v>
      </c>
      <c r="NQ11" s="2"/>
      <c r="NR11" s="2" t="s">
        <v>2737</v>
      </c>
      <c r="NS11" s="2"/>
    </row>
    <row r="12" spans="1:383" ht="409.6" thickTop="1" thickBot="1">
      <c r="A12" s="65">
        <v>3</v>
      </c>
      <c r="B12" s="10" t="s">
        <v>534</v>
      </c>
      <c r="C12" s="10" t="s">
        <v>533</v>
      </c>
      <c r="D12" s="10">
        <v>6980272629</v>
      </c>
      <c r="E12" s="30" t="s">
        <v>535</v>
      </c>
      <c r="F12" s="1386" t="s">
        <v>2693</v>
      </c>
      <c r="G12" s="1387"/>
      <c r="H12" s="1388"/>
      <c r="I12" s="24"/>
      <c r="J12" s="198"/>
      <c r="M12" s="3">
        <v>0</v>
      </c>
      <c r="R12" s="416" t="s">
        <v>452</v>
      </c>
      <c r="S12" s="417" t="s">
        <v>453</v>
      </c>
      <c r="T12" s="418" t="s">
        <v>455</v>
      </c>
      <c r="U12" s="420" t="s">
        <v>454</v>
      </c>
      <c r="V12" s="420"/>
      <c r="W12" s="3">
        <v>1</v>
      </c>
      <c r="X12" s="401" t="s">
        <v>2445</v>
      </c>
      <c r="Y12" s="401" t="s">
        <v>2445</v>
      </c>
      <c r="AB12" s="346" t="s">
        <v>2587</v>
      </c>
      <c r="AC12" s="346" t="s">
        <v>2738</v>
      </c>
      <c r="AD12" s="17">
        <v>7</v>
      </c>
      <c r="AE12" s="17">
        <v>27</v>
      </c>
      <c r="AF12" s="17">
        <v>28</v>
      </c>
      <c r="AG12" s="17">
        <v>8</v>
      </c>
      <c r="AH12" s="361">
        <f t="shared" si="2"/>
        <v>70</v>
      </c>
      <c r="AI12" s="136" t="s">
        <v>2387</v>
      </c>
      <c r="AM12" s="273">
        <v>45799</v>
      </c>
      <c r="AN12" s="274" t="s">
        <v>2537</v>
      </c>
      <c r="AO12" s="274"/>
      <c r="AP12" s="274"/>
      <c r="AS12" s="273">
        <v>45827</v>
      </c>
      <c r="AT12" s="274" t="s">
        <v>2537</v>
      </c>
      <c r="AU12" s="274"/>
      <c r="AV12" s="274"/>
      <c r="AY12" s="382"/>
      <c r="AZ12" s="383"/>
      <c r="BA12" s="383"/>
      <c r="BC12" s="2"/>
      <c r="BL12" s="3"/>
      <c r="BM12" s="2"/>
      <c r="CA12" s="3"/>
      <c r="CB12" s="2"/>
      <c r="CJ12" s="3"/>
      <c r="CK12" s="2"/>
      <c r="CR12" s="2"/>
      <c r="CZ12" s="322" t="s">
        <v>632</v>
      </c>
      <c r="DF12" s="325">
        <v>7</v>
      </c>
      <c r="DI12" s="82" t="s">
        <v>2739</v>
      </c>
      <c r="DJ12" s="82" t="s">
        <v>2740</v>
      </c>
      <c r="DL12" s="2" t="s">
        <v>2741</v>
      </c>
      <c r="DM12" s="2" t="s">
        <v>2742</v>
      </c>
      <c r="DN12" s="1145"/>
      <c r="DO12" s="1145"/>
      <c r="DP12" s="1145"/>
      <c r="DQ12" s="1145"/>
      <c r="DT12" s="92" t="s">
        <v>2743</v>
      </c>
      <c r="DU12" s="92" t="s">
        <v>2744</v>
      </c>
      <c r="DW12" s="93" t="s">
        <v>2741</v>
      </c>
      <c r="DX12" s="93" t="s">
        <v>2742</v>
      </c>
      <c r="EX12" s="144" t="s">
        <v>2745</v>
      </c>
      <c r="EY12" s="144" t="s">
        <v>2746</v>
      </c>
      <c r="EZ12" s="144" t="s">
        <v>2747</v>
      </c>
      <c r="FA12" s="144" t="s">
        <v>2748</v>
      </c>
      <c r="FB12" s="144" t="s">
        <v>2749</v>
      </c>
      <c r="FK12" s="119" t="s">
        <v>2673</v>
      </c>
      <c r="FL12" s="53" t="s">
        <v>2750</v>
      </c>
      <c r="FM12" s="53" t="s">
        <v>2518</v>
      </c>
      <c r="FN12" s="53" t="s">
        <v>2751</v>
      </c>
      <c r="FO12" s="122" t="s">
        <v>2731</v>
      </c>
      <c r="FP12" s="53"/>
      <c r="FQ12" s="53"/>
      <c r="FR12" s="111"/>
      <c r="FV12" s="53" t="s">
        <v>2752</v>
      </c>
      <c r="FW12" s="53" t="s">
        <v>2753</v>
      </c>
      <c r="FX12" s="268" t="s">
        <v>452</v>
      </c>
      <c r="FY12" s="48" t="s">
        <v>453</v>
      </c>
      <c r="FZ12" s="48" t="s">
        <v>455</v>
      </c>
      <c r="GA12" s="51">
        <v>6944632864</v>
      </c>
      <c r="GB12" s="54"/>
      <c r="GM12" s="184" t="s">
        <v>2435</v>
      </c>
      <c r="GN12" s="173">
        <f t="shared" ref="GN12:GU12" si="5">COUNTIFS($BA$2:$BA$425,"ΜΠΙΤΖΟΥ ΘΕΟΔΟΣΙΑ",IG$2:IG$425,"μέτρια")</f>
        <v>0</v>
      </c>
      <c r="GO12" s="173">
        <f t="shared" si="5"/>
        <v>0</v>
      </c>
      <c r="GP12" s="173">
        <f t="shared" si="5"/>
        <v>0</v>
      </c>
      <c r="GQ12" s="173">
        <f t="shared" si="5"/>
        <v>0</v>
      </c>
      <c r="GR12" s="173">
        <f t="shared" si="5"/>
        <v>0</v>
      </c>
      <c r="GS12" s="173">
        <f t="shared" si="5"/>
        <v>0</v>
      </c>
      <c r="GT12" s="173">
        <f t="shared" si="5"/>
        <v>0</v>
      </c>
      <c r="GU12" s="174">
        <f t="shared" si="5"/>
        <v>0</v>
      </c>
      <c r="GV12" s="170">
        <f>SUM(GR12:GU12)</f>
        <v>0</v>
      </c>
      <c r="HJ12" s="168"/>
      <c r="HK12" s="3">
        <v>11</v>
      </c>
      <c r="HL12" s="2" t="s">
        <v>2430</v>
      </c>
      <c r="HM12" s="157"/>
      <c r="HN12" s="3" t="s">
        <v>2432</v>
      </c>
      <c r="HO12" s="3" t="s">
        <v>2432</v>
      </c>
      <c r="HP12" s="3" t="s">
        <v>2432</v>
      </c>
      <c r="HQ12" s="3" t="s">
        <v>2432</v>
      </c>
      <c r="HR12" s="2" t="s">
        <v>2754</v>
      </c>
      <c r="HS12" s="93"/>
      <c r="HT12" s="3" t="s">
        <v>2435</v>
      </c>
      <c r="HU12" s="3" t="s">
        <v>2435</v>
      </c>
      <c r="HV12" s="3" t="s">
        <v>2435</v>
      </c>
      <c r="HW12" s="2" t="s">
        <v>2755</v>
      </c>
      <c r="HX12" s="85"/>
      <c r="HY12" s="3" t="s">
        <v>2435</v>
      </c>
      <c r="HZ12" s="3" t="s">
        <v>2435</v>
      </c>
      <c r="IA12" s="3" t="s">
        <v>2435</v>
      </c>
      <c r="IB12" s="3" t="s">
        <v>2435</v>
      </c>
      <c r="IC12" s="2" t="s">
        <v>2756</v>
      </c>
      <c r="ID12" s="168"/>
      <c r="IE12" s="2" t="s">
        <v>2430</v>
      </c>
      <c r="IF12" s="2" t="s">
        <v>2436</v>
      </c>
      <c r="IG12" s="3" t="s">
        <v>2432</v>
      </c>
      <c r="IH12" s="3" t="s">
        <v>2432</v>
      </c>
      <c r="II12" s="3" t="s">
        <v>2435</v>
      </c>
      <c r="IJ12" s="3" t="s">
        <v>2432</v>
      </c>
      <c r="IK12" s="3" t="s">
        <v>2432</v>
      </c>
      <c r="IL12" s="3" t="s">
        <v>2432</v>
      </c>
      <c r="IM12" s="3" t="s">
        <v>2432</v>
      </c>
      <c r="IN12" s="3" t="s">
        <v>2432</v>
      </c>
      <c r="IO12" s="2" t="s">
        <v>2757</v>
      </c>
      <c r="JH12" s="184" t="s">
        <v>2435</v>
      </c>
      <c r="JI12" s="173" t="e">
        <f>#REF!</f>
        <v>#REF!</v>
      </c>
      <c r="JJ12" s="173" t="e">
        <f>#REF!</f>
        <v>#REF!</v>
      </c>
      <c r="JK12" s="173" t="e">
        <f>#REF!</f>
        <v>#REF!</v>
      </c>
      <c r="JL12" s="173" t="e">
        <f>#REF!</f>
        <v>#REF!</v>
      </c>
      <c r="JM12" s="173" t="e">
        <f>#REF!</f>
        <v>#REF!</v>
      </c>
      <c r="JN12" s="173" t="e">
        <f>#REF!</f>
        <v>#REF!</v>
      </c>
      <c r="JO12" s="173" t="e">
        <f>#REF!</f>
        <v>#REF!</v>
      </c>
      <c r="JP12" s="173" t="e">
        <f>#REF!</f>
        <v>#REF!</v>
      </c>
      <c r="JQ12" s="170" t="e">
        <f>SUM(JM12:JP12)</f>
        <v>#REF!</v>
      </c>
      <c r="KB12" s="136"/>
      <c r="KC12" s="3"/>
      <c r="KD12" s="3"/>
      <c r="KE12" s="3"/>
      <c r="KF12" s="136"/>
      <c r="KG12" s="136"/>
      <c r="KH12" s="184" t="s">
        <v>2435</v>
      </c>
      <c r="KI12" s="173">
        <f t="shared" ref="KI12:KP12" si="6">COUNTIFS($BA$2:$BA$425,"ΜΠΙΤΖΟΥ ΘΕΟΔΟΣΙΑ",MB$2:MB$425,"μέτρια")</f>
        <v>0</v>
      </c>
      <c r="KJ12" s="173">
        <f t="shared" si="6"/>
        <v>0</v>
      </c>
      <c r="KK12" s="173">
        <f t="shared" si="6"/>
        <v>0</v>
      </c>
      <c r="KL12" s="173">
        <f t="shared" si="6"/>
        <v>0</v>
      </c>
      <c r="KM12" s="173">
        <f t="shared" si="6"/>
        <v>0</v>
      </c>
      <c r="KN12" s="173">
        <f t="shared" si="6"/>
        <v>0</v>
      </c>
      <c r="KO12" s="173">
        <f t="shared" si="6"/>
        <v>0</v>
      </c>
      <c r="KP12" s="174">
        <f t="shared" si="6"/>
        <v>0</v>
      </c>
      <c r="KQ12" s="170">
        <f>SUM(KM12:KP12)</f>
        <v>0</v>
      </c>
      <c r="LE12" s="168"/>
      <c r="LF12" s="3">
        <v>11</v>
      </c>
      <c r="LG12" s="2" t="s">
        <v>2430</v>
      </c>
      <c r="LH12" s="157"/>
      <c r="LI12" s="3" t="s">
        <v>2432</v>
      </c>
      <c r="LJ12" s="3" t="s">
        <v>2432</v>
      </c>
      <c r="LK12" s="3" t="s">
        <v>2432</v>
      </c>
      <c r="LL12" s="3" t="s">
        <v>2432</v>
      </c>
      <c r="LM12" s="2" t="s">
        <v>2754</v>
      </c>
      <c r="LN12" s="93"/>
      <c r="LO12" s="3" t="s">
        <v>2435</v>
      </c>
      <c r="LP12" s="3" t="s">
        <v>2435</v>
      </c>
      <c r="LQ12" s="3" t="s">
        <v>2435</v>
      </c>
      <c r="LR12" s="2" t="s">
        <v>2755</v>
      </c>
      <c r="LS12" s="85"/>
      <c r="LT12" s="3" t="s">
        <v>2435</v>
      </c>
      <c r="LU12" s="3" t="s">
        <v>2435</v>
      </c>
      <c r="LV12" s="3" t="s">
        <v>2435</v>
      </c>
      <c r="LW12" s="3" t="s">
        <v>2435</v>
      </c>
      <c r="LX12" s="2" t="s">
        <v>2756</v>
      </c>
      <c r="LY12" s="168"/>
      <c r="LZ12" s="2" t="s">
        <v>2430</v>
      </c>
      <c r="MA12" s="2" t="s">
        <v>2436</v>
      </c>
      <c r="MB12" s="3" t="s">
        <v>2432</v>
      </c>
      <c r="MC12" s="3" t="s">
        <v>2432</v>
      </c>
      <c r="MD12" s="3" t="s">
        <v>2435</v>
      </c>
      <c r="ME12" s="3" t="s">
        <v>2432</v>
      </c>
      <c r="MF12" s="3" t="s">
        <v>2432</v>
      </c>
      <c r="MG12" s="3" t="s">
        <v>2432</v>
      </c>
      <c r="MH12" s="3" t="s">
        <v>2432</v>
      </c>
      <c r="MI12" s="3" t="s">
        <v>2432</v>
      </c>
      <c r="MJ12" s="2" t="s">
        <v>2757</v>
      </c>
      <c r="NF12" s="440"/>
      <c r="NL12" s="441">
        <v>11</v>
      </c>
      <c r="NM12" s="2" t="s">
        <v>2758</v>
      </c>
      <c r="NN12" s="444" t="s">
        <v>2534</v>
      </c>
      <c r="NO12" s="2">
        <v>6973021250</v>
      </c>
      <c r="NP12" s="2" t="s">
        <v>2759</v>
      </c>
      <c r="NQ12" s="2"/>
      <c r="NR12" s="2" t="s">
        <v>2760</v>
      </c>
      <c r="NS12" s="2" t="s">
        <v>2761</v>
      </c>
    </row>
    <row r="13" spans="1:383" ht="45" customHeight="1" thickTop="1" thickBot="1">
      <c r="A13" s="65">
        <v>4</v>
      </c>
      <c r="B13" s="10" t="s">
        <v>545</v>
      </c>
      <c r="C13" s="10" t="s">
        <v>544</v>
      </c>
      <c r="D13" s="10">
        <v>6943744160</v>
      </c>
      <c r="E13" s="30" t="s">
        <v>546</v>
      </c>
      <c r="F13" s="1386" t="s">
        <v>2693</v>
      </c>
      <c r="G13" s="1387"/>
      <c r="H13" s="1388"/>
      <c r="I13" s="24"/>
      <c r="J13" s="198"/>
      <c r="M13" s="3">
        <v>0</v>
      </c>
      <c r="R13" s="416" t="s">
        <v>603</v>
      </c>
      <c r="S13" s="417" t="s">
        <v>604</v>
      </c>
      <c r="T13" s="418" t="s">
        <v>605</v>
      </c>
      <c r="U13" s="419">
        <v>6998108632</v>
      </c>
      <c r="V13" s="420"/>
      <c r="W13" s="3">
        <v>2</v>
      </c>
      <c r="X13" s="401" t="s">
        <v>2445</v>
      </c>
      <c r="Y13" s="401" t="s">
        <v>2445</v>
      </c>
      <c r="Z13" s="81" t="s">
        <v>2762</v>
      </c>
      <c r="AB13" s="346" t="s">
        <v>2763</v>
      </c>
      <c r="AC13" s="346" t="s">
        <v>2764</v>
      </c>
      <c r="AD13" s="17">
        <v>12</v>
      </c>
      <c r="AE13" s="17">
        <v>6</v>
      </c>
      <c r="AF13" s="17">
        <v>10</v>
      </c>
      <c r="AG13" s="17">
        <v>2</v>
      </c>
      <c r="AH13" s="361">
        <f t="shared" si="2"/>
        <v>30</v>
      </c>
      <c r="AI13" s="136" t="s">
        <v>2387</v>
      </c>
      <c r="AM13" s="273">
        <v>45801</v>
      </c>
      <c r="AN13" s="274" t="s">
        <v>2537</v>
      </c>
      <c r="AO13" s="274"/>
      <c r="AP13" s="274"/>
      <c r="AS13" s="273">
        <v>45829</v>
      </c>
      <c r="AT13" s="274" t="s">
        <v>2537</v>
      </c>
      <c r="AU13" s="274"/>
      <c r="AV13" s="274"/>
      <c r="AY13" s="382"/>
      <c r="AZ13" s="383"/>
      <c r="BA13" s="383"/>
      <c r="BC13" s="2"/>
      <c r="BL13" s="3"/>
      <c r="BM13" s="2"/>
      <c r="CA13" s="3"/>
      <c r="CB13" s="2"/>
      <c r="CJ13" s="3"/>
      <c r="CK13" s="2"/>
      <c r="CR13" s="2"/>
      <c r="CZ13" s="326" t="s">
        <v>2511</v>
      </c>
      <c r="DA13" s="327"/>
      <c r="DB13" s="327"/>
      <c r="DC13" s="327"/>
      <c r="DD13" s="327"/>
      <c r="DE13" s="327"/>
      <c r="DF13" s="329">
        <v>5</v>
      </c>
      <c r="DI13" s="82" t="s">
        <v>2765</v>
      </c>
      <c r="DJ13" s="82" t="s">
        <v>2766</v>
      </c>
      <c r="DL13" s="2" t="s">
        <v>2767</v>
      </c>
      <c r="DM13" s="2" t="s">
        <v>2768</v>
      </c>
      <c r="DN13" s="1145"/>
      <c r="DO13" s="1145"/>
      <c r="DP13" s="1145"/>
      <c r="DQ13" s="1145"/>
      <c r="DT13" s="92" t="s">
        <v>2769</v>
      </c>
      <c r="DV13" s="92" t="s">
        <v>2770</v>
      </c>
      <c r="DW13" s="93" t="s">
        <v>2767</v>
      </c>
      <c r="DX13" s="93" t="s">
        <v>2768</v>
      </c>
      <c r="EY13" s="133" t="s">
        <v>2771</v>
      </c>
      <c r="EZ13" s="2"/>
      <c r="FA13" s="338" t="s">
        <v>2772</v>
      </c>
      <c r="FB13" s="133" t="s">
        <v>2773</v>
      </c>
      <c r="FK13" s="119" t="s">
        <v>2673</v>
      </c>
      <c r="FL13" s="53" t="s">
        <v>2774</v>
      </c>
      <c r="FM13" s="53" t="s">
        <v>2729</v>
      </c>
      <c r="FN13" s="48" t="s">
        <v>2635</v>
      </c>
      <c r="FO13" s="126" t="s">
        <v>2520</v>
      </c>
      <c r="FP13" s="48"/>
      <c r="FQ13" s="48"/>
      <c r="FR13" s="100"/>
      <c r="FV13" s="53" t="s">
        <v>2775</v>
      </c>
      <c r="FW13" s="53" t="s">
        <v>2776</v>
      </c>
      <c r="FX13" s="268" t="s">
        <v>603</v>
      </c>
      <c r="FY13" s="48" t="s">
        <v>604</v>
      </c>
      <c r="FZ13" s="48" t="s">
        <v>605</v>
      </c>
      <c r="GA13" s="51">
        <v>6998108632</v>
      </c>
      <c r="GB13" s="54"/>
      <c r="GM13" s="184" t="s">
        <v>2603</v>
      </c>
      <c r="GN13" s="173">
        <f t="shared" ref="GN13:GU13" si="7">COUNTIFS($BA$2:$BA$425,"ΜΠΙΤΖΟΥ ΘΕΟΔΟΣΙΑ",IG$2:IG$425,"καλή")</f>
        <v>0</v>
      </c>
      <c r="GO13" s="173">
        <f t="shared" si="7"/>
        <v>0</v>
      </c>
      <c r="GP13" s="173">
        <f t="shared" si="7"/>
        <v>0</v>
      </c>
      <c r="GQ13" s="173">
        <f t="shared" si="7"/>
        <v>0</v>
      </c>
      <c r="GR13" s="173">
        <f t="shared" si="7"/>
        <v>0</v>
      </c>
      <c r="GS13" s="173">
        <f t="shared" si="7"/>
        <v>0</v>
      </c>
      <c r="GT13" s="173">
        <f t="shared" si="7"/>
        <v>0</v>
      </c>
      <c r="GU13" s="174">
        <f t="shared" si="7"/>
        <v>0</v>
      </c>
      <c r="GV13" s="199">
        <f>SUM(GR13:GU13)</f>
        <v>0</v>
      </c>
      <c r="HJ13" s="168"/>
      <c r="HK13" s="3">
        <v>12</v>
      </c>
      <c r="HL13" s="2" t="s">
        <v>2777</v>
      </c>
      <c r="HM13" s="157"/>
      <c r="HN13" s="3" t="s">
        <v>2431</v>
      </c>
      <c r="HO13" s="3" t="s">
        <v>2433</v>
      </c>
      <c r="HP13" s="3" t="s">
        <v>2431</v>
      </c>
      <c r="HQ13" s="3" t="s">
        <v>2433</v>
      </c>
      <c r="HS13" s="93"/>
      <c r="HT13" s="3" t="s">
        <v>2432</v>
      </c>
      <c r="HU13" s="3" t="s">
        <v>2432</v>
      </c>
      <c r="HV13" s="3" t="s">
        <v>2432</v>
      </c>
      <c r="HW13" s="2" t="s">
        <v>2778</v>
      </c>
      <c r="HX13" s="85"/>
      <c r="HY13" s="3" t="s">
        <v>2432</v>
      </c>
      <c r="HZ13" s="3" t="s">
        <v>2432</v>
      </c>
      <c r="IA13" s="3" t="s">
        <v>2432</v>
      </c>
      <c r="IB13" s="3" t="s">
        <v>2432</v>
      </c>
      <c r="ID13" s="168"/>
      <c r="IE13" s="2" t="s">
        <v>2430</v>
      </c>
      <c r="IF13" s="2" t="s">
        <v>2779</v>
      </c>
      <c r="IG13" s="3" t="s">
        <v>2432</v>
      </c>
      <c r="IH13" s="3" t="s">
        <v>2432</v>
      </c>
      <c r="II13" s="3" t="s">
        <v>2432</v>
      </c>
      <c r="IJ13" s="3" t="s">
        <v>2434</v>
      </c>
      <c r="IK13" s="3" t="s">
        <v>2432</v>
      </c>
      <c r="IL13" s="3" t="s">
        <v>2434</v>
      </c>
      <c r="IM13" s="3" t="s">
        <v>2432</v>
      </c>
      <c r="IN13" s="3" t="s">
        <v>2434</v>
      </c>
      <c r="JH13" s="184" t="s">
        <v>2603</v>
      </c>
      <c r="JI13" s="173" t="e">
        <f>#REF!</f>
        <v>#REF!</v>
      </c>
      <c r="JJ13" s="173" t="e">
        <f>#REF!</f>
        <v>#REF!</v>
      </c>
      <c r="JK13" s="173" t="e">
        <f>#REF!</f>
        <v>#REF!</v>
      </c>
      <c r="JL13" s="173" t="e">
        <f>#REF!</f>
        <v>#REF!</v>
      </c>
      <c r="JM13" s="173" t="e">
        <f>#REF!</f>
        <v>#REF!</v>
      </c>
      <c r="JN13" s="173" t="e">
        <f>#REF!</f>
        <v>#REF!</v>
      </c>
      <c r="JO13" s="173" t="e">
        <f>#REF!</f>
        <v>#REF!</v>
      </c>
      <c r="JP13" s="173" t="e">
        <f>#REF!</f>
        <v>#REF!</v>
      </c>
      <c r="JQ13" s="199" t="e">
        <f>SUM(JM13:JP13)</f>
        <v>#REF!</v>
      </c>
      <c r="KB13" s="136"/>
      <c r="KC13" s="3"/>
      <c r="KD13" s="3"/>
      <c r="KE13" s="3"/>
      <c r="KF13" s="136"/>
      <c r="KG13" s="136"/>
      <c r="KH13" s="184" t="s">
        <v>2603</v>
      </c>
      <c r="KI13" s="173">
        <f t="shared" ref="KI13:KP13" si="8">COUNTIFS($BA$2:$BA$425,"ΜΠΙΤΖΟΥ ΘΕΟΔΟΣΙΑ",MB$2:MB$425,"καλή")</f>
        <v>0</v>
      </c>
      <c r="KJ13" s="173">
        <f t="shared" si="8"/>
        <v>0</v>
      </c>
      <c r="KK13" s="173">
        <f t="shared" si="8"/>
        <v>0</v>
      </c>
      <c r="KL13" s="173">
        <f t="shared" si="8"/>
        <v>0</v>
      </c>
      <c r="KM13" s="173">
        <f t="shared" si="8"/>
        <v>0</v>
      </c>
      <c r="KN13" s="173">
        <f t="shared" si="8"/>
        <v>0</v>
      </c>
      <c r="KO13" s="173">
        <f t="shared" si="8"/>
        <v>0</v>
      </c>
      <c r="KP13" s="174">
        <f t="shared" si="8"/>
        <v>0</v>
      </c>
      <c r="KQ13" s="199">
        <f>SUM(KM13:KP13)</f>
        <v>0</v>
      </c>
      <c r="LE13" s="168"/>
      <c r="LF13" s="3">
        <v>12</v>
      </c>
      <c r="LG13" s="2" t="s">
        <v>2777</v>
      </c>
      <c r="LH13" s="157"/>
      <c r="LI13" s="3" t="s">
        <v>2431</v>
      </c>
      <c r="LJ13" s="3" t="s">
        <v>2433</v>
      </c>
      <c r="LK13" s="3" t="s">
        <v>2431</v>
      </c>
      <c r="LL13" s="3" t="s">
        <v>2433</v>
      </c>
      <c r="LM13" s="2"/>
      <c r="LN13" s="93"/>
      <c r="LO13" s="3" t="s">
        <v>2432</v>
      </c>
      <c r="LP13" s="3" t="s">
        <v>2432</v>
      </c>
      <c r="LQ13" s="3" t="s">
        <v>2432</v>
      </c>
      <c r="LR13" s="2" t="s">
        <v>2778</v>
      </c>
      <c r="LS13" s="85"/>
      <c r="LT13" s="3" t="s">
        <v>2432</v>
      </c>
      <c r="LU13" s="3" t="s">
        <v>2432</v>
      </c>
      <c r="LV13" s="3" t="s">
        <v>2432</v>
      </c>
      <c r="LW13" s="3" t="s">
        <v>2432</v>
      </c>
      <c r="LX13" s="2"/>
      <c r="LY13" s="168"/>
      <c r="LZ13" s="2" t="s">
        <v>2430</v>
      </c>
      <c r="MA13" s="2" t="s">
        <v>2779</v>
      </c>
      <c r="MB13" s="3" t="s">
        <v>2432</v>
      </c>
      <c r="MC13" s="3" t="s">
        <v>2432</v>
      </c>
      <c r="MD13" s="3" t="s">
        <v>2432</v>
      </c>
      <c r="ME13" s="3" t="s">
        <v>2434</v>
      </c>
      <c r="MF13" s="3" t="s">
        <v>2432</v>
      </c>
      <c r="MG13" s="3" t="s">
        <v>2434</v>
      </c>
      <c r="MH13" s="3" t="s">
        <v>2432</v>
      </c>
      <c r="MI13" s="3" t="s">
        <v>2434</v>
      </c>
      <c r="MJ13" s="2"/>
      <c r="MZ13" s="438" t="s">
        <v>2780</v>
      </c>
      <c r="NF13" s="440"/>
      <c r="NL13" s="3"/>
      <c r="NM13" s="3"/>
      <c r="NN13" s="3"/>
      <c r="NO13" s="3"/>
      <c r="NP13" s="3"/>
      <c r="NQ13" s="3"/>
      <c r="NR13" s="3"/>
      <c r="NS13" s="3"/>
    </row>
    <row r="14" spans="1:383" ht="409.6" thickTop="1" thickBot="1">
      <c r="A14" s="65">
        <v>5</v>
      </c>
      <c r="B14" s="10" t="s">
        <v>554</v>
      </c>
      <c r="C14" s="10" t="s">
        <v>553</v>
      </c>
      <c r="D14" s="10">
        <v>6931835451</v>
      </c>
      <c r="E14" s="30" t="s">
        <v>555</v>
      </c>
      <c r="F14" s="1386" t="s">
        <v>2693</v>
      </c>
      <c r="G14" s="1387"/>
      <c r="H14" s="1388"/>
      <c r="I14" s="24"/>
      <c r="J14" s="198"/>
      <c r="M14" s="3">
        <v>2</v>
      </c>
      <c r="R14" s="398" t="s">
        <v>2696</v>
      </c>
      <c r="S14" s="20" t="s">
        <v>2448</v>
      </c>
      <c r="T14" s="39" t="s">
        <v>2781</v>
      </c>
      <c r="U14" s="399">
        <v>6936003082</v>
      </c>
      <c r="V14" s="400"/>
      <c r="W14" s="368">
        <v>3</v>
      </c>
      <c r="X14" s="397" t="s">
        <v>2385</v>
      </c>
      <c r="Y14" s="397" t="s">
        <v>2385</v>
      </c>
      <c r="Z14" s="90"/>
      <c r="AB14" s="347" t="s">
        <v>2383</v>
      </c>
      <c r="AC14" s="347" t="s">
        <v>746</v>
      </c>
      <c r="AD14" s="271">
        <v>24</v>
      </c>
      <c r="AE14" s="271">
        <v>15</v>
      </c>
      <c r="AF14" s="271">
        <v>24</v>
      </c>
      <c r="AG14" s="271">
        <v>12</v>
      </c>
      <c r="AH14" s="17">
        <f>SUM(AD14:AG14)</f>
        <v>75</v>
      </c>
      <c r="AI14" s="136" t="s">
        <v>2387</v>
      </c>
      <c r="AM14" s="275">
        <v>45805</v>
      </c>
      <c r="AN14" s="276" t="s">
        <v>2537</v>
      </c>
      <c r="AO14" s="276"/>
      <c r="AP14" s="276"/>
      <c r="AS14" s="275">
        <v>45833</v>
      </c>
      <c r="AT14" s="276" t="s">
        <v>2537</v>
      </c>
      <c r="AU14" s="276"/>
      <c r="AV14" s="276"/>
      <c r="AY14" s="382"/>
      <c r="AZ14" s="383"/>
      <c r="BA14" s="383"/>
      <c r="DI14" s="82" t="s">
        <v>2782</v>
      </c>
      <c r="DJ14" s="82" t="s">
        <v>2783</v>
      </c>
      <c r="DL14" s="2" t="s">
        <v>2784</v>
      </c>
      <c r="DM14" s="2" t="s">
        <v>2785</v>
      </c>
      <c r="DN14" s="1145"/>
      <c r="DO14" s="1145"/>
      <c r="DP14" s="1145"/>
      <c r="DQ14" s="1145"/>
      <c r="DT14" s="92" t="s">
        <v>2786</v>
      </c>
      <c r="DV14" s="92" t="s">
        <v>2787</v>
      </c>
      <c r="DW14" s="93" t="s">
        <v>2784</v>
      </c>
      <c r="DX14" s="93" t="s">
        <v>2785</v>
      </c>
      <c r="EY14" s="133" t="s">
        <v>2788</v>
      </c>
      <c r="FA14" s="353" t="s">
        <v>614</v>
      </c>
      <c r="FB14" s="133" t="s">
        <v>2789</v>
      </c>
      <c r="FK14" s="119" t="s">
        <v>2673</v>
      </c>
      <c r="FL14" s="53" t="s">
        <v>2790</v>
      </c>
      <c r="FM14" s="53" t="s">
        <v>2518</v>
      </c>
      <c r="FN14" s="53" t="s">
        <v>2791</v>
      </c>
      <c r="FO14" s="122" t="s">
        <v>2520</v>
      </c>
      <c r="FP14" s="53"/>
      <c r="FQ14" s="53"/>
      <c r="FR14" s="111"/>
      <c r="FV14" s="53" t="s">
        <v>2792</v>
      </c>
      <c r="FW14" s="48" t="s">
        <v>2793</v>
      </c>
      <c r="FX14" s="268" t="s">
        <v>2696</v>
      </c>
      <c r="FY14" s="48" t="s">
        <v>2448</v>
      </c>
      <c r="FZ14" s="48" t="s">
        <v>2781</v>
      </c>
      <c r="GA14" s="51">
        <v>6936003082</v>
      </c>
      <c r="GB14" s="54"/>
      <c r="GM14" s="184" t="s">
        <v>2639</v>
      </c>
      <c r="GN14" s="173">
        <f t="shared" ref="GN14:GU14" si="9">COUNTIFS($BA$2:$BA$425,"ΜΠΙΤΖΟΥ ΘΕΟΔΟΣΙΑ",IG$2:IG$425,"πολύ καλή")</f>
        <v>0</v>
      </c>
      <c r="GO14" s="173">
        <f t="shared" si="9"/>
        <v>0</v>
      </c>
      <c r="GP14" s="173">
        <f t="shared" si="9"/>
        <v>0</v>
      </c>
      <c r="GQ14" s="173">
        <f t="shared" si="9"/>
        <v>0</v>
      </c>
      <c r="GR14" s="173">
        <f t="shared" si="9"/>
        <v>0</v>
      </c>
      <c r="GS14" s="173">
        <f t="shared" si="9"/>
        <v>0</v>
      </c>
      <c r="GT14" s="173">
        <f t="shared" si="9"/>
        <v>0</v>
      </c>
      <c r="GU14" s="174">
        <f t="shared" si="9"/>
        <v>0</v>
      </c>
      <c r="GV14" s="199">
        <f>SUM(GR14:GU14)</f>
        <v>0</v>
      </c>
      <c r="HJ14" s="168"/>
      <c r="HK14" s="3">
        <v>13</v>
      </c>
      <c r="HL14" s="2" t="s">
        <v>2777</v>
      </c>
      <c r="HM14" s="157"/>
      <c r="HN14" s="3" t="s">
        <v>2433</v>
      </c>
      <c r="HO14" s="3" t="s">
        <v>2433</v>
      </c>
      <c r="HP14" s="3" t="s">
        <v>2433</v>
      </c>
      <c r="HQ14" s="3" t="s">
        <v>2432</v>
      </c>
      <c r="HS14" s="93"/>
      <c r="HT14" s="3" t="s">
        <v>2432</v>
      </c>
      <c r="HU14" s="3" t="s">
        <v>2432</v>
      </c>
      <c r="HV14" s="3" t="s">
        <v>2432</v>
      </c>
      <c r="HX14" s="85"/>
      <c r="HY14" s="3" t="s">
        <v>2435</v>
      </c>
      <c r="HZ14" s="3" t="s">
        <v>2432</v>
      </c>
      <c r="IA14" s="3" t="s">
        <v>2432</v>
      </c>
      <c r="IB14" s="3" t="s">
        <v>2432</v>
      </c>
      <c r="ID14" s="168"/>
      <c r="IE14" s="2" t="s">
        <v>2430</v>
      </c>
      <c r="IF14" s="2" t="s">
        <v>2779</v>
      </c>
      <c r="IG14" s="3" t="s">
        <v>2435</v>
      </c>
      <c r="IH14" s="3" t="s">
        <v>2435</v>
      </c>
      <c r="II14" s="3" t="s">
        <v>2435</v>
      </c>
      <c r="IJ14" s="3" t="s">
        <v>2435</v>
      </c>
      <c r="IK14" s="3" t="s">
        <v>2435</v>
      </c>
      <c r="IL14" s="3" t="s">
        <v>2435</v>
      </c>
      <c r="IM14" s="3" t="s">
        <v>2435</v>
      </c>
      <c r="IN14" s="3" t="s">
        <v>2434</v>
      </c>
      <c r="IO14" s="2" t="s">
        <v>2794</v>
      </c>
      <c r="JH14" s="184" t="s">
        <v>2639</v>
      </c>
      <c r="JI14" s="173" t="e">
        <f>#REF!</f>
        <v>#REF!</v>
      </c>
      <c r="JJ14" s="173" t="e">
        <f>#REF!</f>
        <v>#REF!</v>
      </c>
      <c r="JK14" s="173" t="e">
        <f>#REF!</f>
        <v>#REF!</v>
      </c>
      <c r="JL14" s="173" t="e">
        <f>#REF!</f>
        <v>#REF!</v>
      </c>
      <c r="JM14" s="173" t="e">
        <f>#REF!</f>
        <v>#REF!</v>
      </c>
      <c r="JN14" s="173" t="e">
        <f>#REF!</f>
        <v>#REF!</v>
      </c>
      <c r="JO14" s="173" t="e">
        <f>#REF!</f>
        <v>#REF!</v>
      </c>
      <c r="JP14" s="173" t="e">
        <f>#REF!</f>
        <v>#REF!</v>
      </c>
      <c r="JQ14" s="199" t="e">
        <f>SUM(JM14:JP14)</f>
        <v>#REF!</v>
      </c>
      <c r="KB14" s="136"/>
      <c r="KC14" s="3"/>
      <c r="KD14" s="3"/>
      <c r="KE14" s="3"/>
      <c r="KF14" s="136"/>
      <c r="KG14" s="136"/>
      <c r="KH14" s="184" t="s">
        <v>2639</v>
      </c>
      <c r="KI14" s="173">
        <f t="shared" ref="KI14:KP14" si="10">COUNTIFS($BA$2:$BA$425,"ΜΠΙΤΖΟΥ ΘΕΟΔΟΣΙΑ",MB$2:MB$425,"πολύ καλή")</f>
        <v>0</v>
      </c>
      <c r="KJ14" s="173">
        <f t="shared" si="10"/>
        <v>0</v>
      </c>
      <c r="KK14" s="173">
        <f t="shared" si="10"/>
        <v>0</v>
      </c>
      <c r="KL14" s="173">
        <f t="shared" si="10"/>
        <v>0</v>
      </c>
      <c r="KM14" s="173">
        <f t="shared" si="10"/>
        <v>0</v>
      </c>
      <c r="KN14" s="173">
        <f t="shared" si="10"/>
        <v>0</v>
      </c>
      <c r="KO14" s="173">
        <f t="shared" si="10"/>
        <v>0</v>
      </c>
      <c r="KP14" s="174">
        <f t="shared" si="10"/>
        <v>0</v>
      </c>
      <c r="KQ14" s="199">
        <f>SUM(KM14:KP14)</f>
        <v>0</v>
      </c>
      <c r="LE14" s="168"/>
      <c r="LF14" s="3">
        <v>13</v>
      </c>
      <c r="LG14" s="2" t="s">
        <v>2777</v>
      </c>
      <c r="LH14" s="157"/>
      <c r="LI14" s="3" t="s">
        <v>2433</v>
      </c>
      <c r="LJ14" s="3" t="s">
        <v>2433</v>
      </c>
      <c r="LK14" s="3" t="s">
        <v>2433</v>
      </c>
      <c r="LL14" s="3" t="s">
        <v>2432</v>
      </c>
      <c r="LM14" s="2"/>
      <c r="LN14" s="93"/>
      <c r="LO14" s="3" t="s">
        <v>2432</v>
      </c>
      <c r="LP14" s="3" t="s">
        <v>2432</v>
      </c>
      <c r="LQ14" s="3" t="s">
        <v>2432</v>
      </c>
      <c r="LR14" s="2"/>
      <c r="LS14" s="85"/>
      <c r="LT14" s="3" t="s">
        <v>2435</v>
      </c>
      <c r="LU14" s="3" t="s">
        <v>2432</v>
      </c>
      <c r="LV14" s="3" t="s">
        <v>2432</v>
      </c>
      <c r="LW14" s="3" t="s">
        <v>2432</v>
      </c>
      <c r="LX14" s="2"/>
      <c r="LY14" s="168"/>
      <c r="LZ14" s="2" t="s">
        <v>2430</v>
      </c>
      <c r="MA14" s="2" t="s">
        <v>2779</v>
      </c>
      <c r="MB14" s="3" t="s">
        <v>2435</v>
      </c>
      <c r="MC14" s="3" t="s">
        <v>2435</v>
      </c>
      <c r="MD14" s="3" t="s">
        <v>2435</v>
      </c>
      <c r="ME14" s="3" t="s">
        <v>2435</v>
      </c>
      <c r="MF14" s="3" t="s">
        <v>2435</v>
      </c>
      <c r="MG14" s="3" t="s">
        <v>2435</v>
      </c>
      <c r="MH14" s="3" t="s">
        <v>2435</v>
      </c>
      <c r="MI14" s="3" t="s">
        <v>2434</v>
      </c>
      <c r="MJ14" s="2" t="s">
        <v>2794</v>
      </c>
      <c r="MZ14" s="439"/>
      <c r="NF14" s="440"/>
      <c r="NL14" s="3"/>
      <c r="NM14" s="3"/>
      <c r="NN14" s="3"/>
      <c r="NO14" s="3"/>
      <c r="NP14" s="3"/>
      <c r="NQ14" s="3"/>
      <c r="NR14" s="3"/>
      <c r="NS14" s="3"/>
    </row>
    <row r="15" spans="1:383" ht="409.6" thickTop="1" thickBot="1">
      <c r="A15" s="65">
        <v>6</v>
      </c>
      <c r="B15" s="10" t="s">
        <v>565</v>
      </c>
      <c r="C15" s="10" t="s">
        <v>475</v>
      </c>
      <c r="D15" s="10">
        <v>6946443776</v>
      </c>
      <c r="E15" s="30" t="s">
        <v>566</v>
      </c>
      <c r="F15" s="1386" t="s">
        <v>2693</v>
      </c>
      <c r="G15" s="1387"/>
      <c r="H15" s="1388"/>
      <c r="I15" s="302" t="s">
        <v>2495</v>
      </c>
      <c r="J15" s="198"/>
      <c r="M15" s="366" t="s">
        <v>2795</v>
      </c>
      <c r="R15" s="416" t="s">
        <v>539</v>
      </c>
      <c r="S15" s="417" t="s">
        <v>540</v>
      </c>
      <c r="T15" s="418" t="s">
        <v>541</v>
      </c>
      <c r="U15" s="419">
        <v>6972089035</v>
      </c>
      <c r="V15" s="420"/>
      <c r="W15" s="3">
        <v>0</v>
      </c>
      <c r="X15" s="401" t="s">
        <v>2445</v>
      </c>
      <c r="Y15" s="401" t="s">
        <v>2445</v>
      </c>
      <c r="AB15" s="347" t="s">
        <v>2796</v>
      </c>
      <c r="AC15" s="347" t="s">
        <v>510</v>
      </c>
      <c r="AD15" s="271">
        <v>34</v>
      </c>
      <c r="AE15" s="271">
        <v>26</v>
      </c>
      <c r="AF15" s="271">
        <v>32</v>
      </c>
      <c r="AG15" s="271">
        <v>7</v>
      </c>
      <c r="AH15" s="17">
        <f t="shared" ref="AH15:AH20" si="11">SUM(AD15:AG15)</f>
        <v>99</v>
      </c>
      <c r="AI15" s="136" t="s">
        <v>2387</v>
      </c>
      <c r="AM15" s="275">
        <v>45806</v>
      </c>
      <c r="AN15" s="276" t="s">
        <v>2537</v>
      </c>
      <c r="AO15" s="276"/>
      <c r="AP15" s="276"/>
      <c r="AS15" s="275">
        <v>45834</v>
      </c>
      <c r="AT15" s="276" t="s">
        <v>2537</v>
      </c>
      <c r="AU15" s="276"/>
      <c r="AV15" s="276"/>
      <c r="AY15" s="382"/>
      <c r="AZ15" s="383"/>
      <c r="BA15" s="383"/>
      <c r="DI15" s="82" t="s">
        <v>2797</v>
      </c>
      <c r="DJ15" s="82" t="s">
        <v>2798</v>
      </c>
      <c r="DL15" s="2" t="s">
        <v>2799</v>
      </c>
      <c r="DM15" s="2" t="s">
        <v>2800</v>
      </c>
      <c r="DN15" s="1145"/>
      <c r="DO15" s="1145"/>
      <c r="DP15" s="1145"/>
      <c r="DQ15" s="1145"/>
      <c r="DT15" s="92" t="s">
        <v>2801</v>
      </c>
      <c r="DV15" s="92" t="s">
        <v>2802</v>
      </c>
      <c r="DW15" s="93" t="s">
        <v>2799</v>
      </c>
      <c r="DX15" s="93" t="s">
        <v>2800</v>
      </c>
      <c r="FA15" s="338" t="s">
        <v>2511</v>
      </c>
      <c r="FB15" s="135" t="s">
        <v>2803</v>
      </c>
      <c r="FK15" s="120" t="s">
        <v>2673</v>
      </c>
      <c r="FL15" s="101" t="s">
        <v>2804</v>
      </c>
      <c r="FM15" s="101" t="s">
        <v>2518</v>
      </c>
      <c r="FN15" s="101" t="s">
        <v>2805</v>
      </c>
      <c r="FO15" s="122" t="s">
        <v>2520</v>
      </c>
      <c r="FP15" s="101"/>
      <c r="FQ15" s="101"/>
      <c r="FR15" s="113"/>
      <c r="FV15" s="53" t="s">
        <v>2806</v>
      </c>
      <c r="FW15" s="48" t="s">
        <v>2732</v>
      </c>
      <c r="FX15" s="268" t="s">
        <v>539</v>
      </c>
      <c r="FY15" s="48" t="s">
        <v>540</v>
      </c>
      <c r="FZ15" s="48" t="s">
        <v>541</v>
      </c>
      <c r="GA15" s="51">
        <v>6972089035</v>
      </c>
      <c r="GB15" s="54"/>
      <c r="GM15" s="185" t="s">
        <v>2431</v>
      </c>
      <c r="GN15" s="187">
        <f t="shared" ref="GN15:GU15" si="12">COUNTIFS($BA$2:$BA$425,"ΜΠΙΤΖΟΥ ΘΕΟΔΟΣΙΑ",IG$2:IG$425,"άριστη")</f>
        <v>0</v>
      </c>
      <c r="GO15" s="187">
        <f t="shared" si="12"/>
        <v>0</v>
      </c>
      <c r="GP15" s="187">
        <f t="shared" si="12"/>
        <v>0</v>
      </c>
      <c r="GQ15" s="187">
        <f t="shared" si="12"/>
        <v>0</v>
      </c>
      <c r="GR15" s="187">
        <f t="shared" si="12"/>
        <v>0</v>
      </c>
      <c r="GS15" s="187">
        <f t="shared" si="12"/>
        <v>0</v>
      </c>
      <c r="GT15" s="187">
        <f t="shared" si="12"/>
        <v>0</v>
      </c>
      <c r="GU15" s="188">
        <f t="shared" si="12"/>
        <v>0</v>
      </c>
      <c r="GV15" s="199">
        <f>SUM(GR15:GU15)</f>
        <v>0</v>
      </c>
      <c r="HJ15" s="168"/>
      <c r="HK15" s="3">
        <v>14</v>
      </c>
      <c r="HL15" s="2" t="s">
        <v>2777</v>
      </c>
      <c r="HM15" s="157"/>
      <c r="HN15" s="3" t="s">
        <v>2431</v>
      </c>
      <c r="HO15" s="3" t="s">
        <v>2431</v>
      </c>
      <c r="HP15" s="3" t="s">
        <v>2431</v>
      </c>
      <c r="HQ15" s="3" t="s">
        <v>2431</v>
      </c>
      <c r="HS15" s="93"/>
      <c r="HT15" s="3" t="s">
        <v>2432</v>
      </c>
      <c r="HU15" s="3" t="s">
        <v>2432</v>
      </c>
      <c r="HV15" s="3" t="s">
        <v>2432</v>
      </c>
      <c r="HX15" s="85"/>
      <c r="HY15" s="3" t="s">
        <v>2432</v>
      </c>
      <c r="HZ15" s="3" t="s">
        <v>2432</v>
      </c>
      <c r="IA15" s="3" t="s">
        <v>2432</v>
      </c>
      <c r="IB15" s="3" t="s">
        <v>2432</v>
      </c>
      <c r="ID15" s="168"/>
      <c r="IE15" s="2" t="s">
        <v>2430</v>
      </c>
      <c r="IF15" s="2" t="s">
        <v>2779</v>
      </c>
      <c r="IG15" s="3" t="s">
        <v>2434</v>
      </c>
      <c r="IH15" s="3" t="s">
        <v>2434</v>
      </c>
      <c r="II15" s="3" t="s">
        <v>2434</v>
      </c>
      <c r="IJ15" s="3" t="s">
        <v>2434</v>
      </c>
      <c r="IK15" s="3" t="s">
        <v>2434</v>
      </c>
      <c r="IL15" s="3" t="s">
        <v>2432</v>
      </c>
      <c r="IM15" s="3" t="s">
        <v>2434</v>
      </c>
      <c r="IN15" s="3" t="s">
        <v>2434</v>
      </c>
      <c r="IO15" s="2" t="s">
        <v>2807</v>
      </c>
      <c r="JH15" s="185" t="s">
        <v>2431</v>
      </c>
      <c r="JI15" s="173" t="e">
        <f>#REF!</f>
        <v>#REF!</v>
      </c>
      <c r="JJ15" s="173" t="e">
        <f>#REF!</f>
        <v>#REF!</v>
      </c>
      <c r="JK15" s="173" t="e">
        <f>#REF!</f>
        <v>#REF!</v>
      </c>
      <c r="JL15" s="173" t="e">
        <f>#REF!</f>
        <v>#REF!</v>
      </c>
      <c r="JM15" s="173" t="e">
        <f>#REF!</f>
        <v>#REF!</v>
      </c>
      <c r="JN15" s="173" t="e">
        <f>#REF!</f>
        <v>#REF!</v>
      </c>
      <c r="JO15" s="173" t="e">
        <f>#REF!</f>
        <v>#REF!</v>
      </c>
      <c r="JP15" s="173" t="e">
        <f>#REF!</f>
        <v>#REF!</v>
      </c>
      <c r="JQ15" s="199" t="e">
        <f>SUM(JM15:JP15)</f>
        <v>#REF!</v>
      </c>
      <c r="KB15" s="136"/>
      <c r="KC15" s="3"/>
      <c r="KD15" s="3"/>
      <c r="KE15" s="3"/>
      <c r="KF15" s="136"/>
      <c r="KG15" s="136"/>
      <c r="KH15" s="185" t="s">
        <v>2431</v>
      </c>
      <c r="KI15" s="187">
        <f t="shared" ref="KI15:KP15" si="13">COUNTIFS($BA$2:$BA$425,"ΜΠΙΤΖΟΥ ΘΕΟΔΟΣΙΑ",MB$2:MB$425,"άριστη")</f>
        <v>0</v>
      </c>
      <c r="KJ15" s="187">
        <f t="shared" si="13"/>
        <v>0</v>
      </c>
      <c r="KK15" s="187">
        <f t="shared" si="13"/>
        <v>0</v>
      </c>
      <c r="KL15" s="187">
        <f t="shared" si="13"/>
        <v>0</v>
      </c>
      <c r="KM15" s="187">
        <f t="shared" si="13"/>
        <v>0</v>
      </c>
      <c r="KN15" s="187">
        <f t="shared" si="13"/>
        <v>0</v>
      </c>
      <c r="KO15" s="187">
        <f t="shared" si="13"/>
        <v>0</v>
      </c>
      <c r="KP15" s="188">
        <f t="shared" si="13"/>
        <v>0</v>
      </c>
      <c r="KQ15" s="199">
        <f>SUM(KM15:KP15)</f>
        <v>0</v>
      </c>
      <c r="LE15" s="168"/>
      <c r="LF15" s="3">
        <v>14</v>
      </c>
      <c r="LG15" s="2" t="s">
        <v>2777</v>
      </c>
      <c r="LH15" s="157"/>
      <c r="LI15" s="3" t="s">
        <v>2431</v>
      </c>
      <c r="LJ15" s="3" t="s">
        <v>2431</v>
      </c>
      <c r="LK15" s="3" t="s">
        <v>2431</v>
      </c>
      <c r="LL15" s="3" t="s">
        <v>2431</v>
      </c>
      <c r="LM15" s="2"/>
      <c r="LN15" s="93"/>
      <c r="LO15" s="3" t="s">
        <v>2432</v>
      </c>
      <c r="LP15" s="3" t="s">
        <v>2432</v>
      </c>
      <c r="LQ15" s="3" t="s">
        <v>2432</v>
      </c>
      <c r="LR15" s="2"/>
      <c r="LS15" s="85"/>
      <c r="LT15" s="3" t="s">
        <v>2432</v>
      </c>
      <c r="LU15" s="3" t="s">
        <v>2432</v>
      </c>
      <c r="LV15" s="3" t="s">
        <v>2432</v>
      </c>
      <c r="LW15" s="3" t="s">
        <v>2432</v>
      </c>
      <c r="LX15" s="2"/>
      <c r="LY15" s="168"/>
      <c r="LZ15" s="2" t="s">
        <v>2430</v>
      </c>
      <c r="MA15" s="2" t="s">
        <v>2779</v>
      </c>
      <c r="MB15" s="3" t="s">
        <v>2434</v>
      </c>
      <c r="MC15" s="3" t="s">
        <v>2434</v>
      </c>
      <c r="MD15" s="3" t="s">
        <v>2434</v>
      </c>
      <c r="ME15" s="3" t="s">
        <v>2434</v>
      </c>
      <c r="MF15" s="3" t="s">
        <v>2434</v>
      </c>
      <c r="MG15" s="3" t="s">
        <v>2432</v>
      </c>
      <c r="MH15" s="3" t="s">
        <v>2434</v>
      </c>
      <c r="MI15" s="3" t="s">
        <v>2434</v>
      </c>
      <c r="MJ15" s="2" t="s">
        <v>2807</v>
      </c>
      <c r="MZ15" s="439" t="s">
        <v>2808</v>
      </c>
      <c r="NF15" s="440"/>
      <c r="NL15" s="3"/>
      <c r="NM15" s="3"/>
      <c r="NN15" s="3"/>
      <c r="NO15" s="3"/>
      <c r="NP15" s="3"/>
      <c r="NQ15" s="3"/>
      <c r="NR15" s="3"/>
      <c r="NS15" s="3"/>
    </row>
    <row r="16" spans="1:383" ht="409.6" thickTop="1" thickBot="1">
      <c r="A16" s="65">
        <v>7</v>
      </c>
      <c r="B16" s="10" t="s">
        <v>582</v>
      </c>
      <c r="C16" s="10" t="s">
        <v>581</v>
      </c>
      <c r="D16" s="10">
        <v>6951734324</v>
      </c>
      <c r="E16" s="30" t="s">
        <v>583</v>
      </c>
      <c r="F16" s="1386" t="s">
        <v>2693</v>
      </c>
      <c r="G16" s="1387"/>
      <c r="H16" s="1388"/>
      <c r="I16" s="302" t="s">
        <v>452</v>
      </c>
      <c r="J16" s="198"/>
      <c r="M16" s="3">
        <v>3</v>
      </c>
      <c r="R16" s="446" t="s">
        <v>2587</v>
      </c>
      <c r="S16" s="447" t="s">
        <v>2738</v>
      </c>
      <c r="T16" s="418" t="s">
        <v>2809</v>
      </c>
      <c r="U16" s="448">
        <v>6907054898</v>
      </c>
      <c r="V16" s="449"/>
      <c r="W16" s="3">
        <v>2</v>
      </c>
      <c r="X16" s="401" t="s">
        <v>2445</v>
      </c>
      <c r="Y16" s="401" t="s">
        <v>2445</v>
      </c>
      <c r="AB16" s="347" t="s">
        <v>2575</v>
      </c>
      <c r="AC16" s="347" t="s">
        <v>809</v>
      </c>
      <c r="AD16" s="271">
        <v>12</v>
      </c>
      <c r="AE16" s="271">
        <v>4</v>
      </c>
      <c r="AF16" s="271">
        <v>8</v>
      </c>
      <c r="AG16" s="271">
        <v>4</v>
      </c>
      <c r="AH16" s="17">
        <f t="shared" si="11"/>
        <v>28</v>
      </c>
      <c r="AI16" s="136" t="s">
        <v>2387</v>
      </c>
      <c r="AM16" s="275">
        <v>45808</v>
      </c>
      <c r="AN16" s="276" t="s">
        <v>2537</v>
      </c>
      <c r="AO16" s="276"/>
      <c r="AP16" s="276"/>
      <c r="AS16" s="275">
        <v>45836</v>
      </c>
      <c r="AT16" s="276" t="s">
        <v>2537</v>
      </c>
      <c r="AU16" s="276"/>
      <c r="AV16" s="276"/>
      <c r="AY16" s="382"/>
      <c r="AZ16" s="383"/>
      <c r="BA16" s="383"/>
      <c r="DI16" s="1340" t="s">
        <v>2810</v>
      </c>
      <c r="DJ16" s="1340"/>
      <c r="DK16" s="1340"/>
      <c r="DL16" s="1340"/>
      <c r="DM16" s="1340"/>
      <c r="DN16" s="89"/>
      <c r="DO16" s="89"/>
      <c r="DP16" s="89"/>
      <c r="DQ16" s="89"/>
      <c r="FA16" s="338" t="s">
        <v>2697</v>
      </c>
      <c r="FB16" s="133" t="s">
        <v>2811</v>
      </c>
      <c r="FK16" s="106" t="s">
        <v>2810</v>
      </c>
      <c r="FL16" s="97" t="s">
        <v>2812</v>
      </c>
      <c r="FM16" s="97" t="s">
        <v>2813</v>
      </c>
      <c r="FN16" s="98" t="s">
        <v>2814</v>
      </c>
      <c r="FO16" s="123" t="s">
        <v>2598</v>
      </c>
      <c r="FP16" s="98"/>
      <c r="FQ16" s="98"/>
      <c r="FR16" s="99"/>
      <c r="FV16" s="53" t="s">
        <v>2599</v>
      </c>
      <c r="FW16" s="48" t="s">
        <v>2815</v>
      </c>
      <c r="FX16" s="268" t="s">
        <v>2763</v>
      </c>
      <c r="FY16" s="48" t="s">
        <v>2764</v>
      </c>
      <c r="FZ16" s="48" t="s">
        <v>2816</v>
      </c>
      <c r="GA16" s="51">
        <v>6937037501</v>
      </c>
      <c r="GB16" s="54"/>
      <c r="HJ16" s="168"/>
      <c r="HK16" s="3">
        <v>15</v>
      </c>
      <c r="HL16" s="2" t="s">
        <v>2777</v>
      </c>
      <c r="HM16" s="157"/>
      <c r="HN16" s="3" t="s">
        <v>2432</v>
      </c>
      <c r="HO16" s="3" t="s">
        <v>2435</v>
      </c>
      <c r="HP16" s="3" t="s">
        <v>2432</v>
      </c>
      <c r="HQ16" s="3" t="s">
        <v>2432</v>
      </c>
      <c r="HR16" s="2" t="s">
        <v>2817</v>
      </c>
      <c r="HS16" s="93"/>
      <c r="HT16" s="3" t="s">
        <v>2435</v>
      </c>
      <c r="HU16" s="3" t="s">
        <v>2435</v>
      </c>
      <c r="HV16" s="3" t="s">
        <v>2435</v>
      </c>
      <c r="HX16" s="85"/>
      <c r="HY16" s="3" t="s">
        <v>2435</v>
      </c>
      <c r="HZ16" s="3" t="s">
        <v>2435</v>
      </c>
      <c r="IA16" s="3" t="s">
        <v>2435</v>
      </c>
      <c r="IB16" s="3" t="s">
        <v>2435</v>
      </c>
      <c r="ID16" s="168"/>
      <c r="IE16" s="2" t="s">
        <v>2430</v>
      </c>
      <c r="IF16" s="2" t="s">
        <v>2779</v>
      </c>
      <c r="IG16" s="3" t="s">
        <v>2435</v>
      </c>
      <c r="IH16" s="3" t="s">
        <v>2434</v>
      </c>
      <c r="II16" s="3" t="s">
        <v>2435</v>
      </c>
      <c r="IJ16" s="3" t="s">
        <v>2435</v>
      </c>
      <c r="IK16" s="3" t="s">
        <v>2435</v>
      </c>
      <c r="IL16" s="3" t="s">
        <v>2435</v>
      </c>
      <c r="IM16" s="3" t="s">
        <v>2434</v>
      </c>
      <c r="IN16" s="3" t="s">
        <v>2434</v>
      </c>
      <c r="IO16" s="2" t="s">
        <v>2818</v>
      </c>
      <c r="JH16" s="136"/>
      <c r="JI16" s="136"/>
      <c r="KB16" s="136"/>
      <c r="KC16" s="3"/>
      <c r="KD16" s="3"/>
      <c r="KE16" s="3"/>
      <c r="KF16" s="136"/>
      <c r="KG16" s="136"/>
      <c r="KH16" s="136"/>
      <c r="KI16" s="136"/>
      <c r="LE16" s="168"/>
      <c r="LF16" s="3">
        <v>15</v>
      </c>
      <c r="LG16" s="2" t="s">
        <v>2777</v>
      </c>
      <c r="LH16" s="157"/>
      <c r="LI16" s="3" t="s">
        <v>2432</v>
      </c>
      <c r="LJ16" s="3" t="s">
        <v>2435</v>
      </c>
      <c r="LK16" s="3" t="s">
        <v>2432</v>
      </c>
      <c r="LL16" s="3" t="s">
        <v>2432</v>
      </c>
      <c r="LM16" s="2" t="s">
        <v>2817</v>
      </c>
      <c r="LN16" s="93"/>
      <c r="LO16" s="3" t="s">
        <v>2435</v>
      </c>
      <c r="LP16" s="3" t="s">
        <v>2435</v>
      </c>
      <c r="LQ16" s="3" t="s">
        <v>2435</v>
      </c>
      <c r="LR16" s="2"/>
      <c r="LS16" s="85"/>
      <c r="LT16" s="3" t="s">
        <v>2435</v>
      </c>
      <c r="LU16" s="3" t="s">
        <v>2435</v>
      </c>
      <c r="LV16" s="3" t="s">
        <v>2435</v>
      </c>
      <c r="LW16" s="3" t="s">
        <v>2435</v>
      </c>
      <c r="LX16" s="2"/>
      <c r="LY16" s="168"/>
      <c r="LZ16" s="2" t="s">
        <v>2430</v>
      </c>
      <c r="MA16" s="2" t="s">
        <v>2779</v>
      </c>
      <c r="MB16" s="3" t="s">
        <v>2435</v>
      </c>
      <c r="MC16" s="3" t="s">
        <v>2434</v>
      </c>
      <c r="MD16" s="3" t="s">
        <v>2435</v>
      </c>
      <c r="ME16" s="3" t="s">
        <v>2435</v>
      </c>
      <c r="MF16" s="3" t="s">
        <v>2435</v>
      </c>
      <c r="MG16" s="3" t="s">
        <v>2435</v>
      </c>
      <c r="MH16" s="3" t="s">
        <v>2434</v>
      </c>
      <c r="MI16" s="3" t="s">
        <v>2434</v>
      </c>
      <c r="MJ16" s="2" t="s">
        <v>2818</v>
      </c>
      <c r="MZ16" s="439"/>
      <c r="NF16" s="440"/>
      <c r="NL16" s="3"/>
      <c r="NM16" s="3"/>
      <c r="NN16" s="3"/>
      <c r="NO16" s="3"/>
      <c r="NP16" s="3"/>
      <c r="NQ16" s="3"/>
      <c r="NR16" s="3"/>
      <c r="NS16" s="3"/>
    </row>
    <row r="17" spans="1:383" ht="409.6" thickBot="1">
      <c r="A17" s="65">
        <v>8</v>
      </c>
      <c r="B17" s="10" t="s">
        <v>798</v>
      </c>
      <c r="C17" s="10" t="s">
        <v>784</v>
      </c>
      <c r="D17" s="10">
        <v>6982211174</v>
      </c>
      <c r="E17" s="30" t="s">
        <v>799</v>
      </c>
      <c r="F17" s="1386" t="s">
        <v>2693</v>
      </c>
      <c r="G17" s="1387"/>
      <c r="H17" s="1388"/>
      <c r="I17" s="26"/>
      <c r="J17" s="198"/>
      <c r="M17" s="3">
        <v>2</v>
      </c>
      <c r="O17" s="136">
        <v>1950</v>
      </c>
      <c r="R17" s="416" t="s">
        <v>2763</v>
      </c>
      <c r="S17" s="417" t="s">
        <v>2764</v>
      </c>
      <c r="T17" s="418" t="s">
        <v>2816</v>
      </c>
      <c r="U17" s="419">
        <v>6937037501</v>
      </c>
      <c r="V17" s="420"/>
      <c r="W17" s="3">
        <v>1</v>
      </c>
      <c r="X17" s="405"/>
      <c r="Y17" s="401" t="s">
        <v>2445</v>
      </c>
      <c r="Z17" t="s">
        <v>2819</v>
      </c>
      <c r="AB17" s="356" t="s">
        <v>2616</v>
      </c>
      <c r="AC17" s="356" t="s">
        <v>2617</v>
      </c>
      <c r="AD17" s="357">
        <v>12</v>
      </c>
      <c r="AE17" s="357">
        <v>18</v>
      </c>
      <c r="AF17" s="357">
        <v>24</v>
      </c>
      <c r="AG17" s="357">
        <v>6</v>
      </c>
      <c r="AH17" s="357">
        <f t="shared" si="11"/>
        <v>60</v>
      </c>
      <c r="AI17" s="136" t="s">
        <v>2820</v>
      </c>
      <c r="DI17" s="86" t="s">
        <v>2821</v>
      </c>
      <c r="DJ17" s="86" t="s">
        <v>2822</v>
      </c>
      <c r="DK17" s="81"/>
      <c r="DL17" s="81"/>
      <c r="DM17" s="81"/>
      <c r="DN17" s="1337" t="s">
        <v>2823</v>
      </c>
      <c r="DO17" s="1145"/>
      <c r="DP17" s="1145"/>
      <c r="DQ17" s="1145"/>
      <c r="EX17" s="144" t="s">
        <v>2824</v>
      </c>
      <c r="EY17" s="144" t="s">
        <v>2825</v>
      </c>
      <c r="EZ17" s="144" t="s">
        <v>2826</v>
      </c>
      <c r="FA17" s="144" t="s">
        <v>2827</v>
      </c>
      <c r="FB17" s="144" t="s">
        <v>2828</v>
      </c>
      <c r="FK17" s="107" t="s">
        <v>2810</v>
      </c>
      <c r="FL17" s="53" t="s">
        <v>2829</v>
      </c>
      <c r="FM17" s="53" t="s">
        <v>2830</v>
      </c>
      <c r="FN17" s="48" t="s">
        <v>2831</v>
      </c>
      <c r="FO17" s="122" t="s">
        <v>2520</v>
      </c>
      <c r="FP17" s="48"/>
      <c r="FQ17" s="48"/>
      <c r="FR17" s="100"/>
      <c r="FV17" s="53" t="s">
        <v>2599</v>
      </c>
      <c r="FW17" s="48" t="s">
        <v>2832</v>
      </c>
      <c r="FX17" s="268" t="s">
        <v>611</v>
      </c>
      <c r="FY17" s="48" t="s">
        <v>612</v>
      </c>
      <c r="FZ17" s="48" t="s">
        <v>613</v>
      </c>
      <c r="GA17" s="51">
        <v>6946047218</v>
      </c>
      <c r="GB17" s="54"/>
      <c r="GM17" s="175" t="s">
        <v>1667</v>
      </c>
      <c r="GN17" s="171" t="s">
        <v>2354</v>
      </c>
      <c r="GO17" s="171" t="s">
        <v>2355</v>
      </c>
      <c r="GP17" s="171" t="s">
        <v>2356</v>
      </c>
      <c r="GQ17" s="172" t="s">
        <v>2357</v>
      </c>
      <c r="GR17" s="171" t="s">
        <v>2358</v>
      </c>
      <c r="GS17" s="171" t="s">
        <v>2359</v>
      </c>
      <c r="GT17" s="171" t="s">
        <v>2360</v>
      </c>
      <c r="GU17" s="172" t="s">
        <v>2361</v>
      </c>
      <c r="GV17" s="6" t="s">
        <v>2480</v>
      </c>
      <c r="HJ17" s="168"/>
      <c r="HK17" s="3">
        <v>16</v>
      </c>
      <c r="HL17" s="2" t="s">
        <v>2777</v>
      </c>
      <c r="HM17" s="157"/>
      <c r="HN17" s="3" t="s">
        <v>2431</v>
      </c>
      <c r="HO17" s="3" t="s">
        <v>2431</v>
      </c>
      <c r="HP17" s="3" t="s">
        <v>2431</v>
      </c>
      <c r="HQ17" s="3" t="s">
        <v>2433</v>
      </c>
      <c r="HS17" s="93"/>
      <c r="HT17" s="3" t="s">
        <v>2432</v>
      </c>
      <c r="HU17" s="3" t="s">
        <v>2433</v>
      </c>
      <c r="HV17" s="3" t="s">
        <v>2432</v>
      </c>
      <c r="HW17" s="2" t="s">
        <v>2833</v>
      </c>
      <c r="HX17" s="85"/>
      <c r="HY17" s="3" t="s">
        <v>2432</v>
      </c>
      <c r="HZ17" s="3" t="s">
        <v>2432</v>
      </c>
      <c r="IA17" s="3" t="s">
        <v>2432</v>
      </c>
      <c r="IB17" s="3" t="s">
        <v>2432</v>
      </c>
      <c r="ID17" s="168"/>
      <c r="IE17" s="2" t="s">
        <v>2430</v>
      </c>
      <c r="IF17" s="2" t="s">
        <v>2779</v>
      </c>
      <c r="IG17" s="3" t="s">
        <v>2435</v>
      </c>
      <c r="IH17" s="3" t="s">
        <v>2432</v>
      </c>
      <c r="II17" s="3" t="s">
        <v>2432</v>
      </c>
      <c r="IJ17" s="3" t="s">
        <v>2434</v>
      </c>
      <c r="IK17" s="3" t="s">
        <v>2432</v>
      </c>
      <c r="IL17" s="3" t="s">
        <v>2435</v>
      </c>
      <c r="IM17" s="3" t="s">
        <v>2435</v>
      </c>
      <c r="IN17" s="3" t="s">
        <v>2434</v>
      </c>
      <c r="IO17" s="2" t="s">
        <v>2834</v>
      </c>
      <c r="JH17" s="175" t="s">
        <v>1667</v>
      </c>
      <c r="JI17" s="171" t="s">
        <v>2354</v>
      </c>
      <c r="JJ17" s="171" t="s">
        <v>2355</v>
      </c>
      <c r="JK17" s="171" t="s">
        <v>2356</v>
      </c>
      <c r="JL17" s="172" t="s">
        <v>2357</v>
      </c>
      <c r="JM17" s="171" t="s">
        <v>2358</v>
      </c>
      <c r="JN17" s="171" t="s">
        <v>2359</v>
      </c>
      <c r="JO17" s="171" t="s">
        <v>2360</v>
      </c>
      <c r="JP17" s="172" t="s">
        <v>2361</v>
      </c>
      <c r="JQ17" s="6" t="s">
        <v>2480</v>
      </c>
      <c r="KB17" s="136"/>
      <c r="KC17" s="3"/>
      <c r="KD17" s="3"/>
      <c r="KE17" s="3"/>
      <c r="KF17" s="136"/>
      <c r="KG17" s="136"/>
      <c r="KH17" s="175" t="s">
        <v>1667</v>
      </c>
      <c r="KI17" s="171" t="s">
        <v>2354</v>
      </c>
      <c r="KJ17" s="171" t="s">
        <v>2355</v>
      </c>
      <c r="KK17" s="171" t="s">
        <v>2356</v>
      </c>
      <c r="KL17" s="172" t="s">
        <v>2357</v>
      </c>
      <c r="KM17" s="171" t="s">
        <v>2358</v>
      </c>
      <c r="KN17" s="171" t="s">
        <v>2359</v>
      </c>
      <c r="KO17" s="171" t="s">
        <v>2360</v>
      </c>
      <c r="KP17" s="172" t="s">
        <v>2361</v>
      </c>
      <c r="KQ17" s="6" t="s">
        <v>2480</v>
      </c>
      <c r="LE17" s="168"/>
      <c r="LF17" s="3">
        <v>16</v>
      </c>
      <c r="LG17" s="2" t="s">
        <v>2777</v>
      </c>
      <c r="LH17" s="157"/>
      <c r="LI17" s="3" t="s">
        <v>2431</v>
      </c>
      <c r="LJ17" s="3" t="s">
        <v>2431</v>
      </c>
      <c r="LK17" s="3" t="s">
        <v>2431</v>
      </c>
      <c r="LL17" s="3" t="s">
        <v>2433</v>
      </c>
      <c r="LM17" s="2"/>
      <c r="LN17" s="93"/>
      <c r="LO17" s="3" t="s">
        <v>2432</v>
      </c>
      <c r="LP17" s="3" t="s">
        <v>2433</v>
      </c>
      <c r="LQ17" s="3" t="s">
        <v>2432</v>
      </c>
      <c r="LR17" s="2" t="s">
        <v>2833</v>
      </c>
      <c r="LS17" s="85"/>
      <c r="LT17" s="3" t="s">
        <v>2432</v>
      </c>
      <c r="LU17" s="3" t="s">
        <v>2432</v>
      </c>
      <c r="LV17" s="3" t="s">
        <v>2432</v>
      </c>
      <c r="LW17" s="3" t="s">
        <v>2432</v>
      </c>
      <c r="LX17" s="2"/>
      <c r="LY17" s="168"/>
      <c r="LZ17" s="2" t="s">
        <v>2430</v>
      </c>
      <c r="MA17" s="2" t="s">
        <v>2779</v>
      </c>
      <c r="MB17" s="3" t="s">
        <v>2435</v>
      </c>
      <c r="MC17" s="3" t="s">
        <v>2432</v>
      </c>
      <c r="MD17" s="3" t="s">
        <v>2432</v>
      </c>
      <c r="ME17" s="3" t="s">
        <v>2434</v>
      </c>
      <c r="MF17" s="3" t="s">
        <v>2432</v>
      </c>
      <c r="MG17" s="3" t="s">
        <v>2435</v>
      </c>
      <c r="MH17" s="3" t="s">
        <v>2435</v>
      </c>
      <c r="MI17" s="3" t="s">
        <v>2434</v>
      </c>
      <c r="MJ17" s="2" t="s">
        <v>2834</v>
      </c>
      <c r="MZ17" s="439" t="s">
        <v>2835</v>
      </c>
      <c r="NF17" s="440"/>
      <c r="NL17" s="3"/>
      <c r="NM17" s="3"/>
      <c r="NN17" s="3"/>
      <c r="NO17" s="3"/>
      <c r="NP17" s="3"/>
      <c r="NQ17" s="3"/>
      <c r="NR17" s="3"/>
      <c r="NS17" s="3"/>
    </row>
    <row r="18" spans="1:383" ht="181.5" thickTop="1" thickBot="1">
      <c r="A18" s="65">
        <v>9</v>
      </c>
      <c r="B18" s="10" t="s">
        <v>589</v>
      </c>
      <c r="C18" s="10" t="s">
        <v>588</v>
      </c>
      <c r="D18" s="285">
        <v>6948541236</v>
      </c>
      <c r="E18" s="30" t="s">
        <v>590</v>
      </c>
      <c r="F18" s="1386" t="s">
        <v>2693</v>
      </c>
      <c r="G18" s="1387"/>
      <c r="H18" s="1388"/>
      <c r="I18" s="24"/>
      <c r="J18" s="198"/>
      <c r="M18" s="366" t="s">
        <v>2836</v>
      </c>
      <c r="O18" s="136">
        <v>2150</v>
      </c>
      <c r="R18" s="426" t="s">
        <v>611</v>
      </c>
      <c r="S18" s="427" t="s">
        <v>612</v>
      </c>
      <c r="T18" s="425" t="s">
        <v>613</v>
      </c>
      <c r="U18" s="428">
        <v>6946047218</v>
      </c>
      <c r="V18" s="429"/>
      <c r="W18" s="3">
        <v>0</v>
      </c>
      <c r="X18" s="404">
        <v>45894</v>
      </c>
      <c r="Y18" s="401" t="s">
        <v>2445</v>
      </c>
      <c r="Z18" s="403" t="s">
        <v>2837</v>
      </c>
      <c r="AB18" s="356" t="s">
        <v>522</v>
      </c>
      <c r="AC18" s="356" t="s">
        <v>523</v>
      </c>
      <c r="AD18" s="357">
        <v>44</v>
      </c>
      <c r="AE18" s="357">
        <v>22</v>
      </c>
      <c r="AF18" s="357">
        <v>48</v>
      </c>
      <c r="AG18" s="357">
        <f>11+7</f>
        <v>18</v>
      </c>
      <c r="AH18" s="357">
        <f t="shared" si="11"/>
        <v>132</v>
      </c>
      <c r="AI18" s="136" t="s">
        <v>2838</v>
      </c>
      <c r="DI18" s="277" t="s">
        <v>2839</v>
      </c>
      <c r="DJ18" s="277" t="s">
        <v>2840</v>
      </c>
      <c r="DK18" s="81"/>
      <c r="DL18" s="82" t="s">
        <v>2841</v>
      </c>
      <c r="DM18" s="82" t="s">
        <v>2842</v>
      </c>
      <c r="DN18" s="1145"/>
      <c r="DO18" s="1145"/>
      <c r="DP18" s="1145"/>
      <c r="DQ18" s="1145"/>
      <c r="EX18" s="354" t="s">
        <v>2843</v>
      </c>
      <c r="FK18" s="107" t="s">
        <v>2810</v>
      </c>
      <c r="FL18" s="53" t="s">
        <v>2844</v>
      </c>
      <c r="FM18" s="53" t="s">
        <v>115</v>
      </c>
      <c r="FN18" s="48" t="s">
        <v>2845</v>
      </c>
      <c r="FO18" s="122" t="s">
        <v>2731</v>
      </c>
      <c r="FP18" s="48"/>
      <c r="FQ18" s="48"/>
      <c r="FR18" s="100"/>
      <c r="FV18" s="53" t="s">
        <v>2425</v>
      </c>
      <c r="FW18" s="48" t="s">
        <v>2846</v>
      </c>
      <c r="FX18" s="269" t="s">
        <v>474</v>
      </c>
      <c r="FY18" s="49" t="s">
        <v>475</v>
      </c>
      <c r="FZ18" s="49" t="s">
        <v>476</v>
      </c>
      <c r="GA18" s="52">
        <v>6973739823</v>
      </c>
      <c r="GB18" s="54"/>
      <c r="GM18" s="184" t="s">
        <v>2525</v>
      </c>
      <c r="GN18" s="173">
        <f t="shared" ref="GN18:GU18" si="14">COUNTIFS($BA$2:$BA$425,"ΑΠΛΑΔΑ ΣΟΦΙΑ - ΧΑΡΑ",IG$2:IG$425,"κακή")</f>
        <v>0</v>
      </c>
      <c r="GO18" s="173">
        <f t="shared" si="14"/>
        <v>0</v>
      </c>
      <c r="GP18" s="173">
        <f t="shared" si="14"/>
        <v>0</v>
      </c>
      <c r="GQ18" s="173">
        <f t="shared" si="14"/>
        <v>0</v>
      </c>
      <c r="GR18" s="173">
        <f t="shared" si="14"/>
        <v>0</v>
      </c>
      <c r="GS18" s="173">
        <f t="shared" si="14"/>
        <v>0</v>
      </c>
      <c r="GT18" s="173">
        <f t="shared" si="14"/>
        <v>0</v>
      </c>
      <c r="GU18" s="173">
        <f t="shared" si="14"/>
        <v>0</v>
      </c>
      <c r="GV18" s="170">
        <f>SUM(GR18:GU18)</f>
        <v>0</v>
      </c>
      <c r="HJ18" s="168"/>
      <c r="HK18" s="3">
        <v>17</v>
      </c>
      <c r="HL18" s="2" t="s">
        <v>2777</v>
      </c>
      <c r="HM18" s="157"/>
      <c r="HN18" s="3" t="s">
        <v>2431</v>
      </c>
      <c r="HO18" s="3" t="s">
        <v>2431</v>
      </c>
      <c r="HP18" s="3" t="s">
        <v>2431</v>
      </c>
      <c r="HQ18" s="3" t="s">
        <v>2431</v>
      </c>
      <c r="HS18" s="93"/>
      <c r="HT18" s="3" t="s">
        <v>2433</v>
      </c>
      <c r="HU18" s="3" t="s">
        <v>2433</v>
      </c>
      <c r="HV18" s="3" t="s">
        <v>2433</v>
      </c>
      <c r="HX18" s="85"/>
      <c r="HY18" s="3" t="s">
        <v>2433</v>
      </c>
      <c r="HZ18" s="3" t="s">
        <v>2433</v>
      </c>
      <c r="IA18" s="3" t="s">
        <v>2433</v>
      </c>
      <c r="IB18" s="3" t="s">
        <v>2433</v>
      </c>
      <c r="ID18" s="168"/>
      <c r="IE18" s="2" t="s">
        <v>2430</v>
      </c>
      <c r="IF18" s="2" t="s">
        <v>2779</v>
      </c>
      <c r="IG18" s="3" t="s">
        <v>2432</v>
      </c>
      <c r="IH18" s="3" t="s">
        <v>2435</v>
      </c>
      <c r="II18" s="3" t="s">
        <v>2435</v>
      </c>
      <c r="IJ18" s="3" t="s">
        <v>2434</v>
      </c>
      <c r="IK18" s="3" t="s">
        <v>2435</v>
      </c>
      <c r="IL18" s="3" t="s">
        <v>2435</v>
      </c>
      <c r="IM18" s="3" t="s">
        <v>2435</v>
      </c>
      <c r="IN18" s="3" t="s">
        <v>2434</v>
      </c>
      <c r="JH18" s="184" t="s">
        <v>2525</v>
      </c>
      <c r="JI18" s="173" t="e">
        <f>#REF!</f>
        <v>#REF!</v>
      </c>
      <c r="JJ18" s="173" t="e">
        <f>#REF!</f>
        <v>#REF!</v>
      </c>
      <c r="JK18" s="173" t="e">
        <f>#REF!</f>
        <v>#REF!</v>
      </c>
      <c r="JL18" s="173" t="e">
        <f>#REF!</f>
        <v>#REF!</v>
      </c>
      <c r="JM18" s="173" t="e">
        <f>#REF!</f>
        <v>#REF!</v>
      </c>
      <c r="JN18" s="173" t="e">
        <f>#REF!</f>
        <v>#REF!</v>
      </c>
      <c r="JO18" s="173" t="e">
        <f>#REF!</f>
        <v>#REF!</v>
      </c>
      <c r="JP18" s="173" t="e">
        <f>#REF!</f>
        <v>#REF!</v>
      </c>
      <c r="JQ18" s="170" t="e">
        <f>SUM(JM18:JP18)</f>
        <v>#REF!</v>
      </c>
      <c r="KB18" s="136"/>
      <c r="KC18" s="3"/>
      <c r="KD18" s="3"/>
      <c r="KE18" s="3"/>
      <c r="KF18" s="136"/>
      <c r="KG18" s="136"/>
      <c r="KH18" s="184" t="s">
        <v>2525</v>
      </c>
      <c r="KI18" s="173">
        <f t="shared" ref="KI18:KP18" si="15">COUNTIFS($BA$2:$BA$425,"ΑΠΛΑΔΑ ΣΟΦΙΑ - ΧΑΡΑ",MB$2:MB$425,"κακή")</f>
        <v>0</v>
      </c>
      <c r="KJ18" s="173">
        <f t="shared" si="15"/>
        <v>0</v>
      </c>
      <c r="KK18" s="173">
        <f t="shared" si="15"/>
        <v>0</v>
      </c>
      <c r="KL18" s="173">
        <f t="shared" si="15"/>
        <v>0</v>
      </c>
      <c r="KM18" s="173">
        <f t="shared" si="15"/>
        <v>0</v>
      </c>
      <c r="KN18" s="173">
        <f t="shared" si="15"/>
        <v>0</v>
      </c>
      <c r="KO18" s="173">
        <f t="shared" si="15"/>
        <v>0</v>
      </c>
      <c r="KP18" s="173">
        <f t="shared" si="15"/>
        <v>0</v>
      </c>
      <c r="KQ18" s="170">
        <f>SUM(KM18:KP18)</f>
        <v>0</v>
      </c>
      <c r="LE18" s="168"/>
      <c r="LF18" s="3">
        <v>17</v>
      </c>
      <c r="LG18" s="2" t="s">
        <v>2777</v>
      </c>
      <c r="LH18" s="157"/>
      <c r="LI18" s="3" t="s">
        <v>2431</v>
      </c>
      <c r="LJ18" s="3" t="s">
        <v>2431</v>
      </c>
      <c r="LK18" s="3" t="s">
        <v>2431</v>
      </c>
      <c r="LL18" s="3" t="s">
        <v>2431</v>
      </c>
      <c r="LM18" s="2"/>
      <c r="LN18" s="93"/>
      <c r="LO18" s="3" t="s">
        <v>2433</v>
      </c>
      <c r="LP18" s="3" t="s">
        <v>2433</v>
      </c>
      <c r="LQ18" s="3" t="s">
        <v>2433</v>
      </c>
      <c r="LR18" s="2"/>
      <c r="LS18" s="85"/>
      <c r="LT18" s="3" t="s">
        <v>2433</v>
      </c>
      <c r="LU18" s="3" t="s">
        <v>2433</v>
      </c>
      <c r="LV18" s="3" t="s">
        <v>2433</v>
      </c>
      <c r="LW18" s="3" t="s">
        <v>2433</v>
      </c>
      <c r="LX18" s="2"/>
      <c r="LY18" s="168"/>
      <c r="LZ18" s="2" t="s">
        <v>2430</v>
      </c>
      <c r="MA18" s="2" t="s">
        <v>2779</v>
      </c>
      <c r="MB18" s="3" t="s">
        <v>2432</v>
      </c>
      <c r="MC18" s="3" t="s">
        <v>2435</v>
      </c>
      <c r="MD18" s="3" t="s">
        <v>2435</v>
      </c>
      <c r="ME18" s="3" t="s">
        <v>2434</v>
      </c>
      <c r="MF18" s="3" t="s">
        <v>2435</v>
      </c>
      <c r="MG18" s="3" t="s">
        <v>2435</v>
      </c>
      <c r="MH18" s="3" t="s">
        <v>2435</v>
      </c>
      <c r="MI18" s="3" t="s">
        <v>2434</v>
      </c>
      <c r="MJ18" s="2"/>
      <c r="NF18" s="440"/>
      <c r="NL18" s="3"/>
      <c r="NM18" s="3"/>
      <c r="NN18" s="3"/>
      <c r="NO18" s="3"/>
      <c r="NP18" s="3"/>
      <c r="NQ18" s="3"/>
      <c r="NR18" s="3"/>
      <c r="NS18" s="3"/>
    </row>
    <row r="19" spans="1:383" ht="409.6" thickTop="1" thickBot="1">
      <c r="A19" s="65">
        <v>10</v>
      </c>
      <c r="B19" s="10" t="s">
        <v>2396</v>
      </c>
      <c r="C19" s="10" t="s">
        <v>2448</v>
      </c>
      <c r="D19" s="10" t="s">
        <v>2847</v>
      </c>
      <c r="E19" s="30"/>
      <c r="F19" s="1386" t="s">
        <v>2693</v>
      </c>
      <c r="G19" s="1387"/>
      <c r="H19" s="1388"/>
      <c r="I19" s="24"/>
      <c r="J19" s="198"/>
      <c r="M19" s="3">
        <v>0</v>
      </c>
      <c r="R19" s="426" t="s">
        <v>474</v>
      </c>
      <c r="S19" s="427" t="s">
        <v>475</v>
      </c>
      <c r="T19" s="425" t="s">
        <v>476</v>
      </c>
      <c r="U19" s="428">
        <v>6973739823</v>
      </c>
      <c r="V19" s="429"/>
      <c r="W19" s="366" t="s">
        <v>2718</v>
      </c>
      <c r="X19" s="2" t="s">
        <v>2848</v>
      </c>
      <c r="Y19" s="397" t="s">
        <v>2445</v>
      </c>
      <c r="Z19" s="403" t="s">
        <v>2849</v>
      </c>
      <c r="AB19" s="347" t="s">
        <v>611</v>
      </c>
      <c r="AC19" s="347" t="s">
        <v>612</v>
      </c>
      <c r="AD19" s="271">
        <v>8</v>
      </c>
      <c r="AE19" s="271">
        <v>4</v>
      </c>
      <c r="AF19" s="271">
        <v>8</v>
      </c>
      <c r="AG19" s="271">
        <v>2</v>
      </c>
      <c r="AH19" s="17">
        <f t="shared" si="11"/>
        <v>22</v>
      </c>
      <c r="AI19" s="136" t="s">
        <v>2387</v>
      </c>
      <c r="AM19" s="1305" t="s">
        <v>1992</v>
      </c>
      <c r="AN19" s="1305" t="s">
        <v>437</v>
      </c>
      <c r="AO19" s="1304" t="s">
        <v>1993</v>
      </c>
      <c r="AP19" s="1304" t="s">
        <v>1994</v>
      </c>
      <c r="AS19" s="1304" t="s">
        <v>1992</v>
      </c>
      <c r="AT19" s="1305" t="s">
        <v>437</v>
      </c>
      <c r="AU19" s="1304" t="s">
        <v>1993</v>
      </c>
      <c r="AV19" s="1304" t="s">
        <v>1994</v>
      </c>
      <c r="DI19" s="277" t="s">
        <v>2850</v>
      </c>
      <c r="DJ19" s="277" t="s">
        <v>2851</v>
      </c>
      <c r="DK19" s="82" t="s">
        <v>2852</v>
      </c>
      <c r="DL19" s="82" t="s">
        <v>2853</v>
      </c>
      <c r="DM19" s="82" t="s">
        <v>2854</v>
      </c>
      <c r="DN19" s="1145"/>
      <c r="DO19" s="1145"/>
      <c r="DP19" s="1145"/>
      <c r="DQ19" s="1145"/>
      <c r="FK19" s="108" t="s">
        <v>2810</v>
      </c>
      <c r="FL19" s="101" t="s">
        <v>2855</v>
      </c>
      <c r="FM19" s="101" t="s">
        <v>2856</v>
      </c>
      <c r="FN19" s="49" t="s">
        <v>2857</v>
      </c>
      <c r="FO19" s="127" t="s">
        <v>2520</v>
      </c>
      <c r="FP19" s="49"/>
      <c r="FQ19" s="49"/>
      <c r="FR19" s="102"/>
      <c r="FV19" s="53" t="s">
        <v>2683</v>
      </c>
      <c r="FW19" s="53" t="s">
        <v>2858</v>
      </c>
      <c r="FX19" s="268" t="s">
        <v>2587</v>
      </c>
      <c r="FY19" s="48" t="s">
        <v>2738</v>
      </c>
      <c r="FZ19" s="48" t="s">
        <v>2809</v>
      </c>
      <c r="GA19" s="51">
        <v>6907054898</v>
      </c>
      <c r="GB19" s="54"/>
      <c r="GM19" s="184" t="s">
        <v>2435</v>
      </c>
      <c r="GN19" s="173">
        <f t="shared" ref="GN19:GU19" si="16">COUNTIFS($BA$2:$BA$425,"ΑΠΛΑΔΑ ΣΟΦΙΑ - ΧΑΡΑ",IG$2:IG$425,"μέτρια")</f>
        <v>0</v>
      </c>
      <c r="GO19" s="173">
        <f t="shared" si="16"/>
        <v>0</v>
      </c>
      <c r="GP19" s="173">
        <f t="shared" si="16"/>
        <v>0</v>
      </c>
      <c r="GQ19" s="173">
        <f t="shared" si="16"/>
        <v>0</v>
      </c>
      <c r="GR19" s="173">
        <f t="shared" si="16"/>
        <v>0</v>
      </c>
      <c r="GS19" s="173">
        <f t="shared" si="16"/>
        <v>0</v>
      </c>
      <c r="GT19" s="173">
        <f t="shared" si="16"/>
        <v>0</v>
      </c>
      <c r="GU19" s="173">
        <f t="shared" si="16"/>
        <v>0</v>
      </c>
      <c r="GV19" s="170">
        <f>SUM(GR19:GU19)</f>
        <v>0</v>
      </c>
      <c r="HJ19" s="168"/>
      <c r="HK19" s="3">
        <v>18</v>
      </c>
      <c r="HL19" s="2" t="s">
        <v>2859</v>
      </c>
      <c r="HM19" s="157"/>
      <c r="HN19" s="3" t="s">
        <v>2431</v>
      </c>
      <c r="HO19" s="3" t="s">
        <v>2433</v>
      </c>
      <c r="HP19" s="3" t="s">
        <v>2431</v>
      </c>
      <c r="HQ19" s="3" t="s">
        <v>2431</v>
      </c>
      <c r="HS19" s="93"/>
      <c r="HT19" s="3" t="s">
        <v>2431</v>
      </c>
      <c r="HU19" s="3" t="s">
        <v>2431</v>
      </c>
      <c r="HV19" s="3" t="s">
        <v>2433</v>
      </c>
      <c r="HX19" s="85"/>
      <c r="HY19" s="3" t="s">
        <v>2435</v>
      </c>
      <c r="HZ19" s="3" t="s">
        <v>2435</v>
      </c>
      <c r="IA19" s="3" t="s">
        <v>2434</v>
      </c>
      <c r="IB19" s="3" t="s">
        <v>2435</v>
      </c>
      <c r="ID19" s="168"/>
      <c r="IE19" s="2" t="s">
        <v>2430</v>
      </c>
      <c r="IF19" s="2" t="s">
        <v>2779</v>
      </c>
      <c r="IG19" s="3" t="s">
        <v>2434</v>
      </c>
      <c r="IH19" s="3" t="s">
        <v>2434</v>
      </c>
      <c r="II19" s="3" t="s">
        <v>2434</v>
      </c>
      <c r="IJ19" s="3" t="s">
        <v>2435</v>
      </c>
      <c r="IK19" s="3" t="s">
        <v>2435</v>
      </c>
      <c r="IL19" s="3" t="s">
        <v>2434</v>
      </c>
      <c r="IM19" s="3" t="s">
        <v>2434</v>
      </c>
      <c r="IN19" s="3" t="s">
        <v>2434</v>
      </c>
      <c r="IO19" s="2" t="s">
        <v>2860</v>
      </c>
      <c r="JH19" s="184" t="s">
        <v>2435</v>
      </c>
      <c r="JI19" s="173" t="e">
        <f>#REF!</f>
        <v>#REF!</v>
      </c>
      <c r="JJ19" s="173" t="e">
        <f>#REF!</f>
        <v>#REF!</v>
      </c>
      <c r="JK19" s="173" t="e">
        <f>#REF!</f>
        <v>#REF!</v>
      </c>
      <c r="JL19" s="173" t="e">
        <f>#REF!</f>
        <v>#REF!</v>
      </c>
      <c r="JM19" s="173" t="e">
        <f>#REF!</f>
        <v>#REF!</v>
      </c>
      <c r="JN19" s="173" t="e">
        <f>#REF!</f>
        <v>#REF!</v>
      </c>
      <c r="JO19" s="173" t="e">
        <f>#REF!</f>
        <v>#REF!</v>
      </c>
      <c r="JP19" s="173" t="e">
        <f>#REF!</f>
        <v>#REF!</v>
      </c>
      <c r="JQ19" s="170" t="e">
        <f>SUM(JM19:JP19)</f>
        <v>#REF!</v>
      </c>
      <c r="KB19" s="136"/>
      <c r="KC19" s="3"/>
      <c r="KD19" s="3"/>
      <c r="KE19" s="3"/>
      <c r="KF19" s="136"/>
      <c r="KG19" s="136"/>
      <c r="KH19" s="184" t="s">
        <v>2435</v>
      </c>
      <c r="KI19" s="173">
        <f t="shared" ref="KI19:KP19" si="17">COUNTIFS($BA$2:$BA$425,"ΑΠΛΑΔΑ ΣΟΦΙΑ - ΧΑΡΑ",MB$2:MB$425,"μέτρια")</f>
        <v>0</v>
      </c>
      <c r="KJ19" s="173">
        <f t="shared" si="17"/>
        <v>0</v>
      </c>
      <c r="KK19" s="173">
        <f t="shared" si="17"/>
        <v>0</v>
      </c>
      <c r="KL19" s="173">
        <f t="shared" si="17"/>
        <v>0</v>
      </c>
      <c r="KM19" s="173">
        <f t="shared" si="17"/>
        <v>0</v>
      </c>
      <c r="KN19" s="173">
        <f t="shared" si="17"/>
        <v>0</v>
      </c>
      <c r="KO19" s="173">
        <f t="shared" si="17"/>
        <v>0</v>
      </c>
      <c r="KP19" s="173">
        <f t="shared" si="17"/>
        <v>0</v>
      </c>
      <c r="KQ19" s="170">
        <f>SUM(KM19:KP19)</f>
        <v>0</v>
      </c>
      <c r="LE19" s="168"/>
      <c r="LF19" s="3">
        <v>18</v>
      </c>
      <c r="LG19" s="2" t="s">
        <v>2859</v>
      </c>
      <c r="LH19" s="157"/>
      <c r="LI19" s="3" t="s">
        <v>2431</v>
      </c>
      <c r="LJ19" s="3" t="s">
        <v>2433</v>
      </c>
      <c r="LK19" s="3" t="s">
        <v>2431</v>
      </c>
      <c r="LL19" s="3" t="s">
        <v>2431</v>
      </c>
      <c r="LM19" s="2"/>
      <c r="LN19" s="93"/>
      <c r="LO19" s="3" t="s">
        <v>2431</v>
      </c>
      <c r="LP19" s="3" t="s">
        <v>2431</v>
      </c>
      <c r="LQ19" s="3" t="s">
        <v>2433</v>
      </c>
      <c r="LR19" s="2"/>
      <c r="LS19" s="85"/>
      <c r="LT19" s="3" t="s">
        <v>2435</v>
      </c>
      <c r="LU19" s="3" t="s">
        <v>2435</v>
      </c>
      <c r="LV19" s="3" t="s">
        <v>2434</v>
      </c>
      <c r="LW19" s="3" t="s">
        <v>2435</v>
      </c>
      <c r="LX19" s="2"/>
      <c r="LY19" s="168"/>
      <c r="LZ19" s="2" t="s">
        <v>2430</v>
      </c>
      <c r="MA19" s="2" t="s">
        <v>2779</v>
      </c>
      <c r="MB19" s="3" t="s">
        <v>2434</v>
      </c>
      <c r="MC19" s="3" t="s">
        <v>2434</v>
      </c>
      <c r="MD19" s="3" t="s">
        <v>2434</v>
      </c>
      <c r="ME19" s="3" t="s">
        <v>2435</v>
      </c>
      <c r="MF19" s="3" t="s">
        <v>2435</v>
      </c>
      <c r="MG19" s="3" t="s">
        <v>2434</v>
      </c>
      <c r="MH19" s="3" t="s">
        <v>2434</v>
      </c>
      <c r="MI19" s="3" t="s">
        <v>2434</v>
      </c>
      <c r="MJ19" s="2" t="s">
        <v>2860</v>
      </c>
      <c r="NF19" s="440"/>
      <c r="NL19" s="3"/>
      <c r="NM19" s="3"/>
      <c r="NN19" s="3"/>
      <c r="NO19" s="3"/>
      <c r="NP19" s="3"/>
      <c r="NQ19" s="3"/>
      <c r="NR19" s="3"/>
      <c r="NS19" s="3"/>
    </row>
    <row r="20" spans="1:383" ht="409.6" thickBot="1">
      <c r="A20" s="65">
        <v>11</v>
      </c>
      <c r="B20" s="10" t="s">
        <v>802</v>
      </c>
      <c r="C20" s="10" t="s">
        <v>803</v>
      </c>
      <c r="D20" s="10">
        <v>6942409382</v>
      </c>
      <c r="E20" s="30" t="s">
        <v>804</v>
      </c>
      <c r="F20" s="1386" t="s">
        <v>2693</v>
      </c>
      <c r="G20" s="1387"/>
      <c r="H20" s="1388"/>
      <c r="I20" s="24"/>
      <c r="J20" s="198"/>
      <c r="M20" s="3">
        <v>2</v>
      </c>
      <c r="R20" s="416" t="s">
        <v>529</v>
      </c>
      <c r="S20" s="417" t="s">
        <v>530</v>
      </c>
      <c r="T20" s="418" t="s">
        <v>531</v>
      </c>
      <c r="U20" s="419">
        <v>6976147069</v>
      </c>
      <c r="V20" s="420"/>
      <c r="X20" s="401" t="s">
        <v>2445</v>
      </c>
      <c r="Y20" s="401" t="s">
        <v>2445</v>
      </c>
      <c r="AB20" s="347" t="s">
        <v>474</v>
      </c>
      <c r="AC20" s="347" t="s">
        <v>475</v>
      </c>
      <c r="AD20" s="271">
        <v>25</v>
      </c>
      <c r="AE20" s="271">
        <v>10</v>
      </c>
      <c r="AF20" s="271">
        <v>44</v>
      </c>
      <c r="AG20" s="271">
        <f>22+4</f>
        <v>26</v>
      </c>
      <c r="AH20" s="17">
        <f t="shared" si="11"/>
        <v>105</v>
      </c>
      <c r="AI20" s="136" t="s">
        <v>2387</v>
      </c>
      <c r="AM20" s="1306"/>
      <c r="AN20" s="1306"/>
      <c r="AO20" s="1304"/>
      <c r="AP20" s="1304"/>
      <c r="AS20" s="1304"/>
      <c r="AT20" s="1306"/>
      <c r="AU20" s="1304"/>
      <c r="AV20" s="1304"/>
      <c r="DI20" s="277" t="s">
        <v>2861</v>
      </c>
      <c r="DJ20" s="277" t="s">
        <v>2862</v>
      </c>
      <c r="DK20" s="82" t="s">
        <v>2863</v>
      </c>
      <c r="DL20" s="82" t="s">
        <v>2864</v>
      </c>
      <c r="DM20" s="82" t="s">
        <v>2862</v>
      </c>
      <c r="DN20" s="1145"/>
      <c r="DO20" s="1145"/>
      <c r="DP20" s="1145"/>
      <c r="DQ20" s="1145"/>
      <c r="FK20" s="109" t="s">
        <v>2865</v>
      </c>
      <c r="FL20" s="97" t="s">
        <v>2844</v>
      </c>
      <c r="FM20" s="97" t="s">
        <v>115</v>
      </c>
      <c r="FN20" s="98" t="s">
        <v>2866</v>
      </c>
      <c r="FO20" s="123" t="s">
        <v>2731</v>
      </c>
      <c r="FP20" s="98"/>
      <c r="FQ20" s="98"/>
      <c r="FR20" s="99"/>
      <c r="GM20" s="184" t="s">
        <v>2603</v>
      </c>
      <c r="GN20" s="173">
        <f t="shared" ref="GN20:GU20" si="18">COUNTIFS($BA$2:$BA$425,"ΑΠΛΑΔΑ ΣΟΦΙΑ - ΧΑΡΑ",IG$2:IG$425,"καλή")</f>
        <v>0</v>
      </c>
      <c r="GO20" s="173">
        <f t="shared" si="18"/>
        <v>0</v>
      </c>
      <c r="GP20" s="173">
        <f t="shared" si="18"/>
        <v>0</v>
      </c>
      <c r="GQ20" s="173">
        <f t="shared" si="18"/>
        <v>0</v>
      </c>
      <c r="GR20" s="173">
        <f t="shared" si="18"/>
        <v>0</v>
      </c>
      <c r="GS20" s="173">
        <f t="shared" si="18"/>
        <v>0</v>
      </c>
      <c r="GT20" s="173">
        <f t="shared" si="18"/>
        <v>0</v>
      </c>
      <c r="GU20" s="173">
        <f t="shared" si="18"/>
        <v>0</v>
      </c>
      <c r="GV20" s="199">
        <f>SUM(GR20:GU20)</f>
        <v>0</v>
      </c>
      <c r="HJ20" s="168"/>
      <c r="HK20" s="3">
        <v>19</v>
      </c>
      <c r="HL20" s="2" t="s">
        <v>2867</v>
      </c>
      <c r="HM20" s="157"/>
      <c r="HN20" s="3" t="s">
        <v>2431</v>
      </c>
      <c r="HO20" s="3" t="s">
        <v>2433</v>
      </c>
      <c r="HP20" s="3" t="s">
        <v>2431</v>
      </c>
      <c r="HQ20" s="3" t="s">
        <v>2433</v>
      </c>
      <c r="HS20" s="93"/>
      <c r="HT20" s="3" t="s">
        <v>2435</v>
      </c>
      <c r="HU20" s="3" t="s">
        <v>2434</v>
      </c>
      <c r="HV20" s="3" t="s">
        <v>2435</v>
      </c>
      <c r="HX20" s="85"/>
      <c r="HY20" s="3" t="s">
        <v>2434</v>
      </c>
      <c r="HZ20" s="3" t="s">
        <v>2435</v>
      </c>
      <c r="IA20" s="3" t="s">
        <v>2434</v>
      </c>
      <c r="IB20" s="3" t="s">
        <v>2434</v>
      </c>
      <c r="ID20" s="168"/>
      <c r="IE20" s="2" t="s">
        <v>2430</v>
      </c>
      <c r="IF20" s="2" t="s">
        <v>2779</v>
      </c>
      <c r="IG20" s="3" t="s">
        <v>2431</v>
      </c>
      <c r="IH20" s="3" t="s">
        <v>2433</v>
      </c>
      <c r="II20" s="3" t="s">
        <v>2431</v>
      </c>
      <c r="IJ20" s="3" t="s">
        <v>2432</v>
      </c>
      <c r="IK20" s="3" t="s">
        <v>2433</v>
      </c>
      <c r="IL20" s="3" t="s">
        <v>2432</v>
      </c>
      <c r="IM20" s="3" t="s">
        <v>2432</v>
      </c>
      <c r="IN20" s="3" t="s">
        <v>2435</v>
      </c>
      <c r="IO20" s="2" t="s">
        <v>2868</v>
      </c>
      <c r="JH20" s="184" t="s">
        <v>2603</v>
      </c>
      <c r="JI20" s="173" t="e">
        <f>#REF!</f>
        <v>#REF!</v>
      </c>
      <c r="JJ20" s="173" t="e">
        <f>#REF!</f>
        <v>#REF!</v>
      </c>
      <c r="JK20" s="173" t="e">
        <f>#REF!</f>
        <v>#REF!</v>
      </c>
      <c r="JL20" s="173" t="e">
        <f>#REF!</f>
        <v>#REF!</v>
      </c>
      <c r="JM20" s="173" t="e">
        <f>#REF!</f>
        <v>#REF!</v>
      </c>
      <c r="JN20" s="173" t="e">
        <f>#REF!</f>
        <v>#REF!</v>
      </c>
      <c r="JO20" s="173" t="e">
        <f>#REF!</f>
        <v>#REF!</v>
      </c>
      <c r="JP20" s="173" t="e">
        <f>#REF!</f>
        <v>#REF!</v>
      </c>
      <c r="JQ20" s="199" t="e">
        <f>SUM(JM20:JP20)</f>
        <v>#REF!</v>
      </c>
      <c r="KB20" s="136"/>
      <c r="KC20" s="3"/>
      <c r="KD20" s="3"/>
      <c r="KE20" s="3"/>
      <c r="KF20" s="136"/>
      <c r="KG20" s="136"/>
      <c r="KH20" s="184" t="s">
        <v>2603</v>
      </c>
      <c r="KI20" s="173">
        <f t="shared" ref="KI20:KP20" si="19">COUNTIFS($BA$2:$BA$425,"ΑΠΛΑΔΑ ΣΟΦΙΑ - ΧΑΡΑ",MB$2:MB$425,"καλή")</f>
        <v>0</v>
      </c>
      <c r="KJ20" s="173">
        <f t="shared" si="19"/>
        <v>0</v>
      </c>
      <c r="KK20" s="173">
        <f t="shared" si="19"/>
        <v>0</v>
      </c>
      <c r="KL20" s="173">
        <f t="shared" si="19"/>
        <v>0</v>
      </c>
      <c r="KM20" s="173">
        <f t="shared" si="19"/>
        <v>0</v>
      </c>
      <c r="KN20" s="173">
        <f t="shared" si="19"/>
        <v>0</v>
      </c>
      <c r="KO20" s="173">
        <f t="shared" si="19"/>
        <v>0</v>
      </c>
      <c r="KP20" s="173">
        <f t="shared" si="19"/>
        <v>0</v>
      </c>
      <c r="KQ20" s="199">
        <f>SUM(KM20:KP20)</f>
        <v>0</v>
      </c>
      <c r="LE20" s="168"/>
      <c r="LF20" s="3">
        <v>19</v>
      </c>
      <c r="LG20" s="2" t="s">
        <v>2867</v>
      </c>
      <c r="LH20" s="157"/>
      <c r="LI20" s="3" t="s">
        <v>2431</v>
      </c>
      <c r="LJ20" s="3" t="s">
        <v>2433</v>
      </c>
      <c r="LK20" s="3" t="s">
        <v>2431</v>
      </c>
      <c r="LL20" s="3" t="s">
        <v>2433</v>
      </c>
      <c r="LM20" s="2"/>
      <c r="LN20" s="93"/>
      <c r="LO20" s="3" t="s">
        <v>2435</v>
      </c>
      <c r="LP20" s="3" t="s">
        <v>2434</v>
      </c>
      <c r="LQ20" s="3" t="s">
        <v>2435</v>
      </c>
      <c r="LR20" s="2"/>
      <c r="LS20" s="85"/>
      <c r="LT20" s="3" t="s">
        <v>2434</v>
      </c>
      <c r="LU20" s="3" t="s">
        <v>2435</v>
      </c>
      <c r="LV20" s="3" t="s">
        <v>2434</v>
      </c>
      <c r="LW20" s="3" t="s">
        <v>2434</v>
      </c>
      <c r="LX20" s="2"/>
      <c r="LY20" s="168"/>
      <c r="LZ20" s="2" t="s">
        <v>2430</v>
      </c>
      <c r="MA20" s="2" t="s">
        <v>2779</v>
      </c>
      <c r="MB20" s="3" t="s">
        <v>2431</v>
      </c>
      <c r="MC20" s="3" t="s">
        <v>2433</v>
      </c>
      <c r="MD20" s="3" t="s">
        <v>2431</v>
      </c>
      <c r="ME20" s="3" t="s">
        <v>2432</v>
      </c>
      <c r="MF20" s="3" t="s">
        <v>2433</v>
      </c>
      <c r="MG20" s="3" t="s">
        <v>2432</v>
      </c>
      <c r="MH20" s="3" t="s">
        <v>2432</v>
      </c>
      <c r="MI20" s="3" t="s">
        <v>2435</v>
      </c>
      <c r="MJ20" s="2" t="s">
        <v>2868</v>
      </c>
      <c r="NF20" s="440"/>
      <c r="NL20" s="3"/>
      <c r="NM20" s="3"/>
      <c r="NN20" s="3"/>
      <c r="NO20" s="3"/>
      <c r="NP20" s="3"/>
      <c r="NQ20" s="3"/>
      <c r="NR20" s="3"/>
      <c r="NS20" s="3"/>
    </row>
    <row r="21" spans="1:383" ht="180.75" thickBot="1">
      <c r="A21" s="65">
        <v>12</v>
      </c>
      <c r="B21" s="10" t="s">
        <v>609</v>
      </c>
      <c r="C21" s="10" t="s">
        <v>608</v>
      </c>
      <c r="D21" s="10">
        <v>6986697472</v>
      </c>
      <c r="E21" s="30" t="s">
        <v>610</v>
      </c>
      <c r="F21" s="1386" t="s">
        <v>2693</v>
      </c>
      <c r="G21" s="1387"/>
      <c r="H21" s="1388"/>
      <c r="I21" s="24"/>
      <c r="J21" s="198"/>
      <c r="M21" s="3">
        <v>1</v>
      </c>
      <c r="R21" s="398" t="s">
        <v>466</v>
      </c>
      <c r="S21" s="20" t="s">
        <v>467</v>
      </c>
      <c r="T21" s="39" t="s">
        <v>468</v>
      </c>
      <c r="U21" s="399">
        <v>6940828922</v>
      </c>
      <c r="V21" s="400"/>
      <c r="Y21" s="401" t="s">
        <v>2445</v>
      </c>
      <c r="Z21" t="s">
        <v>2837</v>
      </c>
      <c r="AA21" s="1360" t="s">
        <v>2869</v>
      </c>
      <c r="AB21" s="1360"/>
      <c r="AM21" s="273">
        <v>45786</v>
      </c>
      <c r="AN21" s="274" t="s">
        <v>1667</v>
      </c>
      <c r="AO21" s="274"/>
      <c r="AP21" s="274"/>
      <c r="AS21" s="273">
        <v>45814</v>
      </c>
      <c r="AT21" s="274" t="s">
        <v>1667</v>
      </c>
      <c r="AU21" s="274"/>
      <c r="AV21" s="274"/>
      <c r="DI21" s="277" t="s">
        <v>2870</v>
      </c>
      <c r="DJ21" s="277" t="s">
        <v>2871</v>
      </c>
      <c r="DK21" s="82" t="s">
        <v>2872</v>
      </c>
      <c r="DL21" s="82" t="s">
        <v>2873</v>
      </c>
      <c r="DM21" s="82" t="s">
        <v>2871</v>
      </c>
      <c r="DN21" s="1145"/>
      <c r="DO21" s="1145"/>
      <c r="DP21" s="1145"/>
      <c r="DQ21" s="1145"/>
      <c r="FK21" s="110" t="s">
        <v>2865</v>
      </c>
      <c r="FL21" s="53" t="s">
        <v>2874</v>
      </c>
      <c r="FM21" s="53" t="s">
        <v>2875</v>
      </c>
      <c r="FN21" s="53" t="s">
        <v>2876</v>
      </c>
      <c r="FO21" s="127" t="s">
        <v>2520</v>
      </c>
      <c r="FP21" s="53"/>
      <c r="FQ21" s="53"/>
      <c r="FR21" s="111"/>
      <c r="GM21" s="184" t="s">
        <v>2639</v>
      </c>
      <c r="GN21" s="173">
        <f t="shared" ref="GN21:GU21" si="20">COUNTIFS($BA$2:$BA$425,"ΑΠΛΑΔΑ ΣΟΦΙΑ - ΧΑΡΑ",IG$2:IG$425,"πολύ καλή")</f>
        <v>0</v>
      </c>
      <c r="GO21" s="173">
        <f t="shared" si="20"/>
        <v>0</v>
      </c>
      <c r="GP21" s="173">
        <f t="shared" si="20"/>
        <v>0</v>
      </c>
      <c r="GQ21" s="173">
        <f t="shared" si="20"/>
        <v>0</v>
      </c>
      <c r="GR21" s="173">
        <f t="shared" si="20"/>
        <v>0</v>
      </c>
      <c r="GS21" s="173">
        <f t="shared" si="20"/>
        <v>0</v>
      </c>
      <c r="GT21" s="173">
        <f t="shared" si="20"/>
        <v>0</v>
      </c>
      <c r="GU21" s="173">
        <f t="shared" si="20"/>
        <v>0</v>
      </c>
      <c r="GV21" s="199">
        <f>SUM(GR21:GU21)</f>
        <v>0</v>
      </c>
      <c r="HJ21" s="168"/>
      <c r="HK21" s="3">
        <v>20</v>
      </c>
      <c r="HL21" s="2" t="s">
        <v>2867</v>
      </c>
      <c r="HM21" s="157"/>
      <c r="HN21" s="3" t="s">
        <v>2432</v>
      </c>
      <c r="HO21" s="3" t="s">
        <v>2432</v>
      </c>
      <c r="HP21" s="3" t="s">
        <v>2432</v>
      </c>
      <c r="HQ21" s="3" t="s">
        <v>2432</v>
      </c>
      <c r="HS21" s="93"/>
      <c r="HT21" s="3" t="s">
        <v>2432</v>
      </c>
      <c r="HU21" s="3" t="s">
        <v>2432</v>
      </c>
      <c r="HV21" s="3" t="s">
        <v>2432</v>
      </c>
      <c r="HX21" s="85"/>
      <c r="HY21" s="3" t="s">
        <v>2432</v>
      </c>
      <c r="HZ21" s="3" t="s">
        <v>2432</v>
      </c>
      <c r="IA21" s="3" t="s">
        <v>2432</v>
      </c>
      <c r="IB21" s="3" t="s">
        <v>2432</v>
      </c>
      <c r="ID21" s="168"/>
      <c r="IE21" s="2" t="s">
        <v>2430</v>
      </c>
      <c r="IF21" s="2" t="s">
        <v>2779</v>
      </c>
      <c r="IG21" s="3" t="s">
        <v>2433</v>
      </c>
      <c r="IH21" s="3" t="s">
        <v>2431</v>
      </c>
      <c r="II21" s="3" t="s">
        <v>2431</v>
      </c>
      <c r="IJ21" s="3" t="s">
        <v>2432</v>
      </c>
      <c r="IK21" s="3" t="s">
        <v>2433</v>
      </c>
      <c r="IL21" s="3" t="s">
        <v>2432</v>
      </c>
      <c r="IM21" s="3" t="s">
        <v>2432</v>
      </c>
      <c r="IN21" s="3" t="s">
        <v>2435</v>
      </c>
      <c r="JH21" s="184" t="s">
        <v>2639</v>
      </c>
      <c r="JI21" s="173" t="e">
        <f>#REF!</f>
        <v>#REF!</v>
      </c>
      <c r="JJ21" s="173" t="e">
        <f>#REF!</f>
        <v>#REF!</v>
      </c>
      <c r="JK21" s="173" t="e">
        <f>#REF!</f>
        <v>#REF!</v>
      </c>
      <c r="JL21" s="173" t="e">
        <f>#REF!</f>
        <v>#REF!</v>
      </c>
      <c r="JM21" s="173" t="e">
        <f>#REF!</f>
        <v>#REF!</v>
      </c>
      <c r="JN21" s="173" t="e">
        <f>#REF!</f>
        <v>#REF!</v>
      </c>
      <c r="JO21" s="173" t="e">
        <f>#REF!</f>
        <v>#REF!</v>
      </c>
      <c r="JP21" s="173" t="e">
        <f>#REF!</f>
        <v>#REF!</v>
      </c>
      <c r="JQ21" s="199" t="e">
        <f>SUM(JM21:JP21)</f>
        <v>#REF!</v>
      </c>
      <c r="KB21" s="136"/>
      <c r="KC21" s="3"/>
      <c r="KD21" s="3"/>
      <c r="KE21" s="3"/>
      <c r="KF21" s="136"/>
      <c r="KG21" s="136"/>
      <c r="KH21" s="184" t="s">
        <v>2639</v>
      </c>
      <c r="KI21" s="173">
        <f t="shared" ref="KI21:KP21" si="21">COUNTIFS($BA$2:$BA$425,"ΑΠΛΑΔΑ ΣΟΦΙΑ - ΧΑΡΑ",MB$2:MB$425,"πολύ καλή")</f>
        <v>0</v>
      </c>
      <c r="KJ21" s="173">
        <f t="shared" si="21"/>
        <v>0</v>
      </c>
      <c r="KK21" s="173">
        <f t="shared" si="21"/>
        <v>0</v>
      </c>
      <c r="KL21" s="173">
        <f t="shared" si="21"/>
        <v>0</v>
      </c>
      <c r="KM21" s="173">
        <f t="shared" si="21"/>
        <v>0</v>
      </c>
      <c r="KN21" s="173">
        <f t="shared" si="21"/>
        <v>0</v>
      </c>
      <c r="KO21" s="173">
        <f t="shared" si="21"/>
        <v>0</v>
      </c>
      <c r="KP21" s="173">
        <f t="shared" si="21"/>
        <v>0</v>
      </c>
      <c r="KQ21" s="199">
        <f>SUM(KM21:KP21)</f>
        <v>0</v>
      </c>
      <c r="LE21" s="168"/>
      <c r="LF21" s="3">
        <v>20</v>
      </c>
      <c r="LG21" s="2" t="s">
        <v>2867</v>
      </c>
      <c r="LH21" s="157"/>
      <c r="LI21" s="3" t="s">
        <v>2432</v>
      </c>
      <c r="LJ21" s="3" t="s">
        <v>2432</v>
      </c>
      <c r="LK21" s="3" t="s">
        <v>2432</v>
      </c>
      <c r="LL21" s="3" t="s">
        <v>2432</v>
      </c>
      <c r="LM21" s="2"/>
      <c r="LN21" s="93"/>
      <c r="LO21" s="3" t="s">
        <v>2432</v>
      </c>
      <c r="LP21" s="3" t="s">
        <v>2432</v>
      </c>
      <c r="LQ21" s="3" t="s">
        <v>2432</v>
      </c>
      <c r="LR21" s="2"/>
      <c r="LS21" s="85"/>
      <c r="LT21" s="3" t="s">
        <v>2432</v>
      </c>
      <c r="LU21" s="3" t="s">
        <v>2432</v>
      </c>
      <c r="LV21" s="3" t="s">
        <v>2432</v>
      </c>
      <c r="LW21" s="3" t="s">
        <v>2432</v>
      </c>
      <c r="LX21" s="2"/>
      <c r="LY21" s="168"/>
      <c r="LZ21" s="2" t="s">
        <v>2430</v>
      </c>
      <c r="MA21" s="2" t="s">
        <v>2779</v>
      </c>
      <c r="MB21" s="3" t="s">
        <v>2433</v>
      </c>
      <c r="MC21" s="3" t="s">
        <v>2431</v>
      </c>
      <c r="MD21" s="3" t="s">
        <v>2431</v>
      </c>
      <c r="ME21" s="3" t="s">
        <v>2432</v>
      </c>
      <c r="MF21" s="3" t="s">
        <v>2433</v>
      </c>
      <c r="MG21" s="3" t="s">
        <v>2432</v>
      </c>
      <c r="MH21" s="3" t="s">
        <v>2432</v>
      </c>
      <c r="MI21" s="3" t="s">
        <v>2435</v>
      </c>
      <c r="MJ21" s="2"/>
      <c r="MZ21" s="438" t="s">
        <v>2877</v>
      </c>
      <c r="NF21" s="440"/>
      <c r="NL21" s="3"/>
      <c r="NM21" s="3"/>
      <c r="NN21" s="3"/>
      <c r="NO21" s="3"/>
      <c r="NP21" s="3"/>
      <c r="NQ21" s="3"/>
      <c r="NR21" s="3"/>
      <c r="NS21" s="3"/>
    </row>
    <row r="22" spans="1:383" ht="409.6" thickBot="1">
      <c r="A22" s="66">
        <v>13</v>
      </c>
      <c r="B22" s="12" t="s">
        <v>617</v>
      </c>
      <c r="C22" s="12" t="s">
        <v>616</v>
      </c>
      <c r="D22" s="12">
        <v>6934552542</v>
      </c>
      <c r="E22" s="31" t="s">
        <v>618</v>
      </c>
      <c r="F22" s="1389" t="s">
        <v>2693</v>
      </c>
      <c r="G22" s="1390"/>
      <c r="H22" s="1391"/>
      <c r="I22" s="9"/>
      <c r="J22" s="198"/>
      <c r="M22" s="3">
        <v>2</v>
      </c>
      <c r="R22" s="416" t="s">
        <v>486</v>
      </c>
      <c r="S22" s="417" t="s">
        <v>475</v>
      </c>
      <c r="T22" s="418" t="s">
        <v>487</v>
      </c>
      <c r="U22" s="419">
        <v>6955951660</v>
      </c>
      <c r="V22" s="420"/>
      <c r="X22" s="401" t="s">
        <v>2445</v>
      </c>
      <c r="Y22" s="401" t="s">
        <v>2445</v>
      </c>
      <c r="Z22" t="s">
        <v>2837</v>
      </c>
      <c r="AA22" s="1360" t="s">
        <v>2878</v>
      </c>
      <c r="AB22" s="1360"/>
      <c r="AE22"/>
      <c r="AM22" s="273">
        <v>45787</v>
      </c>
      <c r="AN22" s="274" t="s">
        <v>1667</v>
      </c>
      <c r="AO22" s="274"/>
      <c r="AP22" s="274"/>
      <c r="AS22" s="273">
        <v>45815</v>
      </c>
      <c r="AT22" s="274" t="s">
        <v>1667</v>
      </c>
      <c r="AU22" s="274"/>
      <c r="AV22" s="274"/>
      <c r="DI22" s="277" t="s">
        <v>2879</v>
      </c>
      <c r="DJ22" s="277" t="s">
        <v>2880</v>
      </c>
      <c r="DK22" s="82" t="s">
        <v>2881</v>
      </c>
      <c r="DL22" s="82"/>
      <c r="DM22" s="82" t="s">
        <v>2880</v>
      </c>
      <c r="DN22" s="1145"/>
      <c r="DO22" s="1145"/>
      <c r="DP22" s="1145"/>
      <c r="DQ22" s="1145"/>
      <c r="FK22" s="110" t="s">
        <v>2865</v>
      </c>
      <c r="FL22" s="53" t="s">
        <v>2882</v>
      </c>
      <c r="FM22" s="53" t="s">
        <v>2883</v>
      </c>
      <c r="FN22" s="48" t="s">
        <v>2884</v>
      </c>
      <c r="FO22" s="123" t="s">
        <v>2731</v>
      </c>
      <c r="FP22" s="48"/>
      <c r="FQ22" s="48"/>
      <c r="FR22" s="100"/>
      <c r="GM22" s="185" t="s">
        <v>2431</v>
      </c>
      <c r="GN22" s="187">
        <f t="shared" ref="GN22:GU22" si="22">COUNTIFS($BA$2:$BA$425,"ΑΠΛΑΔΑ ΣΟΦΙΑ - ΧΑΡΑ",IG$2:IG$425,"άριστη")</f>
        <v>0</v>
      </c>
      <c r="GO22" s="187">
        <f t="shared" si="22"/>
        <v>0</v>
      </c>
      <c r="GP22" s="187">
        <f t="shared" si="22"/>
        <v>0</v>
      </c>
      <c r="GQ22" s="187">
        <f t="shared" si="22"/>
        <v>0</v>
      </c>
      <c r="GR22" s="187">
        <f t="shared" si="22"/>
        <v>0</v>
      </c>
      <c r="GS22" s="187">
        <f t="shared" si="22"/>
        <v>0</v>
      </c>
      <c r="GT22" s="187">
        <f t="shared" si="22"/>
        <v>0</v>
      </c>
      <c r="GU22" s="187">
        <f t="shared" si="22"/>
        <v>0</v>
      </c>
      <c r="GV22" s="199">
        <f>SUM(GR22:GU22)</f>
        <v>0</v>
      </c>
      <c r="HJ22" s="168"/>
      <c r="HK22" s="3">
        <v>21</v>
      </c>
      <c r="HL22" s="2" t="s">
        <v>2867</v>
      </c>
      <c r="HM22" s="157"/>
      <c r="HN22" s="3" t="s">
        <v>2431</v>
      </c>
      <c r="HO22" s="3" t="s">
        <v>2431</v>
      </c>
      <c r="HP22" s="3" t="s">
        <v>2431</v>
      </c>
      <c r="HQ22" s="3" t="s">
        <v>2431</v>
      </c>
      <c r="HS22" s="93"/>
      <c r="HT22" s="3" t="s">
        <v>2431</v>
      </c>
      <c r="HU22" s="3" t="s">
        <v>2431</v>
      </c>
      <c r="HV22" s="3" t="s">
        <v>2433</v>
      </c>
      <c r="HX22" s="85"/>
      <c r="HY22" s="3" t="s">
        <v>2433</v>
      </c>
      <c r="HZ22" s="3" t="s">
        <v>2433</v>
      </c>
      <c r="IA22" s="3" t="s">
        <v>2433</v>
      </c>
      <c r="IB22" s="3" t="s">
        <v>2433</v>
      </c>
      <c r="ID22" s="168"/>
      <c r="IE22" s="2" t="s">
        <v>2430</v>
      </c>
      <c r="IF22" s="2" t="s">
        <v>2779</v>
      </c>
      <c r="IG22" s="3" t="s">
        <v>2435</v>
      </c>
      <c r="IH22" s="3" t="s">
        <v>2435</v>
      </c>
      <c r="II22" s="3" t="s">
        <v>2434</v>
      </c>
      <c r="IJ22" s="3" t="s">
        <v>2432</v>
      </c>
      <c r="IK22" s="3" t="s">
        <v>2434</v>
      </c>
      <c r="IL22" s="3" t="s">
        <v>2434</v>
      </c>
      <c r="IM22" s="3" t="s">
        <v>2434</v>
      </c>
      <c r="IN22" s="3" t="s">
        <v>2434</v>
      </c>
      <c r="IO22" s="2" t="s">
        <v>2885</v>
      </c>
      <c r="JH22" s="185" t="s">
        <v>2431</v>
      </c>
      <c r="JI22" s="173" t="e">
        <f>#REF!</f>
        <v>#REF!</v>
      </c>
      <c r="JJ22" s="173" t="e">
        <f>#REF!</f>
        <v>#REF!</v>
      </c>
      <c r="JK22" s="173" t="e">
        <f>#REF!</f>
        <v>#REF!</v>
      </c>
      <c r="JL22" s="173" t="e">
        <f>#REF!</f>
        <v>#REF!</v>
      </c>
      <c r="JM22" s="173" t="e">
        <f>#REF!</f>
        <v>#REF!</v>
      </c>
      <c r="JN22" s="173" t="e">
        <f>#REF!</f>
        <v>#REF!</v>
      </c>
      <c r="JO22" s="173" t="e">
        <f>#REF!</f>
        <v>#REF!</v>
      </c>
      <c r="JP22" s="173" t="e">
        <f>#REF!</f>
        <v>#REF!</v>
      </c>
      <c r="JQ22" s="199" t="e">
        <f>SUM(JM22:JP22)</f>
        <v>#REF!</v>
      </c>
      <c r="KB22" s="136"/>
      <c r="KC22" s="3"/>
      <c r="KD22" s="3"/>
      <c r="KE22" s="3"/>
      <c r="KF22" s="136"/>
      <c r="KG22" s="136"/>
      <c r="KH22" s="185" t="s">
        <v>2431</v>
      </c>
      <c r="KI22" s="187">
        <f t="shared" ref="KI22:KP22" si="23">COUNTIFS($BA$2:$BA$425,"ΑΠΛΑΔΑ ΣΟΦΙΑ - ΧΑΡΑ",MB$2:MB$425,"άριστη")</f>
        <v>0</v>
      </c>
      <c r="KJ22" s="187">
        <f t="shared" si="23"/>
        <v>0</v>
      </c>
      <c r="KK22" s="187">
        <f t="shared" si="23"/>
        <v>0</v>
      </c>
      <c r="KL22" s="187">
        <f t="shared" si="23"/>
        <v>0</v>
      </c>
      <c r="KM22" s="187">
        <f t="shared" si="23"/>
        <v>0</v>
      </c>
      <c r="KN22" s="187">
        <f t="shared" si="23"/>
        <v>0</v>
      </c>
      <c r="KO22" s="187">
        <f t="shared" si="23"/>
        <v>0</v>
      </c>
      <c r="KP22" s="187">
        <f t="shared" si="23"/>
        <v>0</v>
      </c>
      <c r="KQ22" s="199">
        <f>SUM(KM22:KP22)</f>
        <v>0</v>
      </c>
      <c r="LE22" s="168"/>
      <c r="LF22" s="3">
        <v>21</v>
      </c>
      <c r="LG22" s="2" t="s">
        <v>2867</v>
      </c>
      <c r="LH22" s="157"/>
      <c r="LI22" s="3" t="s">
        <v>2431</v>
      </c>
      <c r="LJ22" s="3" t="s">
        <v>2431</v>
      </c>
      <c r="LK22" s="3" t="s">
        <v>2431</v>
      </c>
      <c r="LL22" s="3" t="s">
        <v>2431</v>
      </c>
      <c r="LM22" s="2"/>
      <c r="LN22" s="93"/>
      <c r="LO22" s="3" t="s">
        <v>2431</v>
      </c>
      <c r="LP22" s="3" t="s">
        <v>2431</v>
      </c>
      <c r="LQ22" s="3" t="s">
        <v>2433</v>
      </c>
      <c r="LR22" s="2"/>
      <c r="LS22" s="85"/>
      <c r="LT22" s="3" t="s">
        <v>2433</v>
      </c>
      <c r="LU22" s="3" t="s">
        <v>2433</v>
      </c>
      <c r="LV22" s="3" t="s">
        <v>2433</v>
      </c>
      <c r="LW22" s="3" t="s">
        <v>2433</v>
      </c>
      <c r="LX22" s="2"/>
      <c r="LY22" s="168"/>
      <c r="LZ22" s="2" t="s">
        <v>2430</v>
      </c>
      <c r="MA22" s="2" t="s">
        <v>2779</v>
      </c>
      <c r="MB22" s="3" t="s">
        <v>2435</v>
      </c>
      <c r="MC22" s="3" t="s">
        <v>2435</v>
      </c>
      <c r="MD22" s="3" t="s">
        <v>2434</v>
      </c>
      <c r="ME22" s="3" t="s">
        <v>2432</v>
      </c>
      <c r="MF22" s="3" t="s">
        <v>2434</v>
      </c>
      <c r="MG22" s="3" t="s">
        <v>2434</v>
      </c>
      <c r="MH22" s="3" t="s">
        <v>2434</v>
      </c>
      <c r="MI22" s="3" t="s">
        <v>2434</v>
      </c>
      <c r="MJ22" s="2" t="s">
        <v>2885</v>
      </c>
      <c r="MZ22" s="439"/>
      <c r="NF22" s="440"/>
      <c r="NL22" s="3"/>
      <c r="NM22" s="3"/>
      <c r="NN22" s="3"/>
      <c r="NO22" s="3"/>
      <c r="NP22" s="3"/>
      <c r="NQ22" s="3"/>
      <c r="NR22" s="3"/>
      <c r="NS22" s="3"/>
    </row>
    <row r="23" spans="1:383" ht="409.6" thickBot="1">
      <c r="A23" s="61">
        <v>1</v>
      </c>
      <c r="B23" s="299" t="s">
        <v>2886</v>
      </c>
      <c r="C23" s="14" t="s">
        <v>768</v>
      </c>
      <c r="D23" s="14">
        <v>6973800907</v>
      </c>
      <c r="E23" s="32" t="s">
        <v>2887</v>
      </c>
      <c r="F23" s="1392" t="s">
        <v>2888</v>
      </c>
      <c r="G23" s="1393"/>
      <c r="H23" s="1394"/>
      <c r="I23" s="23"/>
      <c r="J23" s="198"/>
      <c r="K23" s="1" t="s">
        <v>2889</v>
      </c>
      <c r="L23" s="186" t="s">
        <v>2890</v>
      </c>
      <c r="M23" s="3">
        <v>0</v>
      </c>
      <c r="R23" s="416" t="s">
        <v>492</v>
      </c>
      <c r="S23" s="417" t="s">
        <v>493</v>
      </c>
      <c r="T23" s="418" t="s">
        <v>494</v>
      </c>
      <c r="U23" s="419">
        <v>6973825235</v>
      </c>
      <c r="V23" s="420"/>
      <c r="X23" s="401" t="s">
        <v>2445</v>
      </c>
      <c r="Y23" s="401" t="s">
        <v>2445</v>
      </c>
      <c r="Z23" t="s">
        <v>2837</v>
      </c>
      <c r="AA23" s="1360" t="s">
        <v>2891</v>
      </c>
      <c r="AB23" s="1361"/>
      <c r="AC23" s="279" t="s">
        <v>746</v>
      </c>
      <c r="AD23" s="279">
        <v>24</v>
      </c>
      <c r="AE23" s="279">
        <v>15</v>
      </c>
      <c r="AF23" s="279">
        <v>6972600890</v>
      </c>
      <c r="AG23" s="297" t="s">
        <v>2892</v>
      </c>
      <c r="AH23" s="136" t="s">
        <v>2893</v>
      </c>
      <c r="AM23" s="275">
        <v>45793</v>
      </c>
      <c r="AN23" s="276" t="s">
        <v>1667</v>
      </c>
      <c r="AO23" s="276"/>
      <c r="AP23" s="276"/>
      <c r="AS23" s="275">
        <v>45821</v>
      </c>
      <c r="AT23" s="276" t="s">
        <v>1667</v>
      </c>
      <c r="AU23" s="276"/>
      <c r="AV23" s="276"/>
      <c r="DI23" s="277" t="s">
        <v>2894</v>
      </c>
      <c r="DJ23" s="277" t="s">
        <v>2895</v>
      </c>
      <c r="DK23" s="82" t="s">
        <v>2896</v>
      </c>
      <c r="DL23" s="81"/>
      <c r="DM23" s="81"/>
      <c r="DN23" s="1145"/>
      <c r="DO23" s="1145"/>
      <c r="DP23" s="1145"/>
      <c r="DQ23" s="1145"/>
      <c r="FK23" s="110" t="s">
        <v>2865</v>
      </c>
      <c r="FL23" s="53" t="s">
        <v>2897</v>
      </c>
      <c r="FM23" s="53" t="s">
        <v>2898</v>
      </c>
      <c r="FN23" s="53" t="s">
        <v>2899</v>
      </c>
      <c r="FO23" s="128" t="s">
        <v>2520</v>
      </c>
      <c r="FP23" s="53"/>
      <c r="FQ23" s="53"/>
      <c r="FR23" s="111"/>
      <c r="HJ23" s="168"/>
      <c r="HK23" s="3">
        <v>22</v>
      </c>
      <c r="HL23" s="2" t="s">
        <v>2867</v>
      </c>
      <c r="HM23" s="157"/>
      <c r="HN23" s="3" t="s">
        <v>2431</v>
      </c>
      <c r="HO23" s="3" t="s">
        <v>2431</v>
      </c>
      <c r="HP23" s="3" t="s">
        <v>2431</v>
      </c>
      <c r="HQ23" s="3" t="s">
        <v>2431</v>
      </c>
      <c r="HS23" s="93"/>
      <c r="HT23" s="3" t="s">
        <v>2431</v>
      </c>
      <c r="HU23" s="3" t="s">
        <v>2431</v>
      </c>
      <c r="HV23" s="3" t="s">
        <v>2431</v>
      </c>
      <c r="HX23" s="85"/>
      <c r="HY23" s="3" t="s">
        <v>2432</v>
      </c>
      <c r="HZ23" s="3" t="s">
        <v>2432</v>
      </c>
      <c r="IA23" s="3" t="s">
        <v>2432</v>
      </c>
      <c r="IB23" s="3" t="s">
        <v>2431</v>
      </c>
      <c r="ID23" s="168"/>
      <c r="IE23" s="2" t="s">
        <v>2430</v>
      </c>
      <c r="IF23" s="2" t="s">
        <v>2779</v>
      </c>
      <c r="IG23" s="3" t="s">
        <v>2434</v>
      </c>
      <c r="IH23" s="3" t="s">
        <v>2435</v>
      </c>
      <c r="II23" s="3" t="s">
        <v>2435</v>
      </c>
      <c r="IJ23" s="3" t="s">
        <v>2434</v>
      </c>
      <c r="IK23" s="3" t="s">
        <v>2434</v>
      </c>
      <c r="IL23" s="3" t="s">
        <v>2434</v>
      </c>
      <c r="IM23" s="3" t="s">
        <v>2434</v>
      </c>
      <c r="IN23" s="3" t="s">
        <v>2434</v>
      </c>
      <c r="IO23" s="2" t="s">
        <v>2900</v>
      </c>
      <c r="JH23" s="136"/>
      <c r="JI23" s="136"/>
      <c r="KB23" s="136"/>
      <c r="KC23" s="3"/>
      <c r="KD23" s="3"/>
      <c r="KE23" s="3"/>
      <c r="KF23" s="136"/>
      <c r="KG23" s="136"/>
      <c r="KH23" s="136"/>
      <c r="KI23" s="136"/>
      <c r="LE23" s="168"/>
      <c r="LF23" s="3">
        <v>22</v>
      </c>
      <c r="LG23" s="2" t="s">
        <v>2867</v>
      </c>
      <c r="LH23" s="157"/>
      <c r="LI23" s="3" t="s">
        <v>2431</v>
      </c>
      <c r="LJ23" s="3" t="s">
        <v>2431</v>
      </c>
      <c r="LK23" s="3" t="s">
        <v>2431</v>
      </c>
      <c r="LL23" s="3" t="s">
        <v>2431</v>
      </c>
      <c r="LM23" s="2"/>
      <c r="LN23" s="93"/>
      <c r="LO23" s="3" t="s">
        <v>2431</v>
      </c>
      <c r="LP23" s="3" t="s">
        <v>2431</v>
      </c>
      <c r="LQ23" s="3" t="s">
        <v>2431</v>
      </c>
      <c r="LR23" s="2"/>
      <c r="LS23" s="85"/>
      <c r="LT23" s="3" t="s">
        <v>2432</v>
      </c>
      <c r="LU23" s="3" t="s">
        <v>2432</v>
      </c>
      <c r="LV23" s="3" t="s">
        <v>2432</v>
      </c>
      <c r="LW23" s="3" t="s">
        <v>2431</v>
      </c>
      <c r="LX23" s="2"/>
      <c r="LY23" s="168"/>
      <c r="LZ23" s="2" t="s">
        <v>2430</v>
      </c>
      <c r="MA23" s="2" t="s">
        <v>2779</v>
      </c>
      <c r="MB23" s="3" t="s">
        <v>2434</v>
      </c>
      <c r="MC23" s="3" t="s">
        <v>2435</v>
      </c>
      <c r="MD23" s="3" t="s">
        <v>2435</v>
      </c>
      <c r="ME23" s="3" t="s">
        <v>2434</v>
      </c>
      <c r="MF23" s="3" t="s">
        <v>2434</v>
      </c>
      <c r="MG23" s="3" t="s">
        <v>2434</v>
      </c>
      <c r="MH23" s="3" t="s">
        <v>2434</v>
      </c>
      <c r="MI23" s="3" t="s">
        <v>2434</v>
      </c>
      <c r="MJ23" s="2" t="s">
        <v>2900</v>
      </c>
      <c r="MZ23" s="439" t="s">
        <v>2901</v>
      </c>
      <c r="NL23" s="3"/>
      <c r="NM23" s="3"/>
      <c r="NN23" s="3"/>
      <c r="NO23" s="3"/>
      <c r="NP23" s="3"/>
      <c r="NQ23" s="3"/>
      <c r="NR23" s="3"/>
      <c r="NS23" s="3"/>
    </row>
    <row r="24" spans="1:383" ht="180.75" thickBot="1">
      <c r="A24" s="62">
        <v>2</v>
      </c>
      <c r="B24" s="57" t="s">
        <v>674</v>
      </c>
      <c r="C24" s="13" t="s">
        <v>475</v>
      </c>
      <c r="D24" s="13">
        <v>6971911553</v>
      </c>
      <c r="E24" s="33" t="s">
        <v>2902</v>
      </c>
      <c r="F24" s="1378" t="s">
        <v>2888</v>
      </c>
      <c r="G24" s="1379"/>
      <c r="H24" s="1380"/>
      <c r="I24" s="24"/>
      <c r="J24" s="198"/>
      <c r="M24" s="3">
        <v>2</v>
      </c>
      <c r="R24" s="512" t="s">
        <v>557</v>
      </c>
      <c r="S24" s="513" t="s">
        <v>558</v>
      </c>
      <c r="T24" s="418" t="s">
        <v>559</v>
      </c>
      <c r="U24" s="419">
        <v>6945452188</v>
      </c>
      <c r="V24" s="420"/>
      <c r="Z24" t="s">
        <v>2837</v>
      </c>
      <c r="AA24" s="1360" t="s">
        <v>2903</v>
      </c>
      <c r="AB24" s="1361"/>
      <c r="AC24" s="271" t="s">
        <v>510</v>
      </c>
      <c r="AD24" s="271">
        <v>34</v>
      </c>
      <c r="AE24" s="271">
        <v>26</v>
      </c>
      <c r="AF24" s="271">
        <v>6946076210</v>
      </c>
      <c r="AG24" s="297" t="s">
        <v>2892</v>
      </c>
      <c r="AH24" s="136" t="s">
        <v>2893</v>
      </c>
      <c r="AM24" s="275">
        <v>45794</v>
      </c>
      <c r="AN24" s="276" t="s">
        <v>1667</v>
      </c>
      <c r="AO24" s="276"/>
      <c r="AP24" s="276"/>
      <c r="AS24" s="275">
        <v>45822</v>
      </c>
      <c r="AT24" s="276" t="s">
        <v>1667</v>
      </c>
      <c r="AU24" s="276"/>
      <c r="AV24" s="276"/>
      <c r="DI24" s="1340" t="s">
        <v>2865</v>
      </c>
      <c r="DJ24" s="1340"/>
      <c r="DK24" s="1340"/>
      <c r="DL24" s="1340"/>
      <c r="DM24" s="1340"/>
      <c r="DN24" s="89"/>
      <c r="DO24" s="89"/>
      <c r="DP24" s="89"/>
      <c r="DQ24" s="89"/>
      <c r="FK24" s="110" t="s">
        <v>2865</v>
      </c>
      <c r="FL24" s="53" t="s">
        <v>2904</v>
      </c>
      <c r="FM24" s="53" t="s">
        <v>2905</v>
      </c>
      <c r="FN24" s="48" t="s">
        <v>2906</v>
      </c>
      <c r="FO24" s="128" t="s">
        <v>2520</v>
      </c>
      <c r="FP24" s="48"/>
      <c r="FQ24" s="48"/>
      <c r="FR24" s="100"/>
      <c r="GM24" s="175" t="s">
        <v>1685</v>
      </c>
      <c r="GN24" s="171" t="s">
        <v>2354</v>
      </c>
      <c r="GO24" s="171" t="s">
        <v>2355</v>
      </c>
      <c r="GP24" s="171" t="s">
        <v>2356</v>
      </c>
      <c r="GQ24" s="172" t="s">
        <v>2357</v>
      </c>
      <c r="GR24" s="171" t="s">
        <v>2358</v>
      </c>
      <c r="GS24" s="171" t="s">
        <v>2359</v>
      </c>
      <c r="GT24" s="171" t="s">
        <v>2360</v>
      </c>
      <c r="GU24" s="172" t="s">
        <v>2361</v>
      </c>
      <c r="GV24" s="6" t="s">
        <v>2480</v>
      </c>
      <c r="HJ24" s="168"/>
      <c r="HK24" s="3">
        <v>23</v>
      </c>
      <c r="HL24" s="2" t="s">
        <v>2907</v>
      </c>
      <c r="HM24" s="157"/>
      <c r="HN24" s="3" t="s">
        <v>2431</v>
      </c>
      <c r="HO24" s="3" t="s">
        <v>2431</v>
      </c>
      <c r="HP24" s="3" t="s">
        <v>2431</v>
      </c>
      <c r="HQ24" s="3" t="s">
        <v>2431</v>
      </c>
      <c r="HS24" s="93"/>
      <c r="HT24" s="3" t="s">
        <v>2431</v>
      </c>
      <c r="HU24" s="3" t="s">
        <v>2431</v>
      </c>
      <c r="HV24" s="3" t="s">
        <v>2431</v>
      </c>
      <c r="HX24" s="85"/>
      <c r="HY24" s="3" t="s">
        <v>2433</v>
      </c>
      <c r="HZ24" s="3" t="s">
        <v>2433</v>
      </c>
      <c r="IA24" s="3" t="s">
        <v>2433</v>
      </c>
      <c r="IB24" s="3" t="s">
        <v>2433</v>
      </c>
      <c r="ID24" s="168"/>
      <c r="IE24" s="2" t="s">
        <v>2777</v>
      </c>
      <c r="IF24" s="2" t="s">
        <v>2436</v>
      </c>
      <c r="IG24" s="3" t="s">
        <v>2431</v>
      </c>
      <c r="IH24" s="3" t="s">
        <v>2431</v>
      </c>
      <c r="II24" s="3" t="s">
        <v>2431</v>
      </c>
      <c r="IJ24" s="3" t="s">
        <v>2431</v>
      </c>
      <c r="IK24" s="3" t="s">
        <v>2431</v>
      </c>
      <c r="IL24" s="3" t="s">
        <v>2431</v>
      </c>
      <c r="IM24" s="3" t="s">
        <v>2431</v>
      </c>
      <c r="IN24" s="3" t="s">
        <v>2431</v>
      </c>
      <c r="JH24" s="175" t="s">
        <v>1685</v>
      </c>
      <c r="JI24" s="171" t="s">
        <v>2354</v>
      </c>
      <c r="JJ24" s="171" t="s">
        <v>2355</v>
      </c>
      <c r="JK24" s="171" t="s">
        <v>2356</v>
      </c>
      <c r="JL24" s="172" t="s">
        <v>2357</v>
      </c>
      <c r="JM24" s="171" t="s">
        <v>2358</v>
      </c>
      <c r="JN24" s="171" t="s">
        <v>2359</v>
      </c>
      <c r="JO24" s="171" t="s">
        <v>2360</v>
      </c>
      <c r="JP24" s="172" t="s">
        <v>2361</v>
      </c>
      <c r="JQ24" s="6" t="s">
        <v>2480</v>
      </c>
      <c r="KB24" s="136"/>
      <c r="KC24" s="3"/>
      <c r="KD24" s="3"/>
      <c r="KE24" s="3"/>
      <c r="KF24" s="136"/>
      <c r="KG24" s="136"/>
      <c r="KH24" s="175" t="s">
        <v>1685</v>
      </c>
      <c r="KI24" s="171" t="s">
        <v>2354</v>
      </c>
      <c r="KJ24" s="171" t="s">
        <v>2355</v>
      </c>
      <c r="KK24" s="171" t="s">
        <v>2356</v>
      </c>
      <c r="KL24" s="172" t="s">
        <v>2357</v>
      </c>
      <c r="KM24" s="171" t="s">
        <v>2358</v>
      </c>
      <c r="KN24" s="171" t="s">
        <v>2359</v>
      </c>
      <c r="KO24" s="171" t="s">
        <v>2360</v>
      </c>
      <c r="KP24" s="172" t="s">
        <v>2361</v>
      </c>
      <c r="KQ24" s="6" t="s">
        <v>2480</v>
      </c>
      <c r="LE24" s="168"/>
      <c r="LF24" s="3">
        <v>23</v>
      </c>
      <c r="LG24" s="2" t="s">
        <v>2907</v>
      </c>
      <c r="LH24" s="157"/>
      <c r="LI24" s="3" t="s">
        <v>2431</v>
      </c>
      <c r="LJ24" s="3" t="s">
        <v>2431</v>
      </c>
      <c r="LK24" s="3" t="s">
        <v>2431</v>
      </c>
      <c r="LL24" s="3" t="s">
        <v>2431</v>
      </c>
      <c r="LM24" s="2"/>
      <c r="LN24" s="93"/>
      <c r="LO24" s="3" t="s">
        <v>2431</v>
      </c>
      <c r="LP24" s="3" t="s">
        <v>2431</v>
      </c>
      <c r="LQ24" s="3" t="s">
        <v>2431</v>
      </c>
      <c r="LR24" s="2"/>
      <c r="LS24" s="85"/>
      <c r="LT24" s="3" t="s">
        <v>2433</v>
      </c>
      <c r="LU24" s="3" t="s">
        <v>2433</v>
      </c>
      <c r="LV24" s="3" t="s">
        <v>2433</v>
      </c>
      <c r="LW24" s="3" t="s">
        <v>2433</v>
      </c>
      <c r="LX24" s="2"/>
      <c r="LY24" s="168"/>
      <c r="LZ24" s="2" t="s">
        <v>2777</v>
      </c>
      <c r="MA24" s="2" t="s">
        <v>2436</v>
      </c>
      <c r="MB24" s="3" t="s">
        <v>2431</v>
      </c>
      <c r="MC24" s="3" t="s">
        <v>2431</v>
      </c>
      <c r="MD24" s="3" t="s">
        <v>2431</v>
      </c>
      <c r="ME24" s="3" t="s">
        <v>2431</v>
      </c>
      <c r="MF24" s="3" t="s">
        <v>2431</v>
      </c>
      <c r="MG24" s="3" t="s">
        <v>2431</v>
      </c>
      <c r="MH24" s="3" t="s">
        <v>2431</v>
      </c>
      <c r="MI24" s="3" t="s">
        <v>2431</v>
      </c>
      <c r="MJ24" s="2"/>
      <c r="MZ24" s="439"/>
      <c r="NL24" s="3"/>
      <c r="NM24" s="3"/>
      <c r="NN24" s="3"/>
      <c r="NO24" s="3"/>
      <c r="NP24" s="3"/>
      <c r="NQ24" s="3"/>
      <c r="NR24" s="3"/>
      <c r="NS24" s="3"/>
    </row>
    <row r="25" spans="1:383" ht="180.75" thickBot="1">
      <c r="A25" s="62">
        <v>3</v>
      </c>
      <c r="B25" s="57" t="s">
        <v>2397</v>
      </c>
      <c r="C25" s="13" t="s">
        <v>544</v>
      </c>
      <c r="D25" s="13">
        <v>6988607936</v>
      </c>
      <c r="E25" s="33" t="s">
        <v>2712</v>
      </c>
      <c r="F25" s="1378" t="s">
        <v>2888</v>
      </c>
      <c r="G25" s="1379"/>
      <c r="H25" s="1380"/>
      <c r="I25" s="300" t="s">
        <v>2696</v>
      </c>
      <c r="J25" s="198"/>
      <c r="M25" s="3">
        <v>0</v>
      </c>
      <c r="U25" s="304"/>
      <c r="AB25" s="280" t="s">
        <v>2575</v>
      </c>
      <c r="AC25" s="271" t="s">
        <v>809</v>
      </c>
      <c r="AD25" s="271">
        <v>8</v>
      </c>
      <c r="AE25" s="271">
        <v>4</v>
      </c>
      <c r="AF25" s="271">
        <v>6971745097</v>
      </c>
      <c r="AG25" s="297" t="s">
        <v>2892</v>
      </c>
      <c r="AH25" s="136" t="s">
        <v>2893</v>
      </c>
      <c r="AM25" s="273">
        <v>45800</v>
      </c>
      <c r="AN25" s="274" t="s">
        <v>1667</v>
      </c>
      <c r="AO25" s="274"/>
      <c r="AP25" s="274"/>
      <c r="AS25" s="273">
        <v>45828</v>
      </c>
      <c r="AT25" s="274" t="s">
        <v>1667</v>
      </c>
      <c r="AU25" s="274"/>
      <c r="AV25" s="274"/>
      <c r="DI25" s="81"/>
      <c r="DJ25" s="81"/>
      <c r="DK25" s="2" t="s">
        <v>2908</v>
      </c>
      <c r="DL25" s="2" t="s">
        <v>2909</v>
      </c>
      <c r="DM25" s="2" t="s">
        <v>2910</v>
      </c>
      <c r="DN25" s="1337" t="s">
        <v>2911</v>
      </c>
      <c r="DO25" s="1145"/>
      <c r="DP25" s="1145"/>
      <c r="DQ25" s="1145"/>
      <c r="FK25" s="112" t="s">
        <v>2865</v>
      </c>
      <c r="FL25" s="101" t="s">
        <v>2912</v>
      </c>
      <c r="FM25" s="101" t="s">
        <v>2830</v>
      </c>
      <c r="FN25" s="101" t="s">
        <v>2805</v>
      </c>
      <c r="FO25" s="123" t="s">
        <v>2598</v>
      </c>
      <c r="FP25" s="101"/>
      <c r="FQ25" s="101"/>
      <c r="FR25" s="113"/>
      <c r="GM25" s="184" t="s">
        <v>2525</v>
      </c>
      <c r="GN25" s="173">
        <f t="shared" ref="GN25:GU25" si="24">COUNTIFS($BA$2:$BA$425,"ΒΟΓΙΑΤΖΗΣ ΔΙΟΝΥΣΗΣ",IG$2:IG$425,"κακή")</f>
        <v>0</v>
      </c>
      <c r="GO25" s="173">
        <f t="shared" si="24"/>
        <v>0</v>
      </c>
      <c r="GP25" s="173">
        <f t="shared" si="24"/>
        <v>0</v>
      </c>
      <c r="GQ25" s="173">
        <f t="shared" si="24"/>
        <v>0</v>
      </c>
      <c r="GR25" s="173">
        <f t="shared" si="24"/>
        <v>0</v>
      </c>
      <c r="GS25" s="173">
        <f t="shared" si="24"/>
        <v>0</v>
      </c>
      <c r="GT25" s="173">
        <f t="shared" si="24"/>
        <v>0</v>
      </c>
      <c r="GU25" s="173">
        <f t="shared" si="24"/>
        <v>0</v>
      </c>
      <c r="GV25" s="170">
        <f>SUM(GR25:GU25)</f>
        <v>0</v>
      </c>
      <c r="HJ25" s="168"/>
      <c r="HK25" s="3">
        <v>24</v>
      </c>
      <c r="HL25" s="2" t="s">
        <v>2907</v>
      </c>
      <c r="HM25" s="157"/>
      <c r="HN25" s="3" t="s">
        <v>2432</v>
      </c>
      <c r="HO25" s="3" t="s">
        <v>2432</v>
      </c>
      <c r="HP25" s="3" t="s">
        <v>2432</v>
      </c>
      <c r="HQ25" s="3" t="s">
        <v>2435</v>
      </c>
      <c r="HS25" s="93"/>
      <c r="HT25" s="3" t="s">
        <v>2433</v>
      </c>
      <c r="HU25" s="3" t="s">
        <v>2433</v>
      </c>
      <c r="HV25" s="3" t="s">
        <v>2433</v>
      </c>
      <c r="HX25" s="85"/>
      <c r="HY25" s="3" t="s">
        <v>2435</v>
      </c>
      <c r="HZ25" s="3" t="s">
        <v>2435</v>
      </c>
      <c r="IA25" s="3" t="s">
        <v>2435</v>
      </c>
      <c r="IB25" s="3" t="s">
        <v>2435</v>
      </c>
      <c r="ID25" s="168"/>
      <c r="IE25" s="2" t="s">
        <v>2777</v>
      </c>
      <c r="IF25" s="2" t="s">
        <v>2436</v>
      </c>
      <c r="IG25" s="3" t="s">
        <v>2431</v>
      </c>
      <c r="IH25" s="3" t="s">
        <v>2431</v>
      </c>
      <c r="II25" s="3" t="s">
        <v>2431</v>
      </c>
      <c r="IJ25" s="3" t="s">
        <v>2431</v>
      </c>
      <c r="IK25" s="3" t="s">
        <v>2431</v>
      </c>
      <c r="IL25" s="3" t="s">
        <v>2431</v>
      </c>
      <c r="IM25" s="3" t="s">
        <v>2431</v>
      </c>
      <c r="IN25" s="3" t="s">
        <v>2431</v>
      </c>
      <c r="JH25" s="184" t="s">
        <v>2525</v>
      </c>
      <c r="JI25" s="173" t="e">
        <f>#REF!</f>
        <v>#REF!</v>
      </c>
      <c r="JJ25" s="173" t="e">
        <f>#REF!</f>
        <v>#REF!</v>
      </c>
      <c r="JK25" s="173" t="e">
        <f>#REF!</f>
        <v>#REF!</v>
      </c>
      <c r="JL25" s="173" t="e">
        <f>#REF!</f>
        <v>#REF!</v>
      </c>
      <c r="JM25" s="173" t="e">
        <f>#REF!</f>
        <v>#REF!</v>
      </c>
      <c r="JN25" s="173" t="e">
        <f>#REF!</f>
        <v>#REF!</v>
      </c>
      <c r="JO25" s="173" t="e">
        <f>#REF!</f>
        <v>#REF!</v>
      </c>
      <c r="JP25" s="173" t="e">
        <f>#REF!</f>
        <v>#REF!</v>
      </c>
      <c r="JQ25" s="170" t="e">
        <f>SUM(JM25:JP25)</f>
        <v>#REF!</v>
      </c>
      <c r="KB25" s="136"/>
      <c r="KC25" s="3"/>
      <c r="KD25" s="3"/>
      <c r="KE25" s="3"/>
      <c r="KF25" s="136"/>
      <c r="KG25" s="136"/>
      <c r="KH25" s="184" t="s">
        <v>2525</v>
      </c>
      <c r="KI25" s="173">
        <f t="shared" ref="KI25:KP25" si="25">COUNTIFS($BA$2:$BA$425,"ΒΟΓΙΑΤΖΗΣ ΔΙΟΝΥΣΗΣ",MB$2:MB$425,"κακή")</f>
        <v>0</v>
      </c>
      <c r="KJ25" s="173">
        <f t="shared" si="25"/>
        <v>0</v>
      </c>
      <c r="KK25" s="173">
        <f t="shared" si="25"/>
        <v>0</v>
      </c>
      <c r="KL25" s="173">
        <f t="shared" si="25"/>
        <v>0</v>
      </c>
      <c r="KM25" s="173">
        <f t="shared" si="25"/>
        <v>0</v>
      </c>
      <c r="KN25" s="173">
        <f t="shared" si="25"/>
        <v>0</v>
      </c>
      <c r="KO25" s="173">
        <f t="shared" si="25"/>
        <v>0</v>
      </c>
      <c r="KP25" s="173">
        <f t="shared" si="25"/>
        <v>0</v>
      </c>
      <c r="KQ25" s="170">
        <f>SUM(KM25:KP25)</f>
        <v>0</v>
      </c>
      <c r="LE25" s="168"/>
      <c r="LF25" s="3">
        <v>24</v>
      </c>
      <c r="LG25" s="2" t="s">
        <v>2907</v>
      </c>
      <c r="LH25" s="157"/>
      <c r="LI25" s="3" t="s">
        <v>2432</v>
      </c>
      <c r="LJ25" s="3" t="s">
        <v>2432</v>
      </c>
      <c r="LK25" s="3" t="s">
        <v>2432</v>
      </c>
      <c r="LL25" s="3" t="s">
        <v>2435</v>
      </c>
      <c r="LM25" s="2"/>
      <c r="LN25" s="93"/>
      <c r="LO25" s="3" t="s">
        <v>2433</v>
      </c>
      <c r="LP25" s="3" t="s">
        <v>2433</v>
      </c>
      <c r="LQ25" s="3" t="s">
        <v>2433</v>
      </c>
      <c r="LR25" s="2"/>
      <c r="LS25" s="85"/>
      <c r="LT25" s="3" t="s">
        <v>2435</v>
      </c>
      <c r="LU25" s="3" t="s">
        <v>2435</v>
      </c>
      <c r="LV25" s="3" t="s">
        <v>2435</v>
      </c>
      <c r="LW25" s="3" t="s">
        <v>2435</v>
      </c>
      <c r="LX25" s="2"/>
      <c r="LY25" s="168"/>
      <c r="LZ25" s="2" t="s">
        <v>2777</v>
      </c>
      <c r="MA25" s="2" t="s">
        <v>2436</v>
      </c>
      <c r="MB25" s="3" t="s">
        <v>2431</v>
      </c>
      <c r="MC25" s="3" t="s">
        <v>2431</v>
      </c>
      <c r="MD25" s="3" t="s">
        <v>2431</v>
      </c>
      <c r="ME25" s="3" t="s">
        <v>2431</v>
      </c>
      <c r="MF25" s="3" t="s">
        <v>2431</v>
      </c>
      <c r="MG25" s="3" t="s">
        <v>2431</v>
      </c>
      <c r="MH25" s="3" t="s">
        <v>2431</v>
      </c>
      <c r="MI25" s="3" t="s">
        <v>2431</v>
      </c>
      <c r="MJ25" s="2"/>
      <c r="MZ25" s="439" t="s">
        <v>2913</v>
      </c>
      <c r="NL25" s="3"/>
      <c r="NM25" s="3"/>
      <c r="NN25" s="3"/>
      <c r="NO25" s="3"/>
      <c r="NP25" s="3"/>
      <c r="NQ25" s="3"/>
      <c r="NR25" s="3"/>
      <c r="NS25" s="3"/>
    </row>
    <row r="26" spans="1:383" ht="180.75" thickBot="1">
      <c r="A26" s="62">
        <v>4</v>
      </c>
      <c r="B26" s="57" t="s">
        <v>2398</v>
      </c>
      <c r="C26" s="13" t="s">
        <v>2449</v>
      </c>
      <c r="D26" s="13">
        <v>6947161430</v>
      </c>
      <c r="E26" s="33" t="s">
        <v>2612</v>
      </c>
      <c r="F26" s="1378" t="s">
        <v>2888</v>
      </c>
      <c r="G26" s="1379"/>
      <c r="H26" s="1380"/>
      <c r="I26" s="300" t="s">
        <v>509</v>
      </c>
      <c r="J26" s="198"/>
      <c r="M26" s="3">
        <v>3</v>
      </c>
      <c r="AB26" s="280" t="s">
        <v>2616</v>
      </c>
      <c r="AC26" s="271" t="s">
        <v>2617</v>
      </c>
      <c r="AD26" s="271">
        <v>12</v>
      </c>
      <c r="AE26" s="271">
        <v>18</v>
      </c>
      <c r="AF26" s="271">
        <v>6979971391</v>
      </c>
      <c r="AG26" s="271" t="s">
        <v>2387</v>
      </c>
      <c r="AH26" s="136" t="s">
        <v>2893</v>
      </c>
      <c r="AM26" s="273">
        <v>45801</v>
      </c>
      <c r="AN26" s="274" t="s">
        <v>1667</v>
      </c>
      <c r="AO26" s="274"/>
      <c r="AP26" s="274"/>
      <c r="AS26" s="273">
        <v>45829</v>
      </c>
      <c r="AT26" s="274" t="s">
        <v>1667</v>
      </c>
      <c r="AU26" s="274"/>
      <c r="AV26" s="274"/>
      <c r="DI26" s="81"/>
      <c r="DJ26" s="81"/>
      <c r="DK26" s="2" t="s">
        <v>2914</v>
      </c>
      <c r="DL26" s="2" t="s">
        <v>2915</v>
      </c>
      <c r="DM26" s="2" t="s">
        <v>2916</v>
      </c>
      <c r="DN26" s="1145"/>
      <c r="DO26" s="1145"/>
      <c r="DP26" s="1145"/>
      <c r="DQ26" s="1145"/>
      <c r="FK26" s="114" t="s">
        <v>2917</v>
      </c>
      <c r="FL26" s="97" t="s">
        <v>2424</v>
      </c>
      <c r="FM26" s="97" t="s">
        <v>2883</v>
      </c>
      <c r="FN26" s="98" t="s">
        <v>2918</v>
      </c>
      <c r="FO26" s="124" t="s">
        <v>2731</v>
      </c>
      <c r="FP26" s="98"/>
      <c r="FQ26" s="98"/>
      <c r="FR26" s="99"/>
      <c r="GM26" s="184" t="s">
        <v>2435</v>
      </c>
      <c r="GN26" s="173">
        <f t="shared" ref="GN26:GU26" si="26">COUNTIFS($BA$2:$BA$425,"ΒΟΓΙΑΤΖΗΣ ΔΙΟΝΥΣΗΣ",IG$2:IG$425,"μέτρια")</f>
        <v>0</v>
      </c>
      <c r="GO26" s="173">
        <f t="shared" si="26"/>
        <v>0</v>
      </c>
      <c r="GP26" s="173">
        <f t="shared" si="26"/>
        <v>0</v>
      </c>
      <c r="GQ26" s="173">
        <f t="shared" si="26"/>
        <v>0</v>
      </c>
      <c r="GR26" s="173">
        <f t="shared" si="26"/>
        <v>0</v>
      </c>
      <c r="GS26" s="173">
        <f t="shared" si="26"/>
        <v>0</v>
      </c>
      <c r="GT26" s="173">
        <f t="shared" si="26"/>
        <v>0</v>
      </c>
      <c r="GU26" s="173">
        <f t="shared" si="26"/>
        <v>0</v>
      </c>
      <c r="GV26" s="170">
        <f>SUM(GR26:GU26)</f>
        <v>0</v>
      </c>
      <c r="HJ26" s="168"/>
      <c r="HK26" s="3">
        <v>25</v>
      </c>
      <c r="HL26" s="2" t="s">
        <v>2907</v>
      </c>
      <c r="HM26" s="157"/>
      <c r="HN26" s="3" t="s">
        <v>2431</v>
      </c>
      <c r="HO26" s="3" t="s">
        <v>2431</v>
      </c>
      <c r="HP26" s="3" t="s">
        <v>2431</v>
      </c>
      <c r="HQ26" s="3" t="s">
        <v>2431</v>
      </c>
      <c r="HS26" s="93"/>
      <c r="HT26" s="3" t="s">
        <v>2431</v>
      </c>
      <c r="HU26" s="3" t="s">
        <v>2431</v>
      </c>
      <c r="HV26" s="3" t="s">
        <v>2431</v>
      </c>
      <c r="HX26" s="85"/>
      <c r="HY26" s="3" t="s">
        <v>2432</v>
      </c>
      <c r="HZ26" s="3" t="s">
        <v>2433</v>
      </c>
      <c r="IA26" s="3" t="s">
        <v>2433</v>
      </c>
      <c r="IB26" s="3" t="s">
        <v>2433</v>
      </c>
      <c r="ID26" s="168"/>
      <c r="IE26" s="2" t="s">
        <v>2777</v>
      </c>
      <c r="IF26" s="2" t="s">
        <v>2436</v>
      </c>
      <c r="IG26" s="3" t="s">
        <v>2431</v>
      </c>
      <c r="IH26" s="3" t="s">
        <v>2431</v>
      </c>
      <c r="II26" s="3" t="s">
        <v>2431</v>
      </c>
      <c r="IJ26" s="3" t="s">
        <v>2431</v>
      </c>
      <c r="IK26" s="3" t="s">
        <v>2431</v>
      </c>
      <c r="IL26" s="3" t="s">
        <v>2431</v>
      </c>
      <c r="IM26" s="3" t="s">
        <v>2431</v>
      </c>
      <c r="IN26" s="3" t="s">
        <v>2431</v>
      </c>
      <c r="JH26" s="184" t="s">
        <v>2435</v>
      </c>
      <c r="JI26" s="173" t="e">
        <f>#REF!</f>
        <v>#REF!</v>
      </c>
      <c r="JJ26" s="173" t="e">
        <f>#REF!</f>
        <v>#REF!</v>
      </c>
      <c r="JK26" s="173" t="e">
        <f>#REF!</f>
        <v>#REF!</v>
      </c>
      <c r="JL26" s="173" t="e">
        <f>#REF!</f>
        <v>#REF!</v>
      </c>
      <c r="JM26" s="173" t="e">
        <f>#REF!</f>
        <v>#REF!</v>
      </c>
      <c r="JN26" s="173" t="e">
        <f>#REF!</f>
        <v>#REF!</v>
      </c>
      <c r="JO26" s="173" t="e">
        <f>#REF!</f>
        <v>#REF!</v>
      </c>
      <c r="JP26" s="173" t="e">
        <f>#REF!</f>
        <v>#REF!</v>
      </c>
      <c r="JQ26" s="170" t="e">
        <f>SUM(JM26:JP26)</f>
        <v>#REF!</v>
      </c>
      <c r="KB26" s="136"/>
      <c r="KC26" s="3"/>
      <c r="KD26" s="3"/>
      <c r="KE26" s="3"/>
      <c r="KF26" s="136"/>
      <c r="KG26" s="136"/>
      <c r="KH26" s="184" t="s">
        <v>2435</v>
      </c>
      <c r="KI26" s="173">
        <f t="shared" ref="KI26:KP26" si="27">COUNTIFS($BA$2:$BA$425,"ΒΟΓΙΑΤΖΗΣ ΔΙΟΝΥΣΗΣ",MB$2:MB$425,"μέτρια")</f>
        <v>0</v>
      </c>
      <c r="KJ26" s="173">
        <f t="shared" si="27"/>
        <v>0</v>
      </c>
      <c r="KK26" s="173">
        <f t="shared" si="27"/>
        <v>0</v>
      </c>
      <c r="KL26" s="173">
        <f t="shared" si="27"/>
        <v>0</v>
      </c>
      <c r="KM26" s="173">
        <f t="shared" si="27"/>
        <v>0</v>
      </c>
      <c r="KN26" s="173">
        <f t="shared" si="27"/>
        <v>0</v>
      </c>
      <c r="KO26" s="173">
        <f t="shared" si="27"/>
        <v>0</v>
      </c>
      <c r="KP26" s="173">
        <f t="shared" si="27"/>
        <v>0</v>
      </c>
      <c r="KQ26" s="170">
        <f>SUM(KM26:KP26)</f>
        <v>0</v>
      </c>
      <c r="LE26" s="168"/>
      <c r="LF26" s="3">
        <v>25</v>
      </c>
      <c r="LG26" s="2" t="s">
        <v>2907</v>
      </c>
      <c r="LH26" s="157"/>
      <c r="LI26" s="3" t="s">
        <v>2431</v>
      </c>
      <c r="LJ26" s="3" t="s">
        <v>2431</v>
      </c>
      <c r="LK26" s="3" t="s">
        <v>2431</v>
      </c>
      <c r="LL26" s="3" t="s">
        <v>2431</v>
      </c>
      <c r="LM26" s="2"/>
      <c r="LN26" s="93"/>
      <c r="LO26" s="3" t="s">
        <v>2431</v>
      </c>
      <c r="LP26" s="3" t="s">
        <v>2431</v>
      </c>
      <c r="LQ26" s="3" t="s">
        <v>2431</v>
      </c>
      <c r="LR26" s="2"/>
      <c r="LS26" s="85"/>
      <c r="LT26" s="3" t="s">
        <v>2432</v>
      </c>
      <c r="LU26" s="3" t="s">
        <v>2433</v>
      </c>
      <c r="LV26" s="3" t="s">
        <v>2433</v>
      </c>
      <c r="LW26" s="3" t="s">
        <v>2433</v>
      </c>
      <c r="LX26" s="2"/>
      <c r="LY26" s="168"/>
      <c r="LZ26" s="2" t="s">
        <v>2777</v>
      </c>
      <c r="MA26" s="2" t="s">
        <v>2436</v>
      </c>
      <c r="MB26" s="3" t="s">
        <v>2431</v>
      </c>
      <c r="MC26" s="3" t="s">
        <v>2431</v>
      </c>
      <c r="MD26" s="3" t="s">
        <v>2431</v>
      </c>
      <c r="ME26" s="3" t="s">
        <v>2431</v>
      </c>
      <c r="MF26" s="3" t="s">
        <v>2431</v>
      </c>
      <c r="MG26" s="3" t="s">
        <v>2431</v>
      </c>
      <c r="MH26" s="3" t="s">
        <v>2431</v>
      </c>
      <c r="MI26" s="3" t="s">
        <v>2431</v>
      </c>
      <c r="MJ26" s="2"/>
      <c r="MZ26" s="439"/>
      <c r="NL26" s="3"/>
      <c r="NM26" s="3"/>
      <c r="NN26" s="3"/>
      <c r="NO26" s="3"/>
      <c r="NP26" s="3"/>
      <c r="NQ26" s="3"/>
      <c r="NR26" s="3"/>
      <c r="NS26" s="3"/>
    </row>
    <row r="27" spans="1:383" ht="180.75" thickBot="1">
      <c r="A27" s="62">
        <v>5</v>
      </c>
      <c r="B27" s="57" t="s">
        <v>2399</v>
      </c>
      <c r="C27" s="13" t="s">
        <v>746</v>
      </c>
      <c r="D27" s="13">
        <v>6949227372</v>
      </c>
      <c r="E27" s="33" t="s">
        <v>2919</v>
      </c>
      <c r="F27" s="1378" t="s">
        <v>2888</v>
      </c>
      <c r="G27" s="1379"/>
      <c r="H27" s="1380"/>
      <c r="I27" s="300" t="s">
        <v>2616</v>
      </c>
      <c r="J27" s="198"/>
      <c r="M27" s="3">
        <v>2</v>
      </c>
      <c r="Z27" s="430"/>
      <c r="AB27" s="280" t="s">
        <v>522</v>
      </c>
      <c r="AC27" s="271" t="s">
        <v>523</v>
      </c>
      <c r="AD27" s="271">
        <v>44</v>
      </c>
      <c r="AE27" s="271">
        <v>8</v>
      </c>
      <c r="AF27" s="271">
        <v>6974120129</v>
      </c>
      <c r="AG27" s="297" t="s">
        <v>2892</v>
      </c>
      <c r="AH27" s="136" t="s">
        <v>2893</v>
      </c>
      <c r="AM27" s="275">
        <v>45807</v>
      </c>
      <c r="AN27" s="276" t="s">
        <v>1667</v>
      </c>
      <c r="AO27" s="276"/>
      <c r="AP27" s="276"/>
      <c r="AS27" s="275">
        <v>45835</v>
      </c>
      <c r="AT27" s="276" t="s">
        <v>1667</v>
      </c>
      <c r="AU27" s="276"/>
      <c r="AV27" s="276"/>
      <c r="DI27" s="81"/>
      <c r="DJ27" s="81"/>
      <c r="DK27" s="2" t="s">
        <v>2920</v>
      </c>
      <c r="DL27" s="2" t="s">
        <v>2921</v>
      </c>
      <c r="DM27" s="2" t="s">
        <v>2922</v>
      </c>
      <c r="DN27" s="1145"/>
      <c r="DO27" s="1145"/>
      <c r="DP27" s="1145"/>
      <c r="DQ27" s="1145"/>
      <c r="FK27" s="115" t="s">
        <v>2917</v>
      </c>
      <c r="FL27" s="53" t="s">
        <v>2923</v>
      </c>
      <c r="FM27" s="53" t="s">
        <v>2883</v>
      </c>
      <c r="FN27" s="48" t="s">
        <v>2924</v>
      </c>
      <c r="FO27" s="124" t="s">
        <v>2731</v>
      </c>
      <c r="FP27" s="48"/>
      <c r="FQ27" s="48"/>
      <c r="FR27" s="100"/>
      <c r="GM27" s="184" t="s">
        <v>2603</v>
      </c>
      <c r="GN27" s="173">
        <f t="shared" ref="GN27:GU27" si="28">COUNTIFS($BA$2:$BA$425,"ΒΟΓΙΑΤΖΗΣ ΔΙΟΝΥΣΗΣ",IG$2:IG$425,"καλή")</f>
        <v>0</v>
      </c>
      <c r="GO27" s="173">
        <f t="shared" si="28"/>
        <v>0</v>
      </c>
      <c r="GP27" s="173">
        <f t="shared" si="28"/>
        <v>0</v>
      </c>
      <c r="GQ27" s="173">
        <f t="shared" si="28"/>
        <v>0</v>
      </c>
      <c r="GR27" s="173">
        <f t="shared" si="28"/>
        <v>0</v>
      </c>
      <c r="GS27" s="173">
        <f t="shared" si="28"/>
        <v>0</v>
      </c>
      <c r="GT27" s="173">
        <f t="shared" si="28"/>
        <v>0</v>
      </c>
      <c r="GU27" s="173">
        <f t="shared" si="28"/>
        <v>0</v>
      </c>
      <c r="GV27" s="199">
        <f>SUM(GR27:GU27)</f>
        <v>0</v>
      </c>
      <c r="HJ27" s="168"/>
      <c r="HK27" s="3">
        <v>26</v>
      </c>
      <c r="HL27" s="2" t="s">
        <v>2925</v>
      </c>
      <c r="HM27" s="157"/>
      <c r="HN27" s="3" t="s">
        <v>2431</v>
      </c>
      <c r="HO27" s="3" t="s">
        <v>2431</v>
      </c>
      <c r="HP27" s="3" t="s">
        <v>2431</v>
      </c>
      <c r="HQ27" s="3" t="s">
        <v>2431</v>
      </c>
      <c r="HS27" s="93"/>
      <c r="HT27" s="3" t="s">
        <v>2433</v>
      </c>
      <c r="HU27" s="3" t="s">
        <v>2431</v>
      </c>
      <c r="HV27" s="3" t="s">
        <v>2433</v>
      </c>
      <c r="HX27" s="85"/>
      <c r="HY27" s="3" t="s">
        <v>2431</v>
      </c>
      <c r="HZ27" s="3" t="s">
        <v>2431</v>
      </c>
      <c r="IA27" s="3" t="s">
        <v>2431</v>
      </c>
      <c r="IB27" s="3" t="s">
        <v>2431</v>
      </c>
      <c r="ID27" s="168"/>
      <c r="IE27" s="2" t="s">
        <v>2777</v>
      </c>
      <c r="IF27" s="2" t="s">
        <v>2436</v>
      </c>
      <c r="IG27" s="3" t="s">
        <v>2432</v>
      </c>
      <c r="IH27" s="3" t="s">
        <v>2432</v>
      </c>
      <c r="II27" s="3" t="s">
        <v>2432</v>
      </c>
      <c r="IJ27" s="3" t="s">
        <v>2432</v>
      </c>
      <c r="IK27" s="3" t="s">
        <v>2432</v>
      </c>
      <c r="IL27" s="3" t="s">
        <v>2432</v>
      </c>
      <c r="IM27" s="3" t="s">
        <v>2432</v>
      </c>
      <c r="IN27" s="3" t="s">
        <v>2432</v>
      </c>
      <c r="IO27" s="2" t="s">
        <v>2926</v>
      </c>
      <c r="JH27" s="184" t="s">
        <v>2603</v>
      </c>
      <c r="JI27" s="173" t="e">
        <f>#REF!</f>
        <v>#REF!</v>
      </c>
      <c r="JJ27" s="173" t="e">
        <f>#REF!</f>
        <v>#REF!</v>
      </c>
      <c r="JK27" s="173" t="e">
        <f>#REF!</f>
        <v>#REF!</v>
      </c>
      <c r="JL27" s="173" t="e">
        <f>#REF!</f>
        <v>#REF!</v>
      </c>
      <c r="JM27" s="173" t="e">
        <f>#REF!</f>
        <v>#REF!</v>
      </c>
      <c r="JN27" s="173" t="e">
        <f>#REF!</f>
        <v>#REF!</v>
      </c>
      <c r="JO27" s="173" t="e">
        <f>#REF!</f>
        <v>#REF!</v>
      </c>
      <c r="JP27" s="173" t="e">
        <f>#REF!</f>
        <v>#REF!</v>
      </c>
      <c r="JQ27" s="199" t="e">
        <f>SUM(JM27:JP27)</f>
        <v>#REF!</v>
      </c>
      <c r="KB27" s="136"/>
      <c r="KC27" s="3"/>
      <c r="KD27" s="3"/>
      <c r="KE27" s="3"/>
      <c r="KF27" s="136"/>
      <c r="KG27" s="136"/>
      <c r="KH27" s="184" t="s">
        <v>2603</v>
      </c>
      <c r="KI27" s="173">
        <f t="shared" ref="KI27:KP27" si="29">COUNTIFS($BA$2:$BA$425,"ΒΟΓΙΑΤΖΗΣ ΔΙΟΝΥΣΗΣ",MB$2:MB$425,"καλή")</f>
        <v>0</v>
      </c>
      <c r="KJ27" s="173">
        <f t="shared" si="29"/>
        <v>0</v>
      </c>
      <c r="KK27" s="173">
        <f t="shared" si="29"/>
        <v>0</v>
      </c>
      <c r="KL27" s="173">
        <f t="shared" si="29"/>
        <v>0</v>
      </c>
      <c r="KM27" s="173">
        <f t="shared" si="29"/>
        <v>0</v>
      </c>
      <c r="KN27" s="173">
        <f t="shared" si="29"/>
        <v>0</v>
      </c>
      <c r="KO27" s="173">
        <f t="shared" si="29"/>
        <v>0</v>
      </c>
      <c r="KP27" s="173">
        <f t="shared" si="29"/>
        <v>0</v>
      </c>
      <c r="KQ27" s="199">
        <f>SUM(KM27:KP27)</f>
        <v>0</v>
      </c>
      <c r="LE27" s="168"/>
      <c r="LF27" s="3">
        <v>26</v>
      </c>
      <c r="LG27" s="2" t="s">
        <v>2925</v>
      </c>
      <c r="LH27" s="157"/>
      <c r="LI27" s="3" t="s">
        <v>2431</v>
      </c>
      <c r="LJ27" s="3" t="s">
        <v>2431</v>
      </c>
      <c r="LK27" s="3" t="s">
        <v>2431</v>
      </c>
      <c r="LL27" s="3" t="s">
        <v>2431</v>
      </c>
      <c r="LM27" s="2"/>
      <c r="LN27" s="93"/>
      <c r="LO27" s="3" t="s">
        <v>2433</v>
      </c>
      <c r="LP27" s="3" t="s">
        <v>2431</v>
      </c>
      <c r="LQ27" s="3" t="s">
        <v>2433</v>
      </c>
      <c r="LR27" s="2"/>
      <c r="LS27" s="85"/>
      <c r="LT27" s="3" t="s">
        <v>2431</v>
      </c>
      <c r="LU27" s="3" t="s">
        <v>2431</v>
      </c>
      <c r="LV27" s="3" t="s">
        <v>2431</v>
      </c>
      <c r="LW27" s="3" t="s">
        <v>2431</v>
      </c>
      <c r="LX27" s="2"/>
      <c r="LY27" s="168"/>
      <c r="LZ27" s="2" t="s">
        <v>2777</v>
      </c>
      <c r="MA27" s="2" t="s">
        <v>2436</v>
      </c>
      <c r="MB27" s="3" t="s">
        <v>2432</v>
      </c>
      <c r="MC27" s="3" t="s">
        <v>2432</v>
      </c>
      <c r="MD27" s="3" t="s">
        <v>2432</v>
      </c>
      <c r="ME27" s="3" t="s">
        <v>2432</v>
      </c>
      <c r="MF27" s="3" t="s">
        <v>2432</v>
      </c>
      <c r="MG27" s="3" t="s">
        <v>2432</v>
      </c>
      <c r="MH27" s="3" t="s">
        <v>2432</v>
      </c>
      <c r="MI27" s="3" t="s">
        <v>2432</v>
      </c>
      <c r="MJ27" s="2" t="s">
        <v>2926</v>
      </c>
      <c r="MZ27" s="439" t="s">
        <v>2927</v>
      </c>
      <c r="NL27" s="3"/>
      <c r="NM27" s="3"/>
      <c r="NN27" s="3"/>
      <c r="NO27" s="3"/>
      <c r="NP27" s="3"/>
      <c r="NQ27" s="3"/>
      <c r="NR27" s="3"/>
      <c r="NS27" s="3"/>
    </row>
    <row r="28" spans="1:383" ht="409.6" thickBot="1">
      <c r="A28" s="62">
        <v>6</v>
      </c>
      <c r="B28" s="57" t="s">
        <v>2400</v>
      </c>
      <c r="C28" s="13" t="s">
        <v>746</v>
      </c>
      <c r="D28" s="13">
        <v>6984586165</v>
      </c>
      <c r="E28" s="33" t="s">
        <v>2735</v>
      </c>
      <c r="F28" s="1378" t="s">
        <v>2888</v>
      </c>
      <c r="G28" s="1379"/>
      <c r="H28" s="1380"/>
      <c r="I28" s="300" t="s">
        <v>603</v>
      </c>
      <c r="J28" s="198"/>
      <c r="M28" s="3">
        <v>4</v>
      </c>
      <c r="AB28" s="280" t="s">
        <v>611</v>
      </c>
      <c r="AC28" s="271" t="s">
        <v>612</v>
      </c>
      <c r="AD28" s="271">
        <v>8</v>
      </c>
      <c r="AE28" s="271">
        <v>4</v>
      </c>
      <c r="AF28" s="271">
        <v>6946047218</v>
      </c>
      <c r="AG28" s="297" t="s">
        <v>2892</v>
      </c>
      <c r="AH28" s="136" t="s">
        <v>2893</v>
      </c>
      <c r="AM28" s="275">
        <v>45808</v>
      </c>
      <c r="AN28" s="276" t="s">
        <v>1667</v>
      </c>
      <c r="AO28" s="276"/>
      <c r="AP28" s="276"/>
      <c r="AS28" s="275">
        <v>45836</v>
      </c>
      <c r="AT28" s="276" t="s">
        <v>1667</v>
      </c>
      <c r="AU28" s="276"/>
      <c r="AV28" s="276"/>
      <c r="DI28" s="81"/>
      <c r="DJ28" s="81"/>
      <c r="DK28" s="2" t="s">
        <v>2928</v>
      </c>
      <c r="DL28" s="2" t="s">
        <v>2929</v>
      </c>
      <c r="DM28" s="2" t="s">
        <v>2930</v>
      </c>
      <c r="DN28" s="1145"/>
      <c r="DO28" s="1145"/>
      <c r="DP28" s="1145"/>
      <c r="DQ28" s="1145"/>
      <c r="FK28" s="115" t="s">
        <v>2917</v>
      </c>
      <c r="FL28" s="53" t="s">
        <v>2931</v>
      </c>
      <c r="FM28" s="53" t="s">
        <v>2883</v>
      </c>
      <c r="FN28" s="48" t="s">
        <v>2932</v>
      </c>
      <c r="FO28" s="124" t="s">
        <v>2731</v>
      </c>
      <c r="FP28" s="53"/>
      <c r="FQ28" s="53"/>
      <c r="FR28" s="111"/>
      <c r="GM28" s="184" t="s">
        <v>2639</v>
      </c>
      <c r="GN28" s="173">
        <f t="shared" ref="GN28:GU28" si="30">COUNTIFS($BA$2:$BA$425,"ΒΟΓΙΑΤΖΗΣ ΔΙΟΝΥΣΗΣ",IG$2:IG$425,"πολύ καλή")</f>
        <v>0</v>
      </c>
      <c r="GO28" s="173">
        <f t="shared" si="30"/>
        <v>0</v>
      </c>
      <c r="GP28" s="173">
        <f t="shared" si="30"/>
        <v>0</v>
      </c>
      <c r="GQ28" s="173">
        <f t="shared" si="30"/>
        <v>0</v>
      </c>
      <c r="GR28" s="173">
        <f t="shared" si="30"/>
        <v>0</v>
      </c>
      <c r="GS28" s="173">
        <f t="shared" si="30"/>
        <v>0</v>
      </c>
      <c r="GT28" s="173">
        <f t="shared" si="30"/>
        <v>0</v>
      </c>
      <c r="GU28" s="173">
        <f t="shared" si="30"/>
        <v>0</v>
      </c>
      <c r="GV28" s="199">
        <f>SUM(GR28:GU28)</f>
        <v>0</v>
      </c>
      <c r="HJ28" s="168"/>
      <c r="HK28" s="3">
        <v>27</v>
      </c>
      <c r="HL28" s="2" t="s">
        <v>2925</v>
      </c>
      <c r="HM28" s="157"/>
      <c r="HN28" s="3" t="s">
        <v>2431</v>
      </c>
      <c r="HO28" s="3" t="s">
        <v>2433</v>
      </c>
      <c r="HP28" s="3" t="s">
        <v>2431</v>
      </c>
      <c r="HQ28" s="3" t="s">
        <v>2431</v>
      </c>
      <c r="HS28" s="93"/>
      <c r="HT28" s="3" t="s">
        <v>2432</v>
      </c>
      <c r="HU28" s="3" t="s">
        <v>2432</v>
      </c>
      <c r="HV28" s="3" t="s">
        <v>2432</v>
      </c>
      <c r="HX28" s="85"/>
      <c r="HY28" s="3" t="s">
        <v>2435</v>
      </c>
      <c r="HZ28" s="3" t="s">
        <v>2435</v>
      </c>
      <c r="IA28" s="3" t="s">
        <v>2435</v>
      </c>
      <c r="IB28" s="3" t="s">
        <v>2435</v>
      </c>
      <c r="ID28" s="168"/>
      <c r="IE28" s="2" t="s">
        <v>2777</v>
      </c>
      <c r="IF28" s="2" t="s">
        <v>2436</v>
      </c>
      <c r="IG28" s="3" t="s">
        <v>2431</v>
      </c>
      <c r="IH28" s="3" t="s">
        <v>2431</v>
      </c>
      <c r="II28" s="3" t="s">
        <v>2431</v>
      </c>
      <c r="IJ28" s="3" t="s">
        <v>2431</v>
      </c>
      <c r="IK28" s="3" t="s">
        <v>2431</v>
      </c>
      <c r="IL28" s="3" t="s">
        <v>2431</v>
      </c>
      <c r="IM28" s="3" t="s">
        <v>2431</v>
      </c>
      <c r="IN28" s="3" t="s">
        <v>2431</v>
      </c>
      <c r="IO28" s="2" t="s">
        <v>2933</v>
      </c>
      <c r="JH28" s="184" t="s">
        <v>2639</v>
      </c>
      <c r="JI28" s="173" t="e">
        <f>#REF!</f>
        <v>#REF!</v>
      </c>
      <c r="JJ28" s="173" t="e">
        <f>#REF!</f>
        <v>#REF!</v>
      </c>
      <c r="JK28" s="173" t="e">
        <f>#REF!</f>
        <v>#REF!</v>
      </c>
      <c r="JL28" s="173" t="e">
        <f>#REF!</f>
        <v>#REF!</v>
      </c>
      <c r="JM28" s="173" t="e">
        <f>#REF!</f>
        <v>#REF!</v>
      </c>
      <c r="JN28" s="173" t="e">
        <f>#REF!</f>
        <v>#REF!</v>
      </c>
      <c r="JO28" s="173" t="e">
        <f>#REF!</f>
        <v>#REF!</v>
      </c>
      <c r="JP28" s="173" t="e">
        <f>#REF!</f>
        <v>#REF!</v>
      </c>
      <c r="JQ28" s="199" t="e">
        <f>SUM(JM28:JP28)</f>
        <v>#REF!</v>
      </c>
      <c r="KB28" s="136"/>
      <c r="KC28" s="3"/>
      <c r="KD28" s="3"/>
      <c r="KE28" s="3"/>
      <c r="KF28" s="136"/>
      <c r="KG28" s="136"/>
      <c r="KH28" s="184" t="s">
        <v>2639</v>
      </c>
      <c r="KI28" s="173">
        <f t="shared" ref="KI28:KP28" si="31">COUNTIFS($BA$2:$BA$425,"ΒΟΓΙΑΤΖΗΣ ΔΙΟΝΥΣΗΣ",MB$2:MB$425,"πολύ καλή")</f>
        <v>0</v>
      </c>
      <c r="KJ28" s="173">
        <f t="shared" si="31"/>
        <v>0</v>
      </c>
      <c r="KK28" s="173">
        <f t="shared" si="31"/>
        <v>0</v>
      </c>
      <c r="KL28" s="173">
        <f t="shared" si="31"/>
        <v>0</v>
      </c>
      <c r="KM28" s="173">
        <f t="shared" si="31"/>
        <v>0</v>
      </c>
      <c r="KN28" s="173">
        <f t="shared" si="31"/>
        <v>0</v>
      </c>
      <c r="KO28" s="173">
        <f t="shared" si="31"/>
        <v>0</v>
      </c>
      <c r="KP28" s="173">
        <f t="shared" si="31"/>
        <v>0</v>
      </c>
      <c r="KQ28" s="199">
        <f>SUM(KM28:KP28)</f>
        <v>0</v>
      </c>
      <c r="LE28" s="168"/>
      <c r="LF28" s="3">
        <v>27</v>
      </c>
      <c r="LG28" s="2" t="s">
        <v>2925</v>
      </c>
      <c r="LH28" s="157"/>
      <c r="LI28" s="3" t="s">
        <v>2431</v>
      </c>
      <c r="LJ28" s="3" t="s">
        <v>2433</v>
      </c>
      <c r="LK28" s="3" t="s">
        <v>2431</v>
      </c>
      <c r="LL28" s="3" t="s">
        <v>2431</v>
      </c>
      <c r="LM28" s="2"/>
      <c r="LN28" s="93"/>
      <c r="LO28" s="3" t="s">
        <v>2432</v>
      </c>
      <c r="LP28" s="3" t="s">
        <v>2432</v>
      </c>
      <c r="LQ28" s="3" t="s">
        <v>2432</v>
      </c>
      <c r="LR28" s="2"/>
      <c r="LS28" s="85"/>
      <c r="LT28" s="3" t="s">
        <v>2435</v>
      </c>
      <c r="LU28" s="3" t="s">
        <v>2435</v>
      </c>
      <c r="LV28" s="3" t="s">
        <v>2435</v>
      </c>
      <c r="LW28" s="3" t="s">
        <v>2435</v>
      </c>
      <c r="LX28" s="2"/>
      <c r="LY28" s="168"/>
      <c r="LZ28" s="2" t="s">
        <v>2777</v>
      </c>
      <c r="MA28" s="2" t="s">
        <v>2436</v>
      </c>
      <c r="MB28" s="3" t="s">
        <v>2431</v>
      </c>
      <c r="MC28" s="3" t="s">
        <v>2431</v>
      </c>
      <c r="MD28" s="3" t="s">
        <v>2431</v>
      </c>
      <c r="ME28" s="3" t="s">
        <v>2431</v>
      </c>
      <c r="MF28" s="3" t="s">
        <v>2431</v>
      </c>
      <c r="MG28" s="3" t="s">
        <v>2431</v>
      </c>
      <c r="MH28" s="3" t="s">
        <v>2431</v>
      </c>
      <c r="MI28" s="3" t="s">
        <v>2431</v>
      </c>
      <c r="MJ28" s="2" t="s">
        <v>2933</v>
      </c>
      <c r="NL28" s="3"/>
      <c r="NM28" s="3"/>
      <c r="NN28" s="3"/>
      <c r="NO28" s="3"/>
      <c r="NP28" s="3"/>
      <c r="NQ28" s="3"/>
      <c r="NR28" s="3"/>
      <c r="NS28" s="3"/>
    </row>
    <row r="29" spans="1:383" ht="180.75" thickBot="1">
      <c r="A29" s="62">
        <v>7</v>
      </c>
      <c r="B29" s="57" t="s">
        <v>2401</v>
      </c>
      <c r="C29" s="13" t="s">
        <v>604</v>
      </c>
      <c r="D29" s="13">
        <v>6972517203</v>
      </c>
      <c r="E29" s="33" t="s">
        <v>2934</v>
      </c>
      <c r="F29" s="1378" t="s">
        <v>2888</v>
      </c>
      <c r="G29" s="1379"/>
      <c r="H29" s="1380"/>
      <c r="I29" s="24"/>
      <c r="J29" s="198"/>
      <c r="M29" s="3">
        <v>1</v>
      </c>
      <c r="V29" s="136" t="s">
        <v>2935</v>
      </c>
      <c r="W29" s="136" t="s">
        <v>2936</v>
      </c>
      <c r="X29" s="136" t="s">
        <v>2937</v>
      </c>
      <c r="Z29" s="430"/>
      <c r="AB29" s="281" t="s">
        <v>474</v>
      </c>
      <c r="AC29" s="282" t="s">
        <v>475</v>
      </c>
      <c r="AD29" s="282">
        <v>25</v>
      </c>
      <c r="AE29" s="282">
        <v>10</v>
      </c>
      <c r="AF29" s="282">
        <v>6973739823</v>
      </c>
      <c r="AG29" s="297" t="s">
        <v>2892</v>
      </c>
      <c r="AH29" s="136" t="s">
        <v>2893</v>
      </c>
      <c r="AS29" s="272"/>
      <c r="AT29" s="272"/>
      <c r="DI29" s="81"/>
      <c r="DJ29" s="81"/>
      <c r="DK29" s="2" t="s">
        <v>2938</v>
      </c>
      <c r="DL29" s="2" t="s">
        <v>2939</v>
      </c>
      <c r="DM29" s="2" t="s">
        <v>2940</v>
      </c>
      <c r="DN29" s="1145"/>
      <c r="DO29" s="1145"/>
      <c r="DP29" s="1145"/>
      <c r="DQ29" s="1145"/>
      <c r="FK29" s="115" t="s">
        <v>2917</v>
      </c>
      <c r="FL29" s="53" t="s">
        <v>2941</v>
      </c>
      <c r="FM29" s="53" t="s">
        <v>2883</v>
      </c>
      <c r="FN29" s="48" t="s">
        <v>2942</v>
      </c>
      <c r="FO29" s="124" t="s">
        <v>2731</v>
      </c>
      <c r="FP29" s="48"/>
      <c r="FQ29" s="48"/>
      <c r="FR29" s="100"/>
      <c r="GM29" s="185" t="s">
        <v>2431</v>
      </c>
      <c r="GN29" s="187">
        <f t="shared" ref="GN29:GU29" si="32">COUNTIFS($BA$2:$BA$425,"ΒΟΓΙΑΤΖΗΣ ΔΙΟΝΥΣΗΣ",IG$2:IG$425,"άριστη")</f>
        <v>0</v>
      </c>
      <c r="GO29" s="187">
        <f t="shared" si="32"/>
        <v>0</v>
      </c>
      <c r="GP29" s="187">
        <f t="shared" si="32"/>
        <v>0</v>
      </c>
      <c r="GQ29" s="187">
        <f t="shared" si="32"/>
        <v>0</v>
      </c>
      <c r="GR29" s="187">
        <f t="shared" si="32"/>
        <v>0</v>
      </c>
      <c r="GS29" s="187">
        <f t="shared" si="32"/>
        <v>0</v>
      </c>
      <c r="GT29" s="187">
        <f t="shared" si="32"/>
        <v>0</v>
      </c>
      <c r="GU29" s="187">
        <f t="shared" si="32"/>
        <v>0</v>
      </c>
      <c r="GV29" s="199">
        <f>SUM(GR29:GU29)</f>
        <v>0</v>
      </c>
      <c r="HJ29" s="168"/>
      <c r="HK29" s="3">
        <v>28</v>
      </c>
      <c r="HL29" s="2" t="s">
        <v>2430</v>
      </c>
      <c r="HM29" s="157"/>
      <c r="HN29" s="3" t="s">
        <v>2433</v>
      </c>
      <c r="HO29" s="3" t="s">
        <v>2433</v>
      </c>
      <c r="HP29" s="3" t="s">
        <v>2433</v>
      </c>
      <c r="HQ29" s="3" t="s">
        <v>2433</v>
      </c>
      <c r="HS29" s="93"/>
      <c r="HT29" s="3" t="s">
        <v>2432</v>
      </c>
      <c r="HU29" s="3" t="s">
        <v>2433</v>
      </c>
      <c r="HV29" s="3" t="s">
        <v>2432</v>
      </c>
      <c r="HX29" s="85"/>
      <c r="HY29" s="3" t="s">
        <v>2435</v>
      </c>
      <c r="HZ29" s="3" t="s">
        <v>2435</v>
      </c>
      <c r="IA29" s="3" t="s">
        <v>2435</v>
      </c>
      <c r="IB29" s="3" t="s">
        <v>2435</v>
      </c>
      <c r="ID29" s="168"/>
      <c r="IE29" s="2" t="s">
        <v>2777</v>
      </c>
      <c r="IF29" s="2" t="s">
        <v>2436</v>
      </c>
      <c r="IG29" s="3" t="s">
        <v>2431</v>
      </c>
      <c r="IH29" s="3" t="s">
        <v>2431</v>
      </c>
      <c r="II29" s="3" t="s">
        <v>2431</v>
      </c>
      <c r="IJ29" s="3" t="s">
        <v>2431</v>
      </c>
      <c r="IK29" s="3" t="s">
        <v>2431</v>
      </c>
      <c r="IL29" s="3" t="s">
        <v>2431</v>
      </c>
      <c r="IM29" s="3" t="s">
        <v>2431</v>
      </c>
      <c r="IN29" s="3" t="s">
        <v>2431</v>
      </c>
      <c r="JH29" s="185" t="s">
        <v>2431</v>
      </c>
      <c r="JI29" s="173" t="e">
        <f>#REF!</f>
        <v>#REF!</v>
      </c>
      <c r="JJ29" s="173" t="e">
        <f>#REF!</f>
        <v>#REF!</v>
      </c>
      <c r="JK29" s="173" t="e">
        <f>#REF!</f>
        <v>#REF!</v>
      </c>
      <c r="JL29" s="173" t="e">
        <f>#REF!</f>
        <v>#REF!</v>
      </c>
      <c r="JM29" s="173" t="e">
        <f>#REF!</f>
        <v>#REF!</v>
      </c>
      <c r="JN29" s="173" t="e">
        <f>#REF!</f>
        <v>#REF!</v>
      </c>
      <c r="JO29" s="173" t="e">
        <f>#REF!</f>
        <v>#REF!</v>
      </c>
      <c r="JP29" s="173" t="e">
        <f>#REF!</f>
        <v>#REF!</v>
      </c>
      <c r="JQ29" s="199" t="e">
        <f>SUM(JM29:JP29)</f>
        <v>#REF!</v>
      </c>
      <c r="KB29" s="136"/>
      <c r="KC29" s="3"/>
      <c r="KD29" s="3"/>
      <c r="KE29" s="3"/>
      <c r="KF29" s="136"/>
      <c r="KG29" s="136"/>
      <c r="KH29" s="185" t="s">
        <v>2431</v>
      </c>
      <c r="KI29" s="187">
        <f t="shared" ref="KI29:KP29" si="33">COUNTIFS($BA$2:$BA$425,"ΒΟΓΙΑΤΖΗΣ ΔΙΟΝΥΣΗΣ",MB$2:MB$425,"άριστη")</f>
        <v>0</v>
      </c>
      <c r="KJ29" s="187">
        <f t="shared" si="33"/>
        <v>0</v>
      </c>
      <c r="KK29" s="187">
        <f t="shared" si="33"/>
        <v>0</v>
      </c>
      <c r="KL29" s="187">
        <f t="shared" si="33"/>
        <v>0</v>
      </c>
      <c r="KM29" s="187">
        <f t="shared" si="33"/>
        <v>0</v>
      </c>
      <c r="KN29" s="187">
        <f t="shared" si="33"/>
        <v>0</v>
      </c>
      <c r="KO29" s="187">
        <f t="shared" si="33"/>
        <v>0</v>
      </c>
      <c r="KP29" s="187">
        <f t="shared" si="33"/>
        <v>0</v>
      </c>
      <c r="KQ29" s="199">
        <f>SUM(KM29:KP29)</f>
        <v>0</v>
      </c>
      <c r="LE29" s="168"/>
      <c r="LF29" s="3">
        <v>28</v>
      </c>
      <c r="LG29" s="2" t="s">
        <v>2430</v>
      </c>
      <c r="LH29" s="157"/>
      <c r="LI29" s="3" t="s">
        <v>2433</v>
      </c>
      <c r="LJ29" s="3" t="s">
        <v>2433</v>
      </c>
      <c r="LK29" s="3" t="s">
        <v>2433</v>
      </c>
      <c r="LL29" s="3" t="s">
        <v>2433</v>
      </c>
      <c r="LM29" s="2"/>
      <c r="LN29" s="93"/>
      <c r="LO29" s="3" t="s">
        <v>2432</v>
      </c>
      <c r="LP29" s="3" t="s">
        <v>2433</v>
      </c>
      <c r="LQ29" s="3" t="s">
        <v>2432</v>
      </c>
      <c r="LR29" s="2"/>
      <c r="LS29" s="85"/>
      <c r="LT29" s="3" t="s">
        <v>2435</v>
      </c>
      <c r="LU29" s="3" t="s">
        <v>2435</v>
      </c>
      <c r="LV29" s="3" t="s">
        <v>2435</v>
      </c>
      <c r="LW29" s="3" t="s">
        <v>2435</v>
      </c>
      <c r="LX29" s="2"/>
      <c r="LY29" s="168"/>
      <c r="LZ29" s="2" t="s">
        <v>2777</v>
      </c>
      <c r="MA29" s="2" t="s">
        <v>2436</v>
      </c>
      <c r="MB29" s="3" t="s">
        <v>2431</v>
      </c>
      <c r="MC29" s="3" t="s">
        <v>2431</v>
      </c>
      <c r="MD29" s="3" t="s">
        <v>2431</v>
      </c>
      <c r="ME29" s="3" t="s">
        <v>2431</v>
      </c>
      <c r="MF29" s="3" t="s">
        <v>2431</v>
      </c>
      <c r="MG29" s="3" t="s">
        <v>2431</v>
      </c>
      <c r="MH29" s="3" t="s">
        <v>2431</v>
      </c>
      <c r="MI29" s="3" t="s">
        <v>2431</v>
      </c>
      <c r="MJ29" s="2"/>
      <c r="NL29" s="3"/>
      <c r="NM29" s="3"/>
      <c r="NN29" s="3"/>
      <c r="NO29" s="3"/>
      <c r="NP29" s="3"/>
      <c r="NQ29" s="3"/>
      <c r="NR29" s="3"/>
      <c r="NS29" s="3"/>
    </row>
    <row r="30" spans="1:383" ht="180.75" thickBot="1">
      <c r="A30" s="63">
        <v>8</v>
      </c>
      <c r="B30" s="58" t="s">
        <v>2402</v>
      </c>
      <c r="C30" s="16" t="s">
        <v>608</v>
      </c>
      <c r="D30" s="16">
        <v>6941447919</v>
      </c>
      <c r="E30" s="34" t="s">
        <v>2943</v>
      </c>
      <c r="F30" s="1378" t="s">
        <v>2888</v>
      </c>
      <c r="G30" s="1379"/>
      <c r="H30" s="1380"/>
      <c r="I30" s="24"/>
      <c r="J30" s="198"/>
      <c r="K30" s="1"/>
      <c r="M30" s="3">
        <v>4</v>
      </c>
      <c r="V30" s="136" t="s">
        <v>2944</v>
      </c>
      <c r="W30"/>
      <c r="AS30" s="272"/>
      <c r="AT30" s="272"/>
      <c r="DI30" s="81"/>
      <c r="DJ30" s="81"/>
      <c r="DK30" s="2" t="s">
        <v>2945</v>
      </c>
      <c r="DL30" s="2" t="s">
        <v>2946</v>
      </c>
      <c r="DM30" s="2" t="s">
        <v>2947</v>
      </c>
      <c r="DN30" s="1145"/>
      <c r="DO30" s="1145"/>
      <c r="DP30" s="1145"/>
      <c r="DQ30" s="1145"/>
      <c r="FK30" s="115" t="s">
        <v>2917</v>
      </c>
      <c r="FL30" s="53" t="s">
        <v>2650</v>
      </c>
      <c r="FM30" s="53" t="s">
        <v>364</v>
      </c>
      <c r="FN30" s="53" t="s">
        <v>2948</v>
      </c>
      <c r="FO30" s="278" t="s">
        <v>2731</v>
      </c>
      <c r="FP30" s="53"/>
      <c r="FQ30" s="53"/>
      <c r="FR30" s="111"/>
      <c r="HJ30" s="168"/>
      <c r="HK30" s="3">
        <v>29</v>
      </c>
      <c r="HL30" s="2" t="s">
        <v>2777</v>
      </c>
      <c r="HM30" s="157"/>
      <c r="HN30" s="3" t="s">
        <v>2432</v>
      </c>
      <c r="HO30" s="3" t="s">
        <v>2432</v>
      </c>
      <c r="HP30" s="3" t="s">
        <v>2432</v>
      </c>
      <c r="HQ30" s="3" t="s">
        <v>2435</v>
      </c>
      <c r="HS30" s="93"/>
      <c r="HT30" s="3" t="s">
        <v>2435</v>
      </c>
      <c r="HU30" s="3" t="s">
        <v>2435</v>
      </c>
      <c r="HV30" s="3" t="s">
        <v>2435</v>
      </c>
      <c r="HX30" s="85"/>
      <c r="HY30" s="3" t="s">
        <v>2435</v>
      </c>
      <c r="HZ30" s="3" t="s">
        <v>2435</v>
      </c>
      <c r="IA30" s="3" t="s">
        <v>2435</v>
      </c>
      <c r="IB30" s="3" t="s">
        <v>2435</v>
      </c>
      <c r="ID30" s="168"/>
      <c r="IE30" s="2" t="s">
        <v>2777</v>
      </c>
      <c r="IF30" s="2" t="s">
        <v>2710</v>
      </c>
      <c r="IG30" s="3" t="s">
        <v>2433</v>
      </c>
      <c r="IH30" s="3" t="s">
        <v>2433</v>
      </c>
      <c r="II30" s="3" t="s">
        <v>2433</v>
      </c>
      <c r="IJ30" s="3" t="s">
        <v>2433</v>
      </c>
      <c r="IK30" s="3" t="s">
        <v>2433</v>
      </c>
      <c r="IL30" s="3" t="s">
        <v>2433</v>
      </c>
      <c r="IM30" s="3" t="s">
        <v>2433</v>
      </c>
      <c r="IN30" s="3" t="s">
        <v>2433</v>
      </c>
      <c r="JH30" s="136"/>
      <c r="JI30" s="136"/>
      <c r="KB30" s="136"/>
      <c r="KC30" s="3"/>
      <c r="KD30" s="3"/>
      <c r="KE30" s="3"/>
      <c r="KF30" s="136"/>
      <c r="KG30" s="136"/>
      <c r="KH30" s="136"/>
      <c r="KI30" s="136"/>
      <c r="LE30" s="168"/>
      <c r="LF30" s="3">
        <v>29</v>
      </c>
      <c r="LG30" s="2" t="s">
        <v>2777</v>
      </c>
      <c r="LH30" s="157"/>
      <c r="LI30" s="3" t="s">
        <v>2432</v>
      </c>
      <c r="LJ30" s="3" t="s">
        <v>2432</v>
      </c>
      <c r="LK30" s="3" t="s">
        <v>2432</v>
      </c>
      <c r="LL30" s="3" t="s">
        <v>2435</v>
      </c>
      <c r="LM30" s="2"/>
      <c r="LN30" s="93"/>
      <c r="LO30" s="3" t="s">
        <v>2435</v>
      </c>
      <c r="LP30" s="3" t="s">
        <v>2435</v>
      </c>
      <c r="LQ30" s="3" t="s">
        <v>2435</v>
      </c>
      <c r="LR30" s="2"/>
      <c r="LS30" s="85"/>
      <c r="LT30" s="3" t="s">
        <v>2435</v>
      </c>
      <c r="LU30" s="3" t="s">
        <v>2435</v>
      </c>
      <c r="LV30" s="3" t="s">
        <v>2435</v>
      </c>
      <c r="LW30" s="3" t="s">
        <v>2435</v>
      </c>
      <c r="LX30" s="2"/>
      <c r="LY30" s="168"/>
      <c r="LZ30" s="2" t="s">
        <v>2777</v>
      </c>
      <c r="MA30" s="2" t="s">
        <v>2710</v>
      </c>
      <c r="MB30" s="3" t="s">
        <v>2433</v>
      </c>
      <c r="MC30" s="3" t="s">
        <v>2433</v>
      </c>
      <c r="MD30" s="3" t="s">
        <v>2433</v>
      </c>
      <c r="ME30" s="3" t="s">
        <v>2433</v>
      </c>
      <c r="MF30" s="3" t="s">
        <v>2433</v>
      </c>
      <c r="MG30" s="3" t="s">
        <v>2433</v>
      </c>
      <c r="MH30" s="3" t="s">
        <v>2433</v>
      </c>
      <c r="MI30" s="3" t="s">
        <v>2433</v>
      </c>
      <c r="MJ30" s="2"/>
      <c r="NL30" s="3"/>
      <c r="NM30" s="3"/>
      <c r="NN30" s="3"/>
      <c r="NO30" s="3"/>
      <c r="NP30" s="3"/>
      <c r="NQ30" s="3"/>
      <c r="NR30" s="3"/>
      <c r="NS30" s="3"/>
    </row>
    <row r="31" spans="1:383" ht="180.75" thickBot="1">
      <c r="A31" s="61">
        <v>1</v>
      </c>
      <c r="B31" s="299" t="s">
        <v>2886</v>
      </c>
      <c r="C31" s="14" t="s">
        <v>768</v>
      </c>
      <c r="D31" s="291">
        <v>6973800907</v>
      </c>
      <c r="E31" s="32" t="s">
        <v>2887</v>
      </c>
      <c r="F31" s="1392" t="s">
        <v>2949</v>
      </c>
      <c r="G31" s="1393"/>
      <c r="H31" s="1393"/>
      <c r="I31" s="25"/>
      <c r="J31" s="198"/>
      <c r="K31" s="1" t="s">
        <v>2950</v>
      </c>
      <c r="L31" s="186" t="s">
        <v>2951</v>
      </c>
      <c r="M31" s="3">
        <v>0</v>
      </c>
      <c r="Z31" s="430"/>
      <c r="AM31" s="1305" t="s">
        <v>1992</v>
      </c>
      <c r="AN31" s="1305" t="s">
        <v>437</v>
      </c>
      <c r="AO31" s="1304" t="s">
        <v>1993</v>
      </c>
      <c r="AP31" s="1304" t="s">
        <v>1994</v>
      </c>
      <c r="AS31" s="1304" t="s">
        <v>1992</v>
      </c>
      <c r="AT31" s="1305" t="s">
        <v>437</v>
      </c>
      <c r="AU31" s="1304" t="s">
        <v>1993</v>
      </c>
      <c r="AV31" s="1304" t="s">
        <v>1994</v>
      </c>
      <c r="DI31" s="81"/>
      <c r="DJ31" s="81"/>
      <c r="DK31" s="81"/>
      <c r="DL31" s="2" t="s">
        <v>2952</v>
      </c>
      <c r="DM31" s="2" t="s">
        <v>2953</v>
      </c>
      <c r="DN31" s="1145"/>
      <c r="DO31" s="1145"/>
      <c r="DP31" s="1145"/>
      <c r="DQ31" s="1145"/>
      <c r="FK31" s="115" t="s">
        <v>2917</v>
      </c>
      <c r="FL31" s="53" t="s">
        <v>614</v>
      </c>
      <c r="FM31" s="53" t="s">
        <v>2954</v>
      </c>
      <c r="FN31" s="53" t="s">
        <v>2955</v>
      </c>
      <c r="FO31" s="124" t="s">
        <v>2731</v>
      </c>
      <c r="FP31" s="48"/>
      <c r="FQ31" s="48"/>
      <c r="FR31" s="100"/>
      <c r="GM31" s="175" t="s">
        <v>2779</v>
      </c>
      <c r="GN31" s="171" t="s">
        <v>2354</v>
      </c>
      <c r="GO31" s="171" t="s">
        <v>2355</v>
      </c>
      <c r="GP31" s="171" t="s">
        <v>2356</v>
      </c>
      <c r="GQ31" s="172" t="s">
        <v>2357</v>
      </c>
      <c r="GR31" s="171" t="s">
        <v>2358</v>
      </c>
      <c r="GS31" s="171" t="s">
        <v>2359</v>
      </c>
      <c r="GT31" s="171" t="s">
        <v>2360</v>
      </c>
      <c r="GU31" s="172" t="s">
        <v>2361</v>
      </c>
      <c r="GV31" s="6" t="s">
        <v>2480</v>
      </c>
      <c r="HJ31" s="168"/>
      <c r="HK31" s="3">
        <v>30</v>
      </c>
      <c r="HL31" s="2" t="s">
        <v>2777</v>
      </c>
      <c r="HM31" s="157"/>
      <c r="HN31" s="3" t="s">
        <v>2433</v>
      </c>
      <c r="HO31" s="3" t="s">
        <v>2433</v>
      </c>
      <c r="HP31" s="3" t="s">
        <v>2433</v>
      </c>
      <c r="HQ31" s="3" t="s">
        <v>2433</v>
      </c>
      <c r="HS31" s="93"/>
      <c r="HT31" s="3" t="s">
        <v>2433</v>
      </c>
      <c r="HU31" s="3" t="s">
        <v>2433</v>
      </c>
      <c r="HV31" s="3" t="s">
        <v>2433</v>
      </c>
      <c r="HX31" s="85"/>
      <c r="HY31" s="3" t="s">
        <v>2433</v>
      </c>
      <c r="HZ31" s="3" t="s">
        <v>2433</v>
      </c>
      <c r="IA31" s="3" t="s">
        <v>2433</v>
      </c>
      <c r="IB31" s="3" t="s">
        <v>2433</v>
      </c>
      <c r="ID31" s="168"/>
      <c r="IE31" s="2" t="s">
        <v>2777</v>
      </c>
      <c r="IF31" s="2" t="s">
        <v>2710</v>
      </c>
      <c r="IG31" s="3" t="s">
        <v>2431</v>
      </c>
      <c r="IH31" s="3" t="s">
        <v>2431</v>
      </c>
      <c r="II31" s="3" t="s">
        <v>2433</v>
      </c>
      <c r="IJ31" s="3" t="s">
        <v>2431</v>
      </c>
      <c r="IK31" s="3" t="s">
        <v>2431</v>
      </c>
      <c r="IL31" s="3" t="s">
        <v>2431</v>
      </c>
      <c r="IM31" s="3" t="s">
        <v>2432</v>
      </c>
      <c r="IN31" s="3" t="s">
        <v>2435</v>
      </c>
      <c r="JH31" s="175" t="s">
        <v>2779</v>
      </c>
      <c r="JI31" s="171" t="s">
        <v>2354</v>
      </c>
      <c r="JJ31" s="171" t="s">
        <v>2355</v>
      </c>
      <c r="JK31" s="171" t="s">
        <v>2356</v>
      </c>
      <c r="JL31" s="172" t="s">
        <v>2357</v>
      </c>
      <c r="JM31" s="171" t="s">
        <v>2358</v>
      </c>
      <c r="JN31" s="171" t="s">
        <v>2359</v>
      </c>
      <c r="JO31" s="171" t="s">
        <v>2360</v>
      </c>
      <c r="JP31" s="172" t="s">
        <v>2361</v>
      </c>
      <c r="JQ31" s="6" t="s">
        <v>2480</v>
      </c>
      <c r="KB31" s="136"/>
      <c r="KC31" s="3"/>
      <c r="KD31" s="3"/>
      <c r="KE31" s="3"/>
      <c r="KF31" s="136"/>
      <c r="KG31" s="136"/>
      <c r="KH31" s="175" t="s">
        <v>2779</v>
      </c>
      <c r="KI31" s="171" t="s">
        <v>2354</v>
      </c>
      <c r="KJ31" s="171" t="s">
        <v>2355</v>
      </c>
      <c r="KK31" s="171" t="s">
        <v>2356</v>
      </c>
      <c r="KL31" s="172" t="s">
        <v>2357</v>
      </c>
      <c r="KM31" s="171" t="s">
        <v>2358</v>
      </c>
      <c r="KN31" s="171" t="s">
        <v>2359</v>
      </c>
      <c r="KO31" s="171" t="s">
        <v>2360</v>
      </c>
      <c r="KP31" s="172" t="s">
        <v>2361</v>
      </c>
      <c r="KQ31" s="6" t="s">
        <v>2480</v>
      </c>
      <c r="LE31" s="168"/>
      <c r="LF31" s="3">
        <v>30</v>
      </c>
      <c r="LG31" s="2" t="s">
        <v>2777</v>
      </c>
      <c r="LH31" s="157"/>
      <c r="LI31" s="3" t="s">
        <v>2433</v>
      </c>
      <c r="LJ31" s="3" t="s">
        <v>2433</v>
      </c>
      <c r="LK31" s="3" t="s">
        <v>2433</v>
      </c>
      <c r="LL31" s="3" t="s">
        <v>2433</v>
      </c>
      <c r="LM31" s="2"/>
      <c r="LN31" s="93"/>
      <c r="LO31" s="3" t="s">
        <v>2433</v>
      </c>
      <c r="LP31" s="3" t="s">
        <v>2433</v>
      </c>
      <c r="LQ31" s="3" t="s">
        <v>2433</v>
      </c>
      <c r="LR31" s="2"/>
      <c r="LS31" s="85"/>
      <c r="LT31" s="3" t="s">
        <v>2433</v>
      </c>
      <c r="LU31" s="3" t="s">
        <v>2433</v>
      </c>
      <c r="LV31" s="3" t="s">
        <v>2433</v>
      </c>
      <c r="LW31" s="3" t="s">
        <v>2433</v>
      </c>
      <c r="LX31" s="2"/>
      <c r="LY31" s="168"/>
      <c r="LZ31" s="2" t="s">
        <v>2777</v>
      </c>
      <c r="MA31" s="2" t="s">
        <v>2710</v>
      </c>
      <c r="MB31" s="3" t="s">
        <v>2431</v>
      </c>
      <c r="MC31" s="3" t="s">
        <v>2431</v>
      </c>
      <c r="MD31" s="3" t="s">
        <v>2433</v>
      </c>
      <c r="ME31" s="3" t="s">
        <v>2431</v>
      </c>
      <c r="MF31" s="3" t="s">
        <v>2431</v>
      </c>
      <c r="MG31" s="3" t="s">
        <v>2431</v>
      </c>
      <c r="MH31" s="3" t="s">
        <v>2432</v>
      </c>
      <c r="MI31" s="3" t="s">
        <v>2435</v>
      </c>
      <c r="MJ31" s="2"/>
      <c r="MZ31" s="438" t="s">
        <v>2956</v>
      </c>
      <c r="NL31" s="3"/>
      <c r="NM31" s="3"/>
      <c r="NN31" s="3"/>
      <c r="NO31" s="3"/>
      <c r="NP31" s="3"/>
      <c r="NQ31" s="3"/>
      <c r="NR31" s="3"/>
      <c r="NS31" s="3"/>
    </row>
    <row r="32" spans="1:383" ht="180.75" thickBot="1">
      <c r="A32" s="62">
        <v>2</v>
      </c>
      <c r="B32" s="57" t="s">
        <v>729</v>
      </c>
      <c r="C32" s="13" t="s">
        <v>470</v>
      </c>
      <c r="D32" s="13">
        <v>6986405541</v>
      </c>
      <c r="E32" s="33" t="s">
        <v>730</v>
      </c>
      <c r="F32" s="1378" t="s">
        <v>2949</v>
      </c>
      <c r="G32" s="1379"/>
      <c r="H32" s="1379"/>
      <c r="I32" s="300" t="s">
        <v>2616</v>
      </c>
      <c r="J32" s="198"/>
      <c r="M32" s="3">
        <v>3</v>
      </c>
      <c r="AM32" s="1306"/>
      <c r="AN32" s="1306"/>
      <c r="AO32" s="1304"/>
      <c r="AP32" s="1304"/>
      <c r="AS32" s="1304"/>
      <c r="AT32" s="1306"/>
      <c r="AU32" s="1304"/>
      <c r="AV32" s="1304"/>
      <c r="DI32" s="1236" t="s">
        <v>2917</v>
      </c>
      <c r="DJ32" s="1236"/>
      <c r="DK32" s="1236"/>
      <c r="DL32" s="1236"/>
      <c r="DM32" s="1236"/>
      <c r="DN32" s="90"/>
      <c r="DO32" s="90"/>
      <c r="DP32" s="90"/>
      <c r="DQ32" s="90"/>
      <c r="FK32" s="115" t="s">
        <v>2917</v>
      </c>
      <c r="FL32" s="53" t="s">
        <v>2957</v>
      </c>
      <c r="FM32" s="53" t="s">
        <v>2958</v>
      </c>
      <c r="FN32" s="53" t="s">
        <v>2959</v>
      </c>
      <c r="FO32" s="124" t="s">
        <v>2731</v>
      </c>
      <c r="FP32" s="53"/>
      <c r="FQ32" s="53"/>
      <c r="FR32" s="111"/>
      <c r="GM32" s="184" t="s">
        <v>2525</v>
      </c>
      <c r="GN32" s="173">
        <f t="shared" ref="GN32:GU32" si="34">COUNTIFS($BA$2:$BA$425,"ΖΑΧΑΡΙΑΔΑΚΗ ΕΡΡΙΚΑ",IG$2:IG$425,"κακή")</f>
        <v>0</v>
      </c>
      <c r="GO32" s="173">
        <f t="shared" si="34"/>
        <v>0</v>
      </c>
      <c r="GP32" s="173">
        <f t="shared" si="34"/>
        <v>0</v>
      </c>
      <c r="GQ32" s="173">
        <f t="shared" si="34"/>
        <v>0</v>
      </c>
      <c r="GR32" s="173">
        <f t="shared" si="34"/>
        <v>0</v>
      </c>
      <c r="GS32" s="173">
        <f t="shared" si="34"/>
        <v>0</v>
      </c>
      <c r="GT32" s="173">
        <f t="shared" si="34"/>
        <v>0</v>
      </c>
      <c r="GU32" s="173">
        <f t="shared" si="34"/>
        <v>0</v>
      </c>
      <c r="GV32" s="200">
        <f>SUM(GR32:GU32)</f>
        <v>0</v>
      </c>
      <c r="HJ32" s="168"/>
      <c r="HK32" s="3">
        <v>31</v>
      </c>
      <c r="HL32" s="2" t="s">
        <v>2867</v>
      </c>
      <c r="HM32" s="157"/>
      <c r="HN32" s="3" t="s">
        <v>2431</v>
      </c>
      <c r="HO32" s="3" t="s">
        <v>2431</v>
      </c>
      <c r="HP32" s="3" t="s">
        <v>2431</v>
      </c>
      <c r="HQ32" s="3" t="s">
        <v>2431</v>
      </c>
      <c r="HS32" s="93"/>
      <c r="HT32" s="3" t="s">
        <v>2431</v>
      </c>
      <c r="HU32" s="3" t="s">
        <v>2431</v>
      </c>
      <c r="HV32" s="3" t="s">
        <v>2431</v>
      </c>
      <c r="HX32" s="85"/>
      <c r="HY32" s="3" t="s">
        <v>2431</v>
      </c>
      <c r="HZ32" s="3" t="s">
        <v>2431</v>
      </c>
      <c r="IA32" s="3" t="s">
        <v>2431</v>
      </c>
      <c r="IB32" s="3" t="s">
        <v>2431</v>
      </c>
      <c r="ID32" s="168"/>
      <c r="IE32" s="2" t="s">
        <v>2777</v>
      </c>
      <c r="IF32" s="2" t="s">
        <v>2710</v>
      </c>
      <c r="IG32" s="3" t="s">
        <v>2433</v>
      </c>
      <c r="IH32" s="3" t="s">
        <v>2433</v>
      </c>
      <c r="II32" s="3" t="s">
        <v>2433</v>
      </c>
      <c r="IJ32" s="3" t="s">
        <v>2433</v>
      </c>
      <c r="IK32" s="3" t="s">
        <v>2433</v>
      </c>
      <c r="IL32" s="3" t="s">
        <v>2433</v>
      </c>
      <c r="IM32" s="3" t="s">
        <v>2433</v>
      </c>
      <c r="IN32" s="3" t="s">
        <v>2432</v>
      </c>
      <c r="JH32" s="184" t="s">
        <v>2525</v>
      </c>
      <c r="JI32" s="173" t="e">
        <f>#REF!</f>
        <v>#REF!</v>
      </c>
      <c r="JJ32" s="173" t="e">
        <f>#REF!</f>
        <v>#REF!</v>
      </c>
      <c r="JK32" s="173" t="e">
        <f>#REF!</f>
        <v>#REF!</v>
      </c>
      <c r="JL32" s="173" t="e">
        <f>#REF!</f>
        <v>#REF!</v>
      </c>
      <c r="JM32" s="173" t="e">
        <f>#REF!</f>
        <v>#REF!</v>
      </c>
      <c r="JN32" s="173" t="e">
        <f>#REF!</f>
        <v>#REF!</v>
      </c>
      <c r="JO32" s="173" t="e">
        <f>#REF!</f>
        <v>#REF!</v>
      </c>
      <c r="JP32" s="173" t="e">
        <f>#REF!</f>
        <v>#REF!</v>
      </c>
      <c r="JQ32" s="200" t="e">
        <f>SUM(JM32:JP32)</f>
        <v>#REF!</v>
      </c>
      <c r="KB32" s="136"/>
      <c r="KC32" s="3"/>
      <c r="KD32" s="3"/>
      <c r="KE32" s="3"/>
      <c r="KF32" s="136"/>
      <c r="KG32" s="136"/>
      <c r="KH32" s="184" t="s">
        <v>2525</v>
      </c>
      <c r="KI32" s="173">
        <f t="shared" ref="KI32:KP32" si="35">COUNTIFS($BA$2:$BA$425,"ΖΑΧΑΡΙΑΔΑΚΗ ΕΡΡΙΚΑ",MB$2:MB$425,"κακή")</f>
        <v>0</v>
      </c>
      <c r="KJ32" s="173">
        <f t="shared" si="35"/>
        <v>0</v>
      </c>
      <c r="KK32" s="173">
        <f t="shared" si="35"/>
        <v>0</v>
      </c>
      <c r="KL32" s="173">
        <f t="shared" si="35"/>
        <v>0</v>
      </c>
      <c r="KM32" s="173">
        <f t="shared" si="35"/>
        <v>0</v>
      </c>
      <c r="KN32" s="173">
        <f t="shared" si="35"/>
        <v>0</v>
      </c>
      <c r="KO32" s="173">
        <f t="shared" si="35"/>
        <v>0</v>
      </c>
      <c r="KP32" s="173">
        <f t="shared" si="35"/>
        <v>0</v>
      </c>
      <c r="KQ32" s="200">
        <f>SUM(KM32:KP32)</f>
        <v>0</v>
      </c>
      <c r="LE32" s="168"/>
      <c r="LF32" s="3">
        <v>31</v>
      </c>
      <c r="LG32" s="2" t="s">
        <v>2867</v>
      </c>
      <c r="LH32" s="157"/>
      <c r="LI32" s="3" t="s">
        <v>2431</v>
      </c>
      <c r="LJ32" s="3" t="s">
        <v>2431</v>
      </c>
      <c r="LK32" s="3" t="s">
        <v>2431</v>
      </c>
      <c r="LL32" s="3" t="s">
        <v>2431</v>
      </c>
      <c r="LM32" s="2"/>
      <c r="LN32" s="93"/>
      <c r="LO32" s="3" t="s">
        <v>2431</v>
      </c>
      <c r="LP32" s="3" t="s">
        <v>2431</v>
      </c>
      <c r="LQ32" s="3" t="s">
        <v>2431</v>
      </c>
      <c r="LR32" s="2"/>
      <c r="LS32" s="85"/>
      <c r="LT32" s="3" t="s">
        <v>2431</v>
      </c>
      <c r="LU32" s="3" t="s">
        <v>2431</v>
      </c>
      <c r="LV32" s="3" t="s">
        <v>2431</v>
      </c>
      <c r="LW32" s="3" t="s">
        <v>2431</v>
      </c>
      <c r="LX32" s="2"/>
      <c r="LY32" s="168"/>
      <c r="LZ32" s="2" t="s">
        <v>2777</v>
      </c>
      <c r="MA32" s="2" t="s">
        <v>2710</v>
      </c>
      <c r="MB32" s="3" t="s">
        <v>2433</v>
      </c>
      <c r="MC32" s="3" t="s">
        <v>2433</v>
      </c>
      <c r="MD32" s="3" t="s">
        <v>2433</v>
      </c>
      <c r="ME32" s="3" t="s">
        <v>2433</v>
      </c>
      <c r="MF32" s="3" t="s">
        <v>2433</v>
      </c>
      <c r="MG32" s="3" t="s">
        <v>2433</v>
      </c>
      <c r="MH32" s="3" t="s">
        <v>2433</v>
      </c>
      <c r="MI32" s="3" t="s">
        <v>2432</v>
      </c>
      <c r="MJ32" s="2"/>
      <c r="MZ32" s="439"/>
      <c r="NL32" s="3"/>
      <c r="NM32" s="3"/>
      <c r="NN32" s="3"/>
      <c r="NO32" s="3"/>
      <c r="NP32" s="3"/>
      <c r="NQ32" s="3"/>
      <c r="NR32" s="3"/>
      <c r="NS32" s="3"/>
    </row>
    <row r="33" spans="1:383" ht="180.75" thickBot="1">
      <c r="A33" s="62">
        <v>3</v>
      </c>
      <c r="B33" s="57" t="s">
        <v>735</v>
      </c>
      <c r="C33" s="13" t="s">
        <v>544</v>
      </c>
      <c r="D33" s="13">
        <v>6985725551</v>
      </c>
      <c r="E33" s="33" t="s">
        <v>736</v>
      </c>
      <c r="F33" s="1378" t="s">
        <v>2949</v>
      </c>
      <c r="G33" s="1379"/>
      <c r="H33" s="1379"/>
      <c r="I33" s="300" t="s">
        <v>539</v>
      </c>
      <c r="J33" s="198"/>
      <c r="M33" s="3">
        <v>5</v>
      </c>
      <c r="AM33" s="273">
        <v>45783</v>
      </c>
      <c r="AN33" s="274" t="s">
        <v>1685</v>
      </c>
      <c r="AO33" s="274"/>
      <c r="AP33" s="274"/>
      <c r="AS33" s="273">
        <v>45811</v>
      </c>
      <c r="AT33" s="274" t="s">
        <v>1685</v>
      </c>
      <c r="AU33" s="274"/>
      <c r="AV33" s="274"/>
      <c r="DI33" s="81"/>
      <c r="DJ33" s="2" t="s">
        <v>2960</v>
      </c>
      <c r="DK33" s="81"/>
      <c r="DL33" s="2" t="s">
        <v>2961</v>
      </c>
      <c r="DM33" s="2" t="s">
        <v>2962</v>
      </c>
      <c r="DN33" s="1337" t="s">
        <v>2963</v>
      </c>
      <c r="DO33" s="1145"/>
      <c r="DP33" s="1145"/>
      <c r="DQ33" s="1145"/>
      <c r="FK33" s="115" t="s">
        <v>2917</v>
      </c>
      <c r="FL33" s="53" t="s">
        <v>2720</v>
      </c>
      <c r="FM33" s="53" t="s">
        <v>2883</v>
      </c>
      <c r="FN33" s="53" t="s">
        <v>2906</v>
      </c>
      <c r="FO33" s="124" t="s">
        <v>2731</v>
      </c>
      <c r="FP33" s="48"/>
      <c r="FQ33" s="48"/>
      <c r="FR33" s="100"/>
      <c r="GM33" s="184" t="s">
        <v>2435</v>
      </c>
      <c r="GN33" s="173">
        <f t="shared" ref="GN33:GU33" si="36">COUNTIFS($BA$2:$BA$425,"ΖΑΧΑΡΙΑΔΑΚΗ ΕΡΡΙΚΑ",IG$2:IG$425,"μέτρια")</f>
        <v>0</v>
      </c>
      <c r="GO33" s="173">
        <f t="shared" si="36"/>
        <v>0</v>
      </c>
      <c r="GP33" s="173">
        <f t="shared" si="36"/>
        <v>0</v>
      </c>
      <c r="GQ33" s="173">
        <f t="shared" si="36"/>
        <v>0</v>
      </c>
      <c r="GR33" s="173">
        <f t="shared" si="36"/>
        <v>0</v>
      </c>
      <c r="GS33" s="173">
        <f t="shared" si="36"/>
        <v>0</v>
      </c>
      <c r="GT33" s="173">
        <f t="shared" si="36"/>
        <v>0</v>
      </c>
      <c r="GU33" s="173">
        <f t="shared" si="36"/>
        <v>0</v>
      </c>
      <c r="GV33" s="200">
        <f>SUM(GR33:GU33)</f>
        <v>0</v>
      </c>
      <c r="HJ33" s="168"/>
      <c r="HK33" s="3">
        <v>32</v>
      </c>
      <c r="HL33" s="2" t="s">
        <v>2859</v>
      </c>
      <c r="HM33" s="157"/>
      <c r="HN33" s="3" t="s">
        <v>2432</v>
      </c>
      <c r="HO33" s="3" t="s">
        <v>2432</v>
      </c>
      <c r="HP33" s="3" t="s">
        <v>2432</v>
      </c>
      <c r="HQ33" s="3" t="s">
        <v>2432</v>
      </c>
      <c r="HS33" s="93"/>
      <c r="HT33" s="3" t="s">
        <v>2432</v>
      </c>
      <c r="HU33" s="3" t="s">
        <v>2432</v>
      </c>
      <c r="HV33" s="3" t="s">
        <v>2432</v>
      </c>
      <c r="HX33" s="85"/>
      <c r="HY33" s="3" t="s">
        <v>2432</v>
      </c>
      <c r="HZ33" s="3" t="s">
        <v>2432</v>
      </c>
      <c r="IA33" s="3" t="s">
        <v>2432</v>
      </c>
      <c r="IB33" s="3" t="s">
        <v>2432</v>
      </c>
      <c r="ID33" s="168"/>
      <c r="IE33" s="2" t="s">
        <v>2777</v>
      </c>
      <c r="IF33" s="2" t="s">
        <v>2710</v>
      </c>
      <c r="IG33" s="3" t="s">
        <v>2435</v>
      </c>
      <c r="IH33" s="3" t="s">
        <v>2434</v>
      </c>
      <c r="II33" s="3" t="s">
        <v>2434</v>
      </c>
      <c r="IJ33" s="3" t="s">
        <v>2432</v>
      </c>
      <c r="IK33" s="3" t="s">
        <v>2435</v>
      </c>
      <c r="IL33" s="3" t="s">
        <v>2434</v>
      </c>
      <c r="IM33" s="3" t="s">
        <v>2435</v>
      </c>
      <c r="IN33" s="3" t="s">
        <v>2434</v>
      </c>
      <c r="IO33" s="2" t="s">
        <v>2964</v>
      </c>
      <c r="JH33" s="184" t="s">
        <v>2435</v>
      </c>
      <c r="JI33" s="173" t="e">
        <f>#REF!</f>
        <v>#REF!</v>
      </c>
      <c r="JJ33" s="173" t="e">
        <f>#REF!</f>
        <v>#REF!</v>
      </c>
      <c r="JK33" s="173" t="e">
        <f>#REF!</f>
        <v>#REF!</v>
      </c>
      <c r="JL33" s="173" t="e">
        <f>#REF!</f>
        <v>#REF!</v>
      </c>
      <c r="JM33" s="173" t="e">
        <f>#REF!</f>
        <v>#REF!</v>
      </c>
      <c r="JN33" s="173" t="e">
        <f>#REF!</f>
        <v>#REF!</v>
      </c>
      <c r="JO33" s="173" t="e">
        <f>#REF!</f>
        <v>#REF!</v>
      </c>
      <c r="JP33" s="173" t="e">
        <f>#REF!</f>
        <v>#REF!</v>
      </c>
      <c r="JQ33" s="200" t="e">
        <f>SUM(JM33:JP33)</f>
        <v>#REF!</v>
      </c>
      <c r="KB33" s="136"/>
      <c r="KC33" s="3"/>
      <c r="KD33" s="3"/>
      <c r="KE33" s="3"/>
      <c r="KF33" s="136"/>
      <c r="KG33" s="136"/>
      <c r="KH33" s="184" t="s">
        <v>2435</v>
      </c>
      <c r="KI33" s="173">
        <f t="shared" ref="KI33:KP33" si="37">COUNTIFS($BA$2:$BA$425,"ΖΑΧΑΡΙΑΔΑΚΗ ΕΡΡΙΚΑ",MB$2:MB$425,"μέτρια")</f>
        <v>0</v>
      </c>
      <c r="KJ33" s="173">
        <f t="shared" si="37"/>
        <v>0</v>
      </c>
      <c r="KK33" s="173">
        <f t="shared" si="37"/>
        <v>0</v>
      </c>
      <c r="KL33" s="173">
        <f t="shared" si="37"/>
        <v>0</v>
      </c>
      <c r="KM33" s="173">
        <f t="shared" si="37"/>
        <v>0</v>
      </c>
      <c r="KN33" s="173">
        <f t="shared" si="37"/>
        <v>0</v>
      </c>
      <c r="KO33" s="173">
        <f t="shared" si="37"/>
        <v>0</v>
      </c>
      <c r="KP33" s="173">
        <f t="shared" si="37"/>
        <v>0</v>
      </c>
      <c r="KQ33" s="200">
        <f>SUM(KM33:KP33)</f>
        <v>0</v>
      </c>
      <c r="LE33" s="168"/>
      <c r="LF33" s="3">
        <v>32</v>
      </c>
      <c r="LG33" s="2" t="s">
        <v>2859</v>
      </c>
      <c r="LH33" s="157"/>
      <c r="LI33" s="3" t="s">
        <v>2432</v>
      </c>
      <c r="LJ33" s="3" t="s">
        <v>2432</v>
      </c>
      <c r="LK33" s="3" t="s">
        <v>2432</v>
      </c>
      <c r="LL33" s="3" t="s">
        <v>2432</v>
      </c>
      <c r="LM33" s="2"/>
      <c r="LN33" s="93"/>
      <c r="LO33" s="3" t="s">
        <v>2432</v>
      </c>
      <c r="LP33" s="3" t="s">
        <v>2432</v>
      </c>
      <c r="LQ33" s="3" t="s">
        <v>2432</v>
      </c>
      <c r="LR33" s="2"/>
      <c r="LS33" s="85"/>
      <c r="LT33" s="3" t="s">
        <v>2432</v>
      </c>
      <c r="LU33" s="3" t="s">
        <v>2432</v>
      </c>
      <c r="LV33" s="3" t="s">
        <v>2432</v>
      </c>
      <c r="LW33" s="3" t="s">
        <v>2432</v>
      </c>
      <c r="LX33" s="2"/>
      <c r="LY33" s="168"/>
      <c r="LZ33" s="2" t="s">
        <v>2777</v>
      </c>
      <c r="MA33" s="2" t="s">
        <v>2710</v>
      </c>
      <c r="MB33" s="3" t="s">
        <v>2435</v>
      </c>
      <c r="MC33" s="3" t="s">
        <v>2434</v>
      </c>
      <c r="MD33" s="3" t="s">
        <v>2434</v>
      </c>
      <c r="ME33" s="3" t="s">
        <v>2432</v>
      </c>
      <c r="MF33" s="3" t="s">
        <v>2435</v>
      </c>
      <c r="MG33" s="3" t="s">
        <v>2434</v>
      </c>
      <c r="MH33" s="3" t="s">
        <v>2435</v>
      </c>
      <c r="MI33" s="3" t="s">
        <v>2434</v>
      </c>
      <c r="MJ33" s="2" t="s">
        <v>2964</v>
      </c>
      <c r="MZ33" s="439" t="s">
        <v>2965</v>
      </c>
      <c r="NL33" s="3"/>
      <c r="NM33" s="3"/>
      <c r="NN33" s="3"/>
      <c r="NO33" s="3"/>
      <c r="NP33" s="3"/>
      <c r="NQ33" s="3"/>
      <c r="NR33" s="3"/>
      <c r="NS33" s="3"/>
    </row>
    <row r="34" spans="1:383" ht="180.75" thickBot="1">
      <c r="A34" s="62">
        <v>4</v>
      </c>
      <c r="B34" s="57" t="s">
        <v>738</v>
      </c>
      <c r="C34" s="13" t="s">
        <v>737</v>
      </c>
      <c r="D34" s="13">
        <v>6946868881</v>
      </c>
      <c r="E34" s="33" t="s">
        <v>739</v>
      </c>
      <c r="F34" s="1378" t="s">
        <v>2949</v>
      </c>
      <c r="G34" s="1379"/>
      <c r="H34" s="1379"/>
      <c r="I34" s="300" t="s">
        <v>592</v>
      </c>
      <c r="J34" s="198"/>
      <c r="M34" s="3">
        <v>4</v>
      </c>
      <c r="AM34" s="273">
        <v>45786</v>
      </c>
      <c r="AN34" s="274" t="s">
        <v>1685</v>
      </c>
      <c r="AO34" s="274"/>
      <c r="AP34" s="274"/>
      <c r="AS34" s="273">
        <v>45814</v>
      </c>
      <c r="AT34" s="274" t="s">
        <v>1685</v>
      </c>
      <c r="AU34" s="274"/>
      <c r="AV34" s="274"/>
      <c r="DI34" s="81"/>
      <c r="DJ34" s="2" t="s">
        <v>2966</v>
      </c>
      <c r="DK34" s="81"/>
      <c r="DL34" s="2" t="s">
        <v>2967</v>
      </c>
      <c r="DM34" s="2" t="s">
        <v>2968</v>
      </c>
      <c r="DN34" s="1145"/>
      <c r="DO34" s="1145"/>
      <c r="DP34" s="1145"/>
      <c r="DQ34" s="1145"/>
      <c r="FK34" s="115" t="s">
        <v>2917</v>
      </c>
      <c r="FL34" s="53" t="s">
        <v>2969</v>
      </c>
      <c r="FM34" s="53" t="s">
        <v>2883</v>
      </c>
      <c r="FN34" s="53" t="s">
        <v>2970</v>
      </c>
      <c r="FO34" s="124" t="s">
        <v>2731</v>
      </c>
      <c r="FP34" s="53"/>
      <c r="FQ34" s="53"/>
      <c r="FR34" s="111"/>
      <c r="GM34" s="184" t="s">
        <v>2603</v>
      </c>
      <c r="GN34" s="173">
        <f t="shared" ref="GN34:GU34" si="38">COUNTIFS($BA$2:$BA$425,"ΖΑΧΑΡΙΑΔΑΚΗ ΕΡΡΙΚΑ",IG$2:IG$425,"καλή")</f>
        <v>0</v>
      </c>
      <c r="GO34" s="173">
        <f t="shared" si="38"/>
        <v>0</v>
      </c>
      <c r="GP34" s="173">
        <f t="shared" si="38"/>
        <v>0</v>
      </c>
      <c r="GQ34" s="173">
        <f t="shared" si="38"/>
        <v>0</v>
      </c>
      <c r="GR34" s="173">
        <f t="shared" si="38"/>
        <v>0</v>
      </c>
      <c r="GS34" s="173">
        <f t="shared" si="38"/>
        <v>0</v>
      </c>
      <c r="GT34" s="173">
        <f t="shared" si="38"/>
        <v>0</v>
      </c>
      <c r="GU34" s="173">
        <f t="shared" si="38"/>
        <v>0</v>
      </c>
      <c r="GV34" s="200">
        <f>SUM(GR34:GU34)</f>
        <v>0</v>
      </c>
      <c r="HJ34" s="168"/>
      <c r="HM34" s="157"/>
      <c r="HS34" s="93"/>
      <c r="HX34" s="85"/>
      <c r="ID34" s="168"/>
      <c r="IE34" s="2" t="s">
        <v>2777</v>
      </c>
      <c r="IF34" s="2" t="s">
        <v>2710</v>
      </c>
      <c r="IG34" s="3" t="s">
        <v>2431</v>
      </c>
      <c r="IH34" s="3" t="s">
        <v>2431</v>
      </c>
      <c r="II34" s="3" t="s">
        <v>2431</v>
      </c>
      <c r="IJ34" s="3" t="s">
        <v>2431</v>
      </c>
      <c r="IK34" s="3" t="s">
        <v>2431</v>
      </c>
      <c r="IL34" s="3" t="s">
        <v>2431</v>
      </c>
      <c r="IM34" s="3" t="s">
        <v>2433</v>
      </c>
      <c r="IN34" s="3" t="s">
        <v>2433</v>
      </c>
      <c r="JH34" s="184" t="s">
        <v>2603</v>
      </c>
      <c r="JI34" s="173" t="e">
        <f>#REF!</f>
        <v>#REF!</v>
      </c>
      <c r="JJ34" s="173" t="e">
        <f>#REF!</f>
        <v>#REF!</v>
      </c>
      <c r="JK34" s="173" t="e">
        <f>#REF!</f>
        <v>#REF!</v>
      </c>
      <c r="JL34" s="173" t="e">
        <f>#REF!</f>
        <v>#REF!</v>
      </c>
      <c r="JM34" s="173" t="e">
        <f>#REF!</f>
        <v>#REF!</v>
      </c>
      <c r="JN34" s="173" t="e">
        <f>#REF!</f>
        <v>#REF!</v>
      </c>
      <c r="JO34" s="173" t="e">
        <f>#REF!</f>
        <v>#REF!</v>
      </c>
      <c r="JP34" s="173" t="e">
        <f>#REF!</f>
        <v>#REF!</v>
      </c>
      <c r="JQ34" s="200" t="e">
        <f>SUM(JM34:JP34)</f>
        <v>#REF!</v>
      </c>
      <c r="KB34" s="136"/>
      <c r="KC34" s="3"/>
      <c r="KD34" s="3"/>
      <c r="KE34" s="3"/>
      <c r="KF34" s="136"/>
      <c r="KG34" s="136"/>
      <c r="KH34" s="184" t="s">
        <v>2603</v>
      </c>
      <c r="KI34" s="173">
        <f t="shared" ref="KI34:KP34" si="39">COUNTIFS($BA$2:$BA$425,"ΖΑΧΑΡΙΑΔΑΚΗ ΕΡΡΙΚΑ",MB$2:MB$425,"καλή")</f>
        <v>0</v>
      </c>
      <c r="KJ34" s="173">
        <f t="shared" si="39"/>
        <v>0</v>
      </c>
      <c r="KK34" s="173">
        <f t="shared" si="39"/>
        <v>0</v>
      </c>
      <c r="KL34" s="173">
        <f t="shared" si="39"/>
        <v>0</v>
      </c>
      <c r="KM34" s="173">
        <f t="shared" si="39"/>
        <v>0</v>
      </c>
      <c r="KN34" s="173">
        <f t="shared" si="39"/>
        <v>0</v>
      </c>
      <c r="KO34" s="173">
        <f t="shared" si="39"/>
        <v>0</v>
      </c>
      <c r="KP34" s="173">
        <f t="shared" si="39"/>
        <v>0</v>
      </c>
      <c r="KQ34" s="200">
        <f>SUM(KM34:KP34)</f>
        <v>0</v>
      </c>
      <c r="LE34" s="168"/>
      <c r="LF34" s="3"/>
      <c r="LG34" s="2"/>
      <c r="LH34" s="157"/>
      <c r="LI34" s="3"/>
      <c r="LJ34" s="3"/>
      <c r="LK34" s="3"/>
      <c r="LL34" s="3"/>
      <c r="LM34" s="2"/>
      <c r="LN34" s="93"/>
      <c r="LO34" s="3"/>
      <c r="LP34" s="3"/>
      <c r="LQ34" s="3"/>
      <c r="LR34" s="2"/>
      <c r="LS34" s="85"/>
      <c r="LT34" s="3"/>
      <c r="LU34" s="3"/>
      <c r="LV34" s="3"/>
      <c r="LW34" s="3"/>
      <c r="LX34" s="2"/>
      <c r="LY34" s="168"/>
      <c r="LZ34" s="2" t="s">
        <v>2777</v>
      </c>
      <c r="MA34" s="2" t="s">
        <v>2710</v>
      </c>
      <c r="MB34" s="3" t="s">
        <v>2431</v>
      </c>
      <c r="MC34" s="3" t="s">
        <v>2431</v>
      </c>
      <c r="MD34" s="3" t="s">
        <v>2431</v>
      </c>
      <c r="ME34" s="3" t="s">
        <v>2431</v>
      </c>
      <c r="MF34" s="3" t="s">
        <v>2431</v>
      </c>
      <c r="MG34" s="3" t="s">
        <v>2431</v>
      </c>
      <c r="MH34" s="3" t="s">
        <v>2433</v>
      </c>
      <c r="MI34" s="3" t="s">
        <v>2433</v>
      </c>
      <c r="MJ34" s="2"/>
      <c r="MZ34" s="439"/>
      <c r="NL34" s="3"/>
      <c r="NM34" s="3"/>
      <c r="NN34" s="3"/>
      <c r="NO34" s="3"/>
      <c r="NP34" s="3"/>
      <c r="NQ34" s="3"/>
      <c r="NR34" s="3"/>
      <c r="NS34" s="3"/>
    </row>
    <row r="35" spans="1:383" ht="195.75" thickBot="1">
      <c r="A35" s="62">
        <v>5</v>
      </c>
      <c r="B35" s="57" t="s">
        <v>741</v>
      </c>
      <c r="C35" s="13" t="s">
        <v>740</v>
      </c>
      <c r="D35" s="13">
        <v>6944098848</v>
      </c>
      <c r="E35" s="33" t="s">
        <v>742</v>
      </c>
      <c r="F35" s="1378" t="s">
        <v>2949</v>
      </c>
      <c r="G35" s="1379"/>
      <c r="H35" s="1379"/>
      <c r="I35" s="300" t="s">
        <v>522</v>
      </c>
      <c r="J35" s="198"/>
      <c r="M35" s="3">
        <v>2</v>
      </c>
      <c r="AM35" s="273">
        <v>45787</v>
      </c>
      <c r="AN35" s="274" t="s">
        <v>1685</v>
      </c>
      <c r="AO35" s="274"/>
      <c r="AP35" s="274"/>
      <c r="AS35" s="273">
        <v>45815</v>
      </c>
      <c r="AT35" s="274" t="s">
        <v>1685</v>
      </c>
      <c r="AU35" s="274"/>
      <c r="AV35" s="274"/>
      <c r="DI35" s="81"/>
      <c r="DJ35" s="2" t="s">
        <v>2971</v>
      </c>
      <c r="DK35" s="81"/>
      <c r="DL35" s="2" t="s">
        <v>2972</v>
      </c>
      <c r="DM35" s="2" t="s">
        <v>2973</v>
      </c>
      <c r="DN35" s="1145"/>
      <c r="DO35" s="1145"/>
      <c r="DP35" s="1145"/>
      <c r="DQ35" s="1145"/>
      <c r="FK35" s="116" t="s">
        <v>2917</v>
      </c>
      <c r="FL35" s="101" t="s">
        <v>2974</v>
      </c>
      <c r="FM35" s="101" t="s">
        <v>2856</v>
      </c>
      <c r="FN35" s="101" t="s">
        <v>2975</v>
      </c>
      <c r="FO35" s="124" t="s">
        <v>2731</v>
      </c>
      <c r="FP35" s="49"/>
      <c r="FQ35" s="49"/>
      <c r="FR35" s="102"/>
      <c r="GM35" s="184" t="s">
        <v>2639</v>
      </c>
      <c r="GN35" s="173">
        <f t="shared" ref="GN35:GU35" si="40">COUNTIFS($BA$2:$BA$425,"ΖΑΧΑΡΙΑΔΑΚΗ ΕΡΡΙΚΑ",IG$2:IG$425,"πολύ καλή")</f>
        <v>0</v>
      </c>
      <c r="GO35" s="173">
        <f t="shared" si="40"/>
        <v>0</v>
      </c>
      <c r="GP35" s="173">
        <f t="shared" si="40"/>
        <v>0</v>
      </c>
      <c r="GQ35" s="173">
        <f t="shared" si="40"/>
        <v>0</v>
      </c>
      <c r="GR35" s="173">
        <f t="shared" si="40"/>
        <v>0</v>
      </c>
      <c r="GS35" s="173">
        <f t="shared" si="40"/>
        <v>0</v>
      </c>
      <c r="GT35" s="173">
        <f t="shared" si="40"/>
        <v>0</v>
      </c>
      <c r="GU35" s="173">
        <f t="shared" si="40"/>
        <v>0</v>
      </c>
      <c r="GV35" s="170">
        <f>SUM(GR35:GU35)</f>
        <v>0</v>
      </c>
      <c r="HJ35" s="168"/>
      <c r="HM35" s="157"/>
      <c r="HS35" s="93"/>
      <c r="HX35" s="85"/>
      <c r="ID35" s="168"/>
      <c r="IE35" s="2" t="s">
        <v>2777</v>
      </c>
      <c r="IF35" s="2" t="s">
        <v>2710</v>
      </c>
      <c r="IG35" s="3" t="s">
        <v>2433</v>
      </c>
      <c r="IH35" s="3" t="s">
        <v>2433</v>
      </c>
      <c r="II35" s="3" t="s">
        <v>2433</v>
      </c>
      <c r="IJ35" s="3" t="s">
        <v>2433</v>
      </c>
      <c r="IK35" s="3" t="s">
        <v>2433</v>
      </c>
      <c r="IL35" s="3" t="s">
        <v>2433</v>
      </c>
      <c r="IM35" s="3" t="s">
        <v>2433</v>
      </c>
      <c r="IN35" s="3" t="s">
        <v>2433</v>
      </c>
      <c r="JH35" s="184" t="s">
        <v>2639</v>
      </c>
      <c r="JI35" s="173" t="e">
        <f>#REF!</f>
        <v>#REF!</v>
      </c>
      <c r="JJ35" s="173" t="e">
        <f>#REF!</f>
        <v>#REF!</v>
      </c>
      <c r="JK35" s="173" t="e">
        <f>#REF!</f>
        <v>#REF!</v>
      </c>
      <c r="JL35" s="173" t="e">
        <f>#REF!</f>
        <v>#REF!</v>
      </c>
      <c r="JM35" s="173" t="e">
        <f>#REF!</f>
        <v>#REF!</v>
      </c>
      <c r="JN35" s="173" t="e">
        <f>#REF!</f>
        <v>#REF!</v>
      </c>
      <c r="JO35" s="173" t="e">
        <f>#REF!</f>
        <v>#REF!</v>
      </c>
      <c r="JP35" s="173" t="e">
        <f>#REF!</f>
        <v>#REF!</v>
      </c>
      <c r="JQ35" s="170" t="e">
        <f>SUM(JM35:JP35)</f>
        <v>#REF!</v>
      </c>
      <c r="KB35" s="136"/>
      <c r="KC35" s="3"/>
      <c r="KD35" s="3"/>
      <c r="KE35" s="3"/>
      <c r="KF35" s="136"/>
      <c r="KG35" s="136"/>
      <c r="KH35" s="184" t="s">
        <v>2639</v>
      </c>
      <c r="KI35" s="173">
        <f t="shared" ref="KI35:KP35" si="41">COUNTIFS($BA$2:$BA$425,"ΖΑΧΑΡΙΑΔΑΚΗ ΕΡΡΙΚΑ",MB$2:MB$425,"πολύ καλή")</f>
        <v>0</v>
      </c>
      <c r="KJ35" s="173">
        <f t="shared" si="41"/>
        <v>0</v>
      </c>
      <c r="KK35" s="173">
        <f t="shared" si="41"/>
        <v>0</v>
      </c>
      <c r="KL35" s="173">
        <f t="shared" si="41"/>
        <v>0</v>
      </c>
      <c r="KM35" s="173">
        <f t="shared" si="41"/>
        <v>0</v>
      </c>
      <c r="KN35" s="173">
        <f t="shared" si="41"/>
        <v>0</v>
      </c>
      <c r="KO35" s="173">
        <f t="shared" si="41"/>
        <v>0</v>
      </c>
      <c r="KP35" s="173">
        <f t="shared" si="41"/>
        <v>0</v>
      </c>
      <c r="KQ35" s="170">
        <f>SUM(KM35:KP35)</f>
        <v>0</v>
      </c>
      <c r="LE35" s="168"/>
      <c r="LF35" s="3"/>
      <c r="LG35" s="2"/>
      <c r="LH35" s="157"/>
      <c r="LI35" s="3"/>
      <c r="LJ35" s="3"/>
      <c r="LK35" s="3"/>
      <c r="LL35" s="3"/>
      <c r="LM35" s="2"/>
      <c r="LN35" s="93"/>
      <c r="LO35" s="3"/>
      <c r="LP35" s="3"/>
      <c r="LQ35" s="3"/>
      <c r="LR35" s="2"/>
      <c r="LS35" s="85"/>
      <c r="LT35" s="3"/>
      <c r="LU35" s="3"/>
      <c r="LV35" s="3"/>
      <c r="LW35" s="3"/>
      <c r="LX35" s="2"/>
      <c r="LY35" s="168"/>
      <c r="LZ35" s="2" t="s">
        <v>2777</v>
      </c>
      <c r="MA35" s="2" t="s">
        <v>2710</v>
      </c>
      <c r="MB35" s="3" t="s">
        <v>2433</v>
      </c>
      <c r="MC35" s="3" t="s">
        <v>2433</v>
      </c>
      <c r="MD35" s="3" t="s">
        <v>2433</v>
      </c>
      <c r="ME35" s="3" t="s">
        <v>2433</v>
      </c>
      <c r="MF35" s="3" t="s">
        <v>2433</v>
      </c>
      <c r="MG35" s="3" t="s">
        <v>2433</v>
      </c>
      <c r="MH35" s="3" t="s">
        <v>2433</v>
      </c>
      <c r="MI35" s="3" t="s">
        <v>2433</v>
      </c>
      <c r="MJ35" s="2"/>
      <c r="MZ35" s="439" t="s">
        <v>2976</v>
      </c>
      <c r="NL35" s="3"/>
      <c r="NM35" s="3"/>
      <c r="NN35" s="3"/>
      <c r="NO35" s="3"/>
      <c r="NP35" s="3"/>
      <c r="NQ35" s="3"/>
      <c r="NR35" s="3"/>
      <c r="NS35" s="3"/>
    </row>
    <row r="36" spans="1:383" ht="270.75" thickBot="1">
      <c r="A36" s="63">
        <v>6</v>
      </c>
      <c r="B36" s="59" t="s">
        <v>744</v>
      </c>
      <c r="C36" s="15" t="s">
        <v>743</v>
      </c>
      <c r="D36" s="15">
        <v>6993928303</v>
      </c>
      <c r="E36" s="35" t="s">
        <v>745</v>
      </c>
      <c r="F36" s="1373" t="s">
        <v>2949</v>
      </c>
      <c r="G36" s="1374"/>
      <c r="H36" s="1374"/>
      <c r="I36" s="301" t="s">
        <v>496</v>
      </c>
      <c r="J36" s="198"/>
      <c r="M36" s="3">
        <v>4</v>
      </c>
      <c r="AM36" s="275">
        <v>45790</v>
      </c>
      <c r="AN36" s="276" t="s">
        <v>1685</v>
      </c>
      <c r="AO36" s="276"/>
      <c r="AP36" s="276"/>
      <c r="AS36" s="275">
        <v>45818</v>
      </c>
      <c r="AT36" s="276" t="s">
        <v>1685</v>
      </c>
      <c r="AU36" s="276"/>
      <c r="AV36" s="276"/>
      <c r="DI36" s="81"/>
      <c r="DJ36" s="2" t="s">
        <v>2977</v>
      </c>
      <c r="DK36" s="81"/>
      <c r="DL36" s="2" t="s">
        <v>2978</v>
      </c>
      <c r="DM36" s="2" t="s">
        <v>2979</v>
      </c>
      <c r="DN36" s="1145"/>
      <c r="DO36" s="1145"/>
      <c r="DP36" s="1145"/>
      <c r="DQ36" s="1145"/>
      <c r="FK36" s="121" t="s">
        <v>2980</v>
      </c>
      <c r="FL36" s="96" t="s">
        <v>2981</v>
      </c>
      <c r="FM36" s="96" t="s">
        <v>95</v>
      </c>
      <c r="FN36" s="96" t="s">
        <v>2982</v>
      </c>
      <c r="FO36" s="123" t="s">
        <v>2598</v>
      </c>
      <c r="FP36" s="96"/>
      <c r="FQ36" s="96"/>
      <c r="FR36" s="96"/>
      <c r="GM36" s="185" t="s">
        <v>2431</v>
      </c>
      <c r="GN36" s="187">
        <f t="shared" ref="GN36:GU36" si="42">COUNTIFS($BA$2:$BA$425,"ΖΑΧΑΡΙΑΔΑΚΗ ΕΡΡΙΚΑ",IG$2:IG$425,"άριστη")</f>
        <v>0</v>
      </c>
      <c r="GO36" s="187">
        <f t="shared" si="42"/>
        <v>0</v>
      </c>
      <c r="GP36" s="187">
        <f t="shared" si="42"/>
        <v>0</v>
      </c>
      <c r="GQ36" s="187">
        <f t="shared" si="42"/>
        <v>0</v>
      </c>
      <c r="GR36" s="187">
        <f t="shared" si="42"/>
        <v>0</v>
      </c>
      <c r="GS36" s="187">
        <f t="shared" si="42"/>
        <v>0</v>
      </c>
      <c r="GT36" s="187">
        <f t="shared" si="42"/>
        <v>0</v>
      </c>
      <c r="GU36" s="187">
        <f t="shared" si="42"/>
        <v>0</v>
      </c>
      <c r="GV36" s="170">
        <f>SUM(GR36:GU36)</f>
        <v>0</v>
      </c>
      <c r="HJ36" s="168"/>
      <c r="HM36" s="157"/>
      <c r="HS36" s="93"/>
      <c r="HX36" s="85"/>
      <c r="ID36" s="168"/>
      <c r="IE36" s="2" t="s">
        <v>2777</v>
      </c>
      <c r="IF36" s="2" t="s">
        <v>2983</v>
      </c>
      <c r="IG36" s="3" t="s">
        <v>2433</v>
      </c>
      <c r="IH36" s="3" t="s">
        <v>2431</v>
      </c>
      <c r="II36" s="3" t="s">
        <v>2431</v>
      </c>
      <c r="IJ36" s="3" t="s">
        <v>2431</v>
      </c>
      <c r="IK36" s="3" t="s">
        <v>2431</v>
      </c>
      <c r="IL36" s="3" t="s">
        <v>2431</v>
      </c>
      <c r="IM36" s="3" t="s">
        <v>2431</v>
      </c>
      <c r="IN36" s="3" t="s">
        <v>2431</v>
      </c>
      <c r="JH36" s="185" t="s">
        <v>2431</v>
      </c>
      <c r="JI36" s="173" t="e">
        <f>#REF!</f>
        <v>#REF!</v>
      </c>
      <c r="JJ36" s="173" t="e">
        <f>#REF!</f>
        <v>#REF!</v>
      </c>
      <c r="JK36" s="173" t="e">
        <f>#REF!</f>
        <v>#REF!</v>
      </c>
      <c r="JL36" s="173" t="e">
        <f>#REF!</f>
        <v>#REF!</v>
      </c>
      <c r="JM36" s="173" t="e">
        <f>#REF!</f>
        <v>#REF!</v>
      </c>
      <c r="JN36" s="173" t="e">
        <f>#REF!</f>
        <v>#REF!</v>
      </c>
      <c r="JO36" s="173" t="e">
        <f>#REF!</f>
        <v>#REF!</v>
      </c>
      <c r="JP36" s="173" t="e">
        <f>#REF!</f>
        <v>#REF!</v>
      </c>
      <c r="JQ36" s="170" t="e">
        <f>SUM(JM36:JP36)</f>
        <v>#REF!</v>
      </c>
      <c r="KB36" s="136"/>
      <c r="KC36" s="3"/>
      <c r="KD36" s="3"/>
      <c r="KE36" s="3"/>
      <c r="KF36" s="136"/>
      <c r="KG36" s="136"/>
      <c r="KH36" s="185" t="s">
        <v>2431</v>
      </c>
      <c r="KI36" s="187">
        <f t="shared" ref="KI36:KP36" si="43">COUNTIFS($BA$2:$BA$425,"ΖΑΧΑΡΙΑΔΑΚΗ ΕΡΡΙΚΑ",MB$2:MB$425,"άριστη")</f>
        <v>0</v>
      </c>
      <c r="KJ36" s="187">
        <f t="shared" si="43"/>
        <v>0</v>
      </c>
      <c r="KK36" s="187">
        <f t="shared" si="43"/>
        <v>0</v>
      </c>
      <c r="KL36" s="187">
        <f t="shared" si="43"/>
        <v>0</v>
      </c>
      <c r="KM36" s="187">
        <f t="shared" si="43"/>
        <v>0</v>
      </c>
      <c r="KN36" s="187">
        <f t="shared" si="43"/>
        <v>0</v>
      </c>
      <c r="KO36" s="187">
        <f t="shared" si="43"/>
        <v>0</v>
      </c>
      <c r="KP36" s="187">
        <f t="shared" si="43"/>
        <v>0</v>
      </c>
      <c r="KQ36" s="170">
        <f>SUM(KM36:KP36)</f>
        <v>0</v>
      </c>
      <c r="LE36" s="168"/>
      <c r="LF36" s="3"/>
      <c r="LG36" s="2"/>
      <c r="LH36" s="157"/>
      <c r="LI36" s="3"/>
      <c r="LJ36" s="3"/>
      <c r="LK36" s="3"/>
      <c r="LL36" s="3"/>
      <c r="LM36" s="2"/>
      <c r="LN36" s="93"/>
      <c r="LO36" s="3"/>
      <c r="LP36" s="3"/>
      <c r="LQ36" s="3"/>
      <c r="LR36" s="2"/>
      <c r="LS36" s="85"/>
      <c r="LT36" s="3"/>
      <c r="LU36" s="3"/>
      <c r="LV36" s="3"/>
      <c r="LW36" s="3"/>
      <c r="LX36" s="2"/>
      <c r="LY36" s="168"/>
      <c r="LZ36" s="2" t="s">
        <v>2777</v>
      </c>
      <c r="MA36" s="2" t="s">
        <v>2983</v>
      </c>
      <c r="MB36" s="3" t="s">
        <v>2433</v>
      </c>
      <c r="MC36" s="3" t="s">
        <v>2431</v>
      </c>
      <c r="MD36" s="3" t="s">
        <v>2431</v>
      </c>
      <c r="ME36" s="3" t="s">
        <v>2431</v>
      </c>
      <c r="MF36" s="3" t="s">
        <v>2431</v>
      </c>
      <c r="MG36" s="3" t="s">
        <v>2431</v>
      </c>
      <c r="MH36" s="3" t="s">
        <v>2431</v>
      </c>
      <c r="MI36" s="3" t="s">
        <v>2431</v>
      </c>
      <c r="MJ36" s="2"/>
      <c r="MZ36" s="439"/>
      <c r="NL36" s="3"/>
      <c r="NM36" s="3"/>
      <c r="NN36" s="3"/>
      <c r="NO36" s="3"/>
      <c r="NP36" s="3"/>
      <c r="NQ36" s="3"/>
      <c r="NR36" s="3"/>
      <c r="NS36" s="3"/>
    </row>
    <row r="37" spans="1:383" ht="270.75" thickBot="1">
      <c r="A37" s="69">
        <v>1</v>
      </c>
      <c r="B37" s="70" t="s">
        <v>2403</v>
      </c>
      <c r="C37" s="18" t="s">
        <v>2450</v>
      </c>
      <c r="D37" s="18">
        <v>6906851518</v>
      </c>
      <c r="E37" s="71" t="s">
        <v>2984</v>
      </c>
      <c r="F37" s="1375" t="s">
        <v>2985</v>
      </c>
      <c r="G37" s="1376"/>
      <c r="H37" s="1377"/>
      <c r="I37" s="23"/>
      <c r="J37" s="198"/>
      <c r="K37" s="1" t="s">
        <v>2986</v>
      </c>
      <c r="L37" s="186" t="s">
        <v>2987</v>
      </c>
      <c r="M37" s="3">
        <v>5</v>
      </c>
      <c r="U37" s="125"/>
      <c r="AM37" s="275">
        <v>45793</v>
      </c>
      <c r="AN37" s="276" t="s">
        <v>1685</v>
      </c>
      <c r="AO37" s="276"/>
      <c r="AP37" s="276"/>
      <c r="AS37" s="275">
        <v>45821</v>
      </c>
      <c r="AT37" s="276" t="s">
        <v>1685</v>
      </c>
      <c r="AU37" s="276"/>
      <c r="AV37" s="276"/>
      <c r="DI37" s="81"/>
      <c r="DJ37" s="2" t="s">
        <v>2988</v>
      </c>
      <c r="DK37" s="81"/>
      <c r="DL37" s="2" t="s">
        <v>2989</v>
      </c>
      <c r="DM37" s="2" t="s">
        <v>2990</v>
      </c>
      <c r="DN37" s="1145"/>
      <c r="DO37" s="1145"/>
      <c r="DP37" s="1145"/>
      <c r="DQ37" s="1145"/>
      <c r="FK37" s="121" t="s">
        <v>2980</v>
      </c>
      <c r="FL37" s="53" t="s">
        <v>2991</v>
      </c>
      <c r="FM37" s="96" t="s">
        <v>95</v>
      </c>
      <c r="FN37" s="96" t="s">
        <v>2992</v>
      </c>
      <c r="FO37" s="122" t="s">
        <v>2520</v>
      </c>
      <c r="FP37" s="53"/>
      <c r="FQ37" s="53"/>
      <c r="FR37" s="53"/>
      <c r="HJ37" s="168"/>
      <c r="HM37" s="157"/>
      <c r="HS37" s="93"/>
      <c r="HX37" s="85"/>
      <c r="ID37" s="168"/>
      <c r="IE37" s="2" t="s">
        <v>2777</v>
      </c>
      <c r="IF37" s="2" t="s">
        <v>2983</v>
      </c>
      <c r="IG37" s="3" t="s">
        <v>2431</v>
      </c>
      <c r="IH37" s="3" t="s">
        <v>2431</v>
      </c>
      <c r="II37" s="3" t="s">
        <v>2431</v>
      </c>
      <c r="IJ37" s="3" t="s">
        <v>2431</v>
      </c>
      <c r="IK37" s="3" t="s">
        <v>2431</v>
      </c>
      <c r="IL37" s="3" t="s">
        <v>2431</v>
      </c>
      <c r="IM37" s="3" t="s">
        <v>2431</v>
      </c>
      <c r="IN37" s="3" t="s">
        <v>2433</v>
      </c>
      <c r="JH37" s="136"/>
      <c r="JI37" s="136"/>
      <c r="KB37" s="136"/>
      <c r="KC37" s="3"/>
      <c r="KD37" s="3"/>
      <c r="KE37" s="3"/>
      <c r="KF37" s="136"/>
      <c r="KG37" s="136"/>
      <c r="KH37" s="136"/>
      <c r="KI37" s="136"/>
      <c r="LE37" s="168"/>
      <c r="LF37" s="3"/>
      <c r="LG37" s="2"/>
      <c r="LH37" s="157"/>
      <c r="LI37" s="3"/>
      <c r="LJ37" s="3"/>
      <c r="LK37" s="3"/>
      <c r="LL37" s="3"/>
      <c r="LM37" s="2"/>
      <c r="LN37" s="93"/>
      <c r="LO37" s="3"/>
      <c r="LP37" s="3"/>
      <c r="LQ37" s="3"/>
      <c r="LR37" s="2"/>
      <c r="LS37" s="85"/>
      <c r="LT37" s="3"/>
      <c r="LU37" s="3"/>
      <c r="LV37" s="3"/>
      <c r="LW37" s="3"/>
      <c r="LX37" s="2"/>
      <c r="LY37" s="168"/>
      <c r="LZ37" s="2" t="s">
        <v>2777</v>
      </c>
      <c r="MA37" s="2" t="s">
        <v>2983</v>
      </c>
      <c r="MB37" s="3" t="s">
        <v>2431</v>
      </c>
      <c r="MC37" s="3" t="s">
        <v>2431</v>
      </c>
      <c r="MD37" s="3" t="s">
        <v>2431</v>
      </c>
      <c r="ME37" s="3" t="s">
        <v>2431</v>
      </c>
      <c r="MF37" s="3" t="s">
        <v>2431</v>
      </c>
      <c r="MG37" s="3" t="s">
        <v>2431</v>
      </c>
      <c r="MH37" s="3" t="s">
        <v>2431</v>
      </c>
      <c r="MI37" s="3" t="s">
        <v>2433</v>
      </c>
      <c r="MJ37" s="2"/>
      <c r="MZ37" s="439" t="s">
        <v>2993</v>
      </c>
      <c r="NL37" s="3"/>
      <c r="NM37" s="3"/>
      <c r="NN37" s="3"/>
      <c r="NO37" s="3"/>
      <c r="NP37" s="3"/>
      <c r="NQ37" s="3"/>
      <c r="NR37" s="3"/>
      <c r="NS37" s="3"/>
    </row>
    <row r="38" spans="1:383" ht="195.75" thickBot="1">
      <c r="A38" s="72">
        <v>2</v>
      </c>
      <c r="B38" s="67" t="s">
        <v>2404</v>
      </c>
      <c r="C38" s="17" t="s">
        <v>773</v>
      </c>
      <c r="D38" s="17">
        <v>6940332546</v>
      </c>
      <c r="E38" s="36" t="s">
        <v>2994</v>
      </c>
      <c r="F38" s="1365" t="s">
        <v>2995</v>
      </c>
      <c r="G38" s="1160"/>
      <c r="H38" s="1366"/>
      <c r="I38" s="24"/>
      <c r="J38" s="198"/>
      <c r="M38" s="3">
        <v>4</v>
      </c>
      <c r="AM38" s="275">
        <v>45794</v>
      </c>
      <c r="AN38" s="276" t="s">
        <v>1685</v>
      </c>
      <c r="AO38" s="276"/>
      <c r="AP38" s="276"/>
      <c r="AS38" s="275">
        <v>45822</v>
      </c>
      <c r="AT38" s="276" t="s">
        <v>1685</v>
      </c>
      <c r="AU38" s="276"/>
      <c r="AV38" s="276"/>
      <c r="DI38" s="81"/>
      <c r="DJ38" s="2" t="s">
        <v>2996</v>
      </c>
      <c r="DK38" s="81"/>
      <c r="DL38" s="2" t="s">
        <v>2997</v>
      </c>
      <c r="DM38" s="2" t="s">
        <v>2998</v>
      </c>
      <c r="DN38" s="1145"/>
      <c r="DO38" s="1145"/>
      <c r="DP38" s="1145"/>
      <c r="DQ38" s="1145"/>
      <c r="FK38" s="121" t="s">
        <v>2980</v>
      </c>
      <c r="FL38" s="53" t="s">
        <v>2999</v>
      </c>
      <c r="FM38" s="96" t="s">
        <v>95</v>
      </c>
      <c r="FN38" s="96" t="s">
        <v>3000</v>
      </c>
      <c r="FO38" s="123" t="s">
        <v>2598</v>
      </c>
      <c r="FP38" s="53"/>
      <c r="FQ38" s="53"/>
      <c r="FR38" s="53"/>
      <c r="GM38" s="175" t="s">
        <v>3001</v>
      </c>
      <c r="GN38" s="171" t="s">
        <v>2354</v>
      </c>
      <c r="GO38" s="171" t="s">
        <v>2355</v>
      </c>
      <c r="GP38" s="171" t="s">
        <v>2356</v>
      </c>
      <c r="GQ38" s="172" t="s">
        <v>2357</v>
      </c>
      <c r="GR38" s="171" t="s">
        <v>2358</v>
      </c>
      <c r="GS38" s="171" t="s">
        <v>2359</v>
      </c>
      <c r="GT38" s="171" t="s">
        <v>2360</v>
      </c>
      <c r="GU38" s="172" t="s">
        <v>2361</v>
      </c>
      <c r="GV38" s="6" t="s">
        <v>2480</v>
      </c>
      <c r="HJ38" s="168"/>
      <c r="HM38" s="157"/>
      <c r="HS38" s="93"/>
      <c r="HX38" s="85"/>
      <c r="ID38" s="168"/>
      <c r="IE38" s="2" t="s">
        <v>2777</v>
      </c>
      <c r="IF38" s="2" t="s">
        <v>2983</v>
      </c>
      <c r="IG38" s="3" t="s">
        <v>2431</v>
      </c>
      <c r="IH38" s="3" t="s">
        <v>2431</v>
      </c>
      <c r="II38" s="3" t="s">
        <v>2431</v>
      </c>
      <c r="IJ38" s="3" t="s">
        <v>2431</v>
      </c>
      <c r="IK38" s="3" t="s">
        <v>2431</v>
      </c>
      <c r="IL38" s="3" t="s">
        <v>2431</v>
      </c>
      <c r="IM38" s="3" t="s">
        <v>2431</v>
      </c>
      <c r="IN38" s="3" t="s">
        <v>2431</v>
      </c>
      <c r="JH38" s="175" t="s">
        <v>3001</v>
      </c>
      <c r="JI38" s="171" t="s">
        <v>2354</v>
      </c>
      <c r="JJ38" s="171" t="s">
        <v>2355</v>
      </c>
      <c r="JK38" s="171" t="s">
        <v>2356</v>
      </c>
      <c r="JL38" s="172" t="s">
        <v>2357</v>
      </c>
      <c r="JM38" s="171" t="s">
        <v>2358</v>
      </c>
      <c r="JN38" s="171" t="s">
        <v>2359</v>
      </c>
      <c r="JO38" s="171" t="s">
        <v>2360</v>
      </c>
      <c r="JP38" s="172" t="s">
        <v>2361</v>
      </c>
      <c r="JQ38" s="6" t="s">
        <v>2480</v>
      </c>
      <c r="KB38" s="136"/>
      <c r="KC38" s="3"/>
      <c r="KD38" s="3"/>
      <c r="KE38" s="3"/>
      <c r="KF38" s="136"/>
      <c r="KG38" s="136"/>
      <c r="KH38" s="175" t="s">
        <v>3001</v>
      </c>
      <c r="KI38" s="171" t="s">
        <v>2354</v>
      </c>
      <c r="KJ38" s="171" t="s">
        <v>2355</v>
      </c>
      <c r="KK38" s="171" t="s">
        <v>2356</v>
      </c>
      <c r="KL38" s="172" t="s">
        <v>2357</v>
      </c>
      <c r="KM38" s="171" t="s">
        <v>2358</v>
      </c>
      <c r="KN38" s="171" t="s">
        <v>2359</v>
      </c>
      <c r="KO38" s="171" t="s">
        <v>2360</v>
      </c>
      <c r="KP38" s="172" t="s">
        <v>2361</v>
      </c>
      <c r="KQ38" s="6" t="s">
        <v>2480</v>
      </c>
      <c r="LE38" s="168"/>
      <c r="LF38" s="3"/>
      <c r="LG38" s="2"/>
      <c r="LH38" s="157"/>
      <c r="LI38" s="3"/>
      <c r="LJ38" s="3"/>
      <c r="LK38" s="3"/>
      <c r="LL38" s="3"/>
      <c r="LM38" s="2"/>
      <c r="LN38" s="93"/>
      <c r="LO38" s="3"/>
      <c r="LP38" s="3"/>
      <c r="LQ38" s="3"/>
      <c r="LR38" s="2"/>
      <c r="LS38" s="85"/>
      <c r="LT38" s="3"/>
      <c r="LU38" s="3"/>
      <c r="LV38" s="3"/>
      <c r="LW38" s="3"/>
      <c r="LX38" s="2"/>
      <c r="LY38" s="168"/>
      <c r="LZ38" s="2" t="s">
        <v>2777</v>
      </c>
      <c r="MA38" s="2" t="s">
        <v>2983</v>
      </c>
      <c r="MB38" s="3" t="s">
        <v>2431</v>
      </c>
      <c r="MC38" s="3" t="s">
        <v>2431</v>
      </c>
      <c r="MD38" s="3" t="s">
        <v>2431</v>
      </c>
      <c r="ME38" s="3" t="s">
        <v>2431</v>
      </c>
      <c r="MF38" s="3" t="s">
        <v>2431</v>
      </c>
      <c r="MG38" s="3" t="s">
        <v>2431</v>
      </c>
      <c r="MH38" s="3" t="s">
        <v>2431</v>
      </c>
      <c r="MI38" s="3" t="s">
        <v>2431</v>
      </c>
      <c r="MJ38" s="2"/>
      <c r="MZ38" s="439"/>
      <c r="NL38" s="3"/>
      <c r="NM38" s="3"/>
      <c r="NN38" s="3"/>
      <c r="NO38" s="3"/>
      <c r="NP38" s="3"/>
      <c r="NQ38" s="3"/>
      <c r="NR38" s="3"/>
      <c r="NS38" s="3"/>
    </row>
    <row r="39" spans="1:383" ht="195">
      <c r="A39" s="72">
        <v>3</v>
      </c>
      <c r="B39" s="67" t="s">
        <v>2405</v>
      </c>
      <c r="C39" s="17" t="s">
        <v>600</v>
      </c>
      <c r="D39" s="17">
        <v>6976616585</v>
      </c>
      <c r="E39" s="36" t="s">
        <v>1977</v>
      </c>
      <c r="F39" s="1365" t="s">
        <v>2995</v>
      </c>
      <c r="G39" s="1160"/>
      <c r="H39" s="1366"/>
      <c r="I39" s="300" t="s">
        <v>575</v>
      </c>
      <c r="J39" s="198"/>
      <c r="M39" s="3">
        <v>5</v>
      </c>
      <c r="AM39" s="273">
        <v>45797</v>
      </c>
      <c r="AN39" s="274" t="s">
        <v>1685</v>
      </c>
      <c r="AO39" s="274"/>
      <c r="AP39" s="274"/>
      <c r="AS39" s="273">
        <v>45825</v>
      </c>
      <c r="AT39" s="274" t="s">
        <v>1685</v>
      </c>
      <c r="AU39" s="274"/>
      <c r="AV39" s="274"/>
      <c r="DI39" s="81"/>
      <c r="DJ39" s="2" t="s">
        <v>3002</v>
      </c>
      <c r="DK39" s="81"/>
      <c r="DL39" s="81"/>
      <c r="DM39" s="2" t="s">
        <v>3003</v>
      </c>
      <c r="DN39" s="1145"/>
      <c r="DO39" s="1145"/>
      <c r="DP39" s="1145"/>
      <c r="DQ39" s="1145"/>
      <c r="FK39" s="121" t="s">
        <v>2980</v>
      </c>
      <c r="FL39" s="53" t="s">
        <v>3004</v>
      </c>
      <c r="FM39" s="53" t="s">
        <v>3005</v>
      </c>
      <c r="FN39" s="53" t="s">
        <v>3006</v>
      </c>
      <c r="FO39" s="122" t="s">
        <v>2520</v>
      </c>
      <c r="FP39" s="53"/>
      <c r="FQ39" s="53"/>
      <c r="FR39" s="53"/>
      <c r="GM39" s="184" t="s">
        <v>2525</v>
      </c>
      <c r="GN39" s="173">
        <f t="shared" ref="GN39:GU39" si="44">COUNTIFS($BA$2:$BA$425,"ΚΑΛΟΓΕΡΑΚΗΣ ΜΙΧΑΗΛ",IG$2:IG$425,"κακή")</f>
        <v>0</v>
      </c>
      <c r="GO39" s="173">
        <f t="shared" si="44"/>
        <v>0</v>
      </c>
      <c r="GP39" s="173">
        <f t="shared" si="44"/>
        <v>0</v>
      </c>
      <c r="GQ39" s="173">
        <f t="shared" si="44"/>
        <v>0</v>
      </c>
      <c r="GR39" s="173">
        <f t="shared" si="44"/>
        <v>0</v>
      </c>
      <c r="GS39" s="173">
        <f t="shared" si="44"/>
        <v>0</v>
      </c>
      <c r="GT39" s="173">
        <f t="shared" si="44"/>
        <v>0</v>
      </c>
      <c r="GU39" s="173">
        <f t="shared" si="44"/>
        <v>0</v>
      </c>
      <c r="GV39" s="170">
        <f>SUM(GR39:GU39)</f>
        <v>0</v>
      </c>
      <c r="HJ39" s="168"/>
      <c r="HM39" s="157"/>
      <c r="HS39" s="93"/>
      <c r="HX39" s="85"/>
      <c r="ID39" s="168"/>
      <c r="IE39" s="2" t="s">
        <v>2777</v>
      </c>
      <c r="IF39" s="2" t="s">
        <v>2983</v>
      </c>
      <c r="IG39" s="3" t="s">
        <v>2435</v>
      </c>
      <c r="IH39" s="3" t="s">
        <v>2434</v>
      </c>
      <c r="II39" s="3" t="s">
        <v>2435</v>
      </c>
      <c r="IJ39" s="3" t="s">
        <v>2432</v>
      </c>
      <c r="IK39" s="3" t="s">
        <v>2435</v>
      </c>
      <c r="IL39" s="3" t="s">
        <v>2435</v>
      </c>
      <c r="IM39" s="3" t="s">
        <v>2435</v>
      </c>
      <c r="IN39" s="3" t="s">
        <v>2434</v>
      </c>
      <c r="IO39" s="2" t="s">
        <v>3007</v>
      </c>
      <c r="JH39" s="184" t="s">
        <v>2525</v>
      </c>
      <c r="JI39" s="173" t="e">
        <f>#REF!</f>
        <v>#REF!</v>
      </c>
      <c r="JJ39" s="173" t="e">
        <f>#REF!</f>
        <v>#REF!</v>
      </c>
      <c r="JK39" s="173" t="e">
        <f>#REF!</f>
        <v>#REF!</v>
      </c>
      <c r="JL39" s="173" t="e">
        <f>#REF!</f>
        <v>#REF!</v>
      </c>
      <c r="JM39" s="173" t="e">
        <f>#REF!</f>
        <v>#REF!</v>
      </c>
      <c r="JN39" s="173" t="e">
        <f>#REF!</f>
        <v>#REF!</v>
      </c>
      <c r="JO39" s="173" t="e">
        <f>#REF!</f>
        <v>#REF!</v>
      </c>
      <c r="JP39" s="173" t="e">
        <f>#REF!</f>
        <v>#REF!</v>
      </c>
      <c r="JQ39" s="170" t="e">
        <f>SUM(JM39:JP39)</f>
        <v>#REF!</v>
      </c>
      <c r="KB39" s="136"/>
      <c r="KC39" s="3"/>
      <c r="KD39" s="3"/>
      <c r="KE39" s="3"/>
      <c r="KF39" s="136"/>
      <c r="KG39" s="136"/>
      <c r="KH39" s="184" t="s">
        <v>2525</v>
      </c>
      <c r="KI39" s="173">
        <f t="shared" ref="KI39:KP39" si="45">COUNTIFS($BA$2:$BA$425,"ΚΑΛΟΓΕΡΑΚΗΣ ΜΙΧΑΗΛ",MB$2:MB$425,"κακή")</f>
        <v>0</v>
      </c>
      <c r="KJ39" s="173">
        <f t="shared" si="45"/>
        <v>0</v>
      </c>
      <c r="KK39" s="173">
        <f t="shared" si="45"/>
        <v>0</v>
      </c>
      <c r="KL39" s="173">
        <f t="shared" si="45"/>
        <v>0</v>
      </c>
      <c r="KM39" s="173">
        <f t="shared" si="45"/>
        <v>0</v>
      </c>
      <c r="KN39" s="173">
        <f t="shared" si="45"/>
        <v>0</v>
      </c>
      <c r="KO39" s="173">
        <f t="shared" si="45"/>
        <v>0</v>
      </c>
      <c r="KP39" s="173">
        <f t="shared" si="45"/>
        <v>0</v>
      </c>
      <c r="KQ39" s="170">
        <f>SUM(KM39:KP39)</f>
        <v>0</v>
      </c>
      <c r="LE39" s="168"/>
      <c r="LF39" s="3"/>
      <c r="LG39" s="2"/>
      <c r="LH39" s="157"/>
      <c r="LI39" s="3"/>
      <c r="LJ39" s="3"/>
      <c r="LK39" s="3"/>
      <c r="LL39" s="3"/>
      <c r="LM39" s="2"/>
      <c r="LN39" s="93"/>
      <c r="LO39" s="3"/>
      <c r="LP39" s="3"/>
      <c r="LQ39" s="3"/>
      <c r="LR39" s="2"/>
      <c r="LS39" s="85"/>
      <c r="LT39" s="3"/>
      <c r="LU39" s="3"/>
      <c r="LV39" s="3"/>
      <c r="LW39" s="3"/>
      <c r="LX39" s="2"/>
      <c r="LY39" s="168"/>
      <c r="LZ39" s="2" t="s">
        <v>2777</v>
      </c>
      <c r="MA39" s="2" t="s">
        <v>2983</v>
      </c>
      <c r="MB39" s="3" t="s">
        <v>2435</v>
      </c>
      <c r="MC39" s="3" t="s">
        <v>2434</v>
      </c>
      <c r="MD39" s="3" t="s">
        <v>2435</v>
      </c>
      <c r="ME39" s="3" t="s">
        <v>2432</v>
      </c>
      <c r="MF39" s="3" t="s">
        <v>2435</v>
      </c>
      <c r="MG39" s="3" t="s">
        <v>2435</v>
      </c>
      <c r="MH39" s="3" t="s">
        <v>2435</v>
      </c>
      <c r="MI39" s="3" t="s">
        <v>2434</v>
      </c>
      <c r="MJ39" s="2" t="s">
        <v>3007</v>
      </c>
      <c r="MZ39" s="439" t="s">
        <v>3008</v>
      </c>
      <c r="NL39" s="3"/>
      <c r="NM39" s="3"/>
      <c r="NN39" s="3"/>
      <c r="NO39" s="3"/>
      <c r="NP39" s="3"/>
      <c r="NQ39" s="3"/>
      <c r="NR39" s="3"/>
      <c r="NS39" s="3"/>
    </row>
    <row r="40" spans="1:383" ht="180.75" thickBot="1">
      <c r="A40" s="72">
        <v>4</v>
      </c>
      <c r="B40" s="67" t="s">
        <v>2406</v>
      </c>
      <c r="C40" s="17" t="s">
        <v>809</v>
      </c>
      <c r="D40" s="17">
        <v>6970651783</v>
      </c>
      <c r="E40" s="36" t="s">
        <v>1980</v>
      </c>
      <c r="F40" s="1365" t="s">
        <v>2995</v>
      </c>
      <c r="G40" s="1160"/>
      <c r="H40" s="1366"/>
      <c r="I40" s="300" t="s">
        <v>603</v>
      </c>
      <c r="J40" s="198"/>
      <c r="M40" s="366" t="s">
        <v>3009</v>
      </c>
      <c r="AM40" s="273">
        <v>45800</v>
      </c>
      <c r="AN40" s="274" t="s">
        <v>1685</v>
      </c>
      <c r="AO40" s="274"/>
      <c r="AP40" s="274"/>
      <c r="AS40" s="273">
        <v>45828</v>
      </c>
      <c r="AT40" s="274" t="s">
        <v>1685</v>
      </c>
      <c r="AU40" s="274"/>
      <c r="AV40" s="274"/>
      <c r="DI40" s="1338" t="s">
        <v>2980</v>
      </c>
      <c r="DJ40" s="1338"/>
      <c r="DK40" s="1338"/>
      <c r="DL40" s="1338"/>
      <c r="DM40" s="1338"/>
      <c r="DN40" s="91"/>
      <c r="DO40" s="91"/>
      <c r="DP40" s="91"/>
      <c r="DQ40" s="91"/>
      <c r="FK40" s="121" t="s">
        <v>2980</v>
      </c>
      <c r="FL40" s="53" t="s">
        <v>606</v>
      </c>
      <c r="FM40" s="53" t="s">
        <v>2856</v>
      </c>
      <c r="FN40" s="53" t="s">
        <v>2866</v>
      </c>
      <c r="FO40" s="127" t="s">
        <v>2598</v>
      </c>
      <c r="FP40" s="53"/>
      <c r="FQ40" s="53"/>
      <c r="FR40" s="53"/>
      <c r="GM40" s="184" t="s">
        <v>2435</v>
      </c>
      <c r="GN40" s="173">
        <f t="shared" ref="GN40:GU40" si="46">COUNTIFS($BA$2:$BA$425,"ΚΑΛΟΓΕΡΑΚΗΣ ΜΙΧΑΗΛ",IG$2:IG$425,"μέτρια")</f>
        <v>0</v>
      </c>
      <c r="GO40" s="173">
        <f t="shared" si="46"/>
        <v>0</v>
      </c>
      <c r="GP40" s="173">
        <f t="shared" si="46"/>
        <v>0</v>
      </c>
      <c r="GQ40" s="173">
        <f t="shared" si="46"/>
        <v>0</v>
      </c>
      <c r="GR40" s="173">
        <f t="shared" si="46"/>
        <v>0</v>
      </c>
      <c r="GS40" s="173">
        <f t="shared" si="46"/>
        <v>0</v>
      </c>
      <c r="GT40" s="173">
        <f t="shared" si="46"/>
        <v>0</v>
      </c>
      <c r="GU40" s="173">
        <f t="shared" si="46"/>
        <v>0</v>
      </c>
      <c r="GV40" s="170">
        <f>SUM(GR40:GU40)</f>
        <v>0</v>
      </c>
      <c r="HJ40" s="168"/>
      <c r="HM40" s="157"/>
      <c r="HS40" s="93"/>
      <c r="HX40" s="85"/>
      <c r="ID40" s="168"/>
      <c r="IE40" s="2" t="s">
        <v>2777</v>
      </c>
      <c r="IF40" s="2" t="s">
        <v>2983</v>
      </c>
      <c r="IG40" s="3" t="s">
        <v>2431</v>
      </c>
      <c r="IH40" s="3" t="s">
        <v>2431</v>
      </c>
      <c r="II40" s="3" t="s">
        <v>2431</v>
      </c>
      <c r="IJ40" s="3" t="s">
        <v>2431</v>
      </c>
      <c r="IK40" s="3" t="s">
        <v>2431</v>
      </c>
      <c r="IL40" s="3" t="s">
        <v>2431</v>
      </c>
      <c r="IM40" s="3" t="s">
        <v>2431</v>
      </c>
      <c r="IN40" s="3" t="s">
        <v>2433</v>
      </c>
      <c r="JH40" s="184" t="s">
        <v>2435</v>
      </c>
      <c r="JI40" s="173" t="e">
        <f>#REF!</f>
        <v>#REF!</v>
      </c>
      <c r="JJ40" s="173" t="e">
        <f>#REF!</f>
        <v>#REF!</v>
      </c>
      <c r="JK40" s="173" t="e">
        <f>#REF!</f>
        <v>#REF!</v>
      </c>
      <c r="JL40" s="173" t="e">
        <f>#REF!</f>
        <v>#REF!</v>
      </c>
      <c r="JM40" s="173" t="e">
        <f>#REF!</f>
        <v>#REF!</v>
      </c>
      <c r="JN40" s="173" t="e">
        <f>#REF!</f>
        <v>#REF!</v>
      </c>
      <c r="JO40" s="173" t="e">
        <f>#REF!</f>
        <v>#REF!</v>
      </c>
      <c r="JP40" s="173" t="e">
        <f>#REF!</f>
        <v>#REF!</v>
      </c>
      <c r="JQ40" s="170" t="e">
        <f>SUM(JM40:JP40)</f>
        <v>#REF!</v>
      </c>
      <c r="KB40" s="136"/>
      <c r="KC40" s="3"/>
      <c r="KD40" s="3"/>
      <c r="KE40" s="3"/>
      <c r="KF40" s="136"/>
      <c r="KG40" s="136"/>
      <c r="KH40" s="184" t="s">
        <v>2435</v>
      </c>
      <c r="KI40" s="173">
        <f t="shared" ref="KI40:KP40" si="47">COUNTIFS($BA$2:$BA$425,"ΚΑΛΟΓΕΡΑΚΗΣ ΜΙΧΑΗΛ",MB$2:MB$425,"μέτρια")</f>
        <v>0</v>
      </c>
      <c r="KJ40" s="173">
        <f t="shared" si="47"/>
        <v>0</v>
      </c>
      <c r="KK40" s="173">
        <f t="shared" si="47"/>
        <v>0</v>
      </c>
      <c r="KL40" s="173">
        <f t="shared" si="47"/>
        <v>0</v>
      </c>
      <c r="KM40" s="173">
        <f t="shared" si="47"/>
        <v>0</v>
      </c>
      <c r="KN40" s="173">
        <f t="shared" si="47"/>
        <v>0</v>
      </c>
      <c r="KO40" s="173">
        <f t="shared" si="47"/>
        <v>0</v>
      </c>
      <c r="KP40" s="173">
        <f t="shared" si="47"/>
        <v>0</v>
      </c>
      <c r="KQ40" s="170">
        <f>SUM(KM40:KP40)</f>
        <v>0</v>
      </c>
      <c r="LE40" s="168"/>
      <c r="LF40" s="3"/>
      <c r="LG40" s="2"/>
      <c r="LH40" s="157"/>
      <c r="LI40" s="3"/>
      <c r="LJ40" s="3"/>
      <c r="LK40" s="3"/>
      <c r="LL40" s="3"/>
      <c r="LM40" s="2"/>
      <c r="LN40" s="93"/>
      <c r="LO40" s="3"/>
      <c r="LP40" s="3"/>
      <c r="LQ40" s="3"/>
      <c r="LR40" s="2"/>
      <c r="LS40" s="85"/>
      <c r="LT40" s="3"/>
      <c r="LU40" s="3"/>
      <c r="LV40" s="3"/>
      <c r="LW40" s="3"/>
      <c r="LX40" s="2"/>
      <c r="LY40" s="168"/>
      <c r="LZ40" s="2" t="s">
        <v>2777</v>
      </c>
      <c r="MA40" s="2" t="s">
        <v>2983</v>
      </c>
      <c r="MB40" s="3" t="s">
        <v>2431</v>
      </c>
      <c r="MC40" s="3" t="s">
        <v>2431</v>
      </c>
      <c r="MD40" s="3" t="s">
        <v>2431</v>
      </c>
      <c r="ME40" s="3" t="s">
        <v>2431</v>
      </c>
      <c r="MF40" s="3" t="s">
        <v>2431</v>
      </c>
      <c r="MG40" s="3" t="s">
        <v>2431</v>
      </c>
      <c r="MH40" s="3" t="s">
        <v>2431</v>
      </c>
      <c r="MI40" s="3" t="s">
        <v>2433</v>
      </c>
      <c r="MJ40" s="2"/>
      <c r="NL40" s="3"/>
      <c r="NM40" s="3"/>
      <c r="NN40" s="3"/>
      <c r="NO40" s="3"/>
      <c r="NP40" s="3"/>
      <c r="NQ40" s="3"/>
      <c r="NR40" s="3"/>
      <c r="NS40" s="3"/>
    </row>
    <row r="41" spans="1:383" ht="180.75" thickBot="1">
      <c r="A41" s="72">
        <v>5</v>
      </c>
      <c r="B41" s="67" t="s">
        <v>2407</v>
      </c>
      <c r="C41" s="17" t="s">
        <v>809</v>
      </c>
      <c r="D41" s="17">
        <v>6934025019</v>
      </c>
      <c r="E41" s="36" t="s">
        <v>3010</v>
      </c>
      <c r="F41" s="1365" t="s">
        <v>2995</v>
      </c>
      <c r="G41" s="1160"/>
      <c r="H41" s="1366"/>
      <c r="I41" s="300" t="s">
        <v>2716</v>
      </c>
      <c r="J41" s="198"/>
      <c r="M41" s="3">
        <v>0</v>
      </c>
      <c r="AM41" s="273">
        <v>45801</v>
      </c>
      <c r="AN41" s="274" t="s">
        <v>1685</v>
      </c>
      <c r="AO41" s="274"/>
      <c r="AP41" s="274"/>
      <c r="AS41" s="273">
        <v>45829</v>
      </c>
      <c r="AT41" s="274" t="s">
        <v>1685</v>
      </c>
      <c r="AU41" s="274"/>
      <c r="AV41" s="274"/>
      <c r="DJ41" s="2" t="s">
        <v>3011</v>
      </c>
      <c r="DK41" s="81"/>
      <c r="DL41" s="81"/>
      <c r="DM41" s="81"/>
      <c r="DN41" s="1337" t="s">
        <v>3012</v>
      </c>
      <c r="DO41" s="1145"/>
      <c r="DP41" s="1145"/>
      <c r="DQ41" s="1145"/>
      <c r="FK41" s="121" t="s">
        <v>2980</v>
      </c>
      <c r="FL41" s="53" t="s">
        <v>3013</v>
      </c>
      <c r="FM41" s="53" t="s">
        <v>3014</v>
      </c>
      <c r="FN41" s="96" t="s">
        <v>2876</v>
      </c>
      <c r="FO41" s="127" t="s">
        <v>2598</v>
      </c>
      <c r="FP41" s="53"/>
      <c r="FQ41" s="53"/>
      <c r="FR41" s="53"/>
      <c r="GM41" s="184" t="s">
        <v>2603</v>
      </c>
      <c r="GN41" s="173">
        <f t="shared" ref="GN41:GU41" si="48">COUNTIFS($BA$2:$BA$425,"ΚΑΛΟΓΕΡΑΚΗΣ ΜΙΧΑΗΛ",IG$2:IG$425,"καλή")</f>
        <v>0</v>
      </c>
      <c r="GO41" s="173">
        <f t="shared" si="48"/>
        <v>0</v>
      </c>
      <c r="GP41" s="173">
        <f t="shared" si="48"/>
        <v>0</v>
      </c>
      <c r="GQ41" s="173">
        <f t="shared" si="48"/>
        <v>0</v>
      </c>
      <c r="GR41" s="173">
        <f t="shared" si="48"/>
        <v>0</v>
      </c>
      <c r="GS41" s="173">
        <f t="shared" si="48"/>
        <v>0</v>
      </c>
      <c r="GT41" s="173">
        <f t="shared" si="48"/>
        <v>0</v>
      </c>
      <c r="GU41" s="173">
        <f t="shared" si="48"/>
        <v>0</v>
      </c>
      <c r="GV41" s="199">
        <f>SUM(GR41:GU41)</f>
        <v>0</v>
      </c>
      <c r="HJ41" s="168"/>
      <c r="HM41" s="157"/>
      <c r="HS41" s="93"/>
      <c r="HX41" s="85"/>
      <c r="ID41" s="168"/>
      <c r="IE41" s="2" t="s">
        <v>2777</v>
      </c>
      <c r="IF41" s="2" t="s">
        <v>2983</v>
      </c>
      <c r="IG41" s="3" t="s">
        <v>2431</v>
      </c>
      <c r="IH41" s="3" t="s">
        <v>2431</v>
      </c>
      <c r="II41" s="3" t="s">
        <v>2431</v>
      </c>
      <c r="IJ41" s="3" t="s">
        <v>2431</v>
      </c>
      <c r="IK41" s="3" t="s">
        <v>2431</v>
      </c>
      <c r="IL41" s="3" t="s">
        <v>2431</v>
      </c>
      <c r="IM41" s="3" t="s">
        <v>2431</v>
      </c>
      <c r="IN41" s="3" t="s">
        <v>2431</v>
      </c>
      <c r="JH41" s="184" t="s">
        <v>2603</v>
      </c>
      <c r="JI41" s="173" t="e">
        <f>#REF!</f>
        <v>#REF!</v>
      </c>
      <c r="JJ41" s="173" t="e">
        <f>#REF!</f>
        <v>#REF!</v>
      </c>
      <c r="JK41" s="173" t="e">
        <f>#REF!</f>
        <v>#REF!</v>
      </c>
      <c r="JL41" s="173" t="e">
        <f>#REF!</f>
        <v>#REF!</v>
      </c>
      <c r="JM41" s="173" t="e">
        <f>#REF!</f>
        <v>#REF!</v>
      </c>
      <c r="JN41" s="173" t="e">
        <f>#REF!</f>
        <v>#REF!</v>
      </c>
      <c r="JO41" s="173" t="e">
        <f>#REF!</f>
        <v>#REF!</v>
      </c>
      <c r="JP41" s="173" t="e">
        <f>#REF!</f>
        <v>#REF!</v>
      </c>
      <c r="JQ41" s="199" t="e">
        <f>SUM(JM41:JP41)</f>
        <v>#REF!</v>
      </c>
      <c r="KB41" s="136"/>
      <c r="KC41" s="3"/>
      <c r="KD41" s="3"/>
      <c r="KE41" s="3"/>
      <c r="KF41" s="136"/>
      <c r="KG41" s="136"/>
      <c r="KH41" s="184" t="s">
        <v>2603</v>
      </c>
      <c r="KI41" s="173">
        <f t="shared" ref="KI41:KP41" si="49">COUNTIFS($BA$2:$BA$425,"ΚΑΛΟΓΕΡΑΚΗΣ ΜΙΧΑΗΛ",MB$2:MB$425,"καλή")</f>
        <v>0</v>
      </c>
      <c r="KJ41" s="173">
        <f t="shared" si="49"/>
        <v>0</v>
      </c>
      <c r="KK41" s="173">
        <f t="shared" si="49"/>
        <v>0</v>
      </c>
      <c r="KL41" s="173">
        <f t="shared" si="49"/>
        <v>0</v>
      </c>
      <c r="KM41" s="173">
        <f t="shared" si="49"/>
        <v>0</v>
      </c>
      <c r="KN41" s="173">
        <f t="shared" si="49"/>
        <v>0</v>
      </c>
      <c r="KO41" s="173">
        <f t="shared" si="49"/>
        <v>0</v>
      </c>
      <c r="KP41" s="173">
        <f t="shared" si="49"/>
        <v>0</v>
      </c>
      <c r="KQ41" s="199">
        <f>SUM(KM41:KP41)</f>
        <v>0</v>
      </c>
      <c r="LE41" s="168"/>
      <c r="LF41" s="3"/>
      <c r="LG41" s="2"/>
      <c r="LH41" s="157"/>
      <c r="LI41" s="3"/>
      <c r="LJ41" s="3"/>
      <c r="LK41" s="3"/>
      <c r="LL41" s="3"/>
      <c r="LM41" s="2"/>
      <c r="LN41" s="93"/>
      <c r="LO41" s="3"/>
      <c r="LP41" s="3"/>
      <c r="LQ41" s="3"/>
      <c r="LR41" s="2"/>
      <c r="LS41" s="85"/>
      <c r="LT41" s="3"/>
      <c r="LU41" s="3"/>
      <c r="LV41" s="3"/>
      <c r="LW41" s="3"/>
      <c r="LX41" s="2"/>
      <c r="LY41" s="168"/>
      <c r="LZ41" s="2" t="s">
        <v>2777</v>
      </c>
      <c r="MA41" s="2" t="s">
        <v>2983</v>
      </c>
      <c r="MB41" s="3" t="s">
        <v>2431</v>
      </c>
      <c r="MC41" s="3" t="s">
        <v>2431</v>
      </c>
      <c r="MD41" s="3" t="s">
        <v>2431</v>
      </c>
      <c r="ME41" s="3" t="s">
        <v>2431</v>
      </c>
      <c r="MF41" s="3" t="s">
        <v>2431</v>
      </c>
      <c r="MG41" s="3" t="s">
        <v>2431</v>
      </c>
      <c r="MH41" s="3" t="s">
        <v>2431</v>
      </c>
      <c r="MI41" s="3" t="s">
        <v>2431</v>
      </c>
      <c r="MJ41" s="2"/>
      <c r="NL41" s="3"/>
      <c r="NM41" s="3"/>
      <c r="NN41" s="3"/>
      <c r="NO41" s="3"/>
      <c r="NP41" s="3"/>
      <c r="NQ41" s="3"/>
      <c r="NR41" s="3"/>
      <c r="NS41" s="3"/>
    </row>
    <row r="42" spans="1:383" ht="165.75" thickBot="1">
      <c r="A42" s="72">
        <v>6</v>
      </c>
      <c r="B42" s="298" t="s">
        <v>3015</v>
      </c>
      <c r="C42" s="17" t="s">
        <v>3016</v>
      </c>
      <c r="D42" s="17">
        <v>6973549071</v>
      </c>
      <c r="E42" s="36" t="s">
        <v>3017</v>
      </c>
      <c r="F42" s="1365" t="s">
        <v>2995</v>
      </c>
      <c r="G42" s="1160"/>
      <c r="H42" s="1366"/>
      <c r="I42" s="300" t="s">
        <v>2616</v>
      </c>
      <c r="J42" s="198"/>
      <c r="M42" s="3">
        <v>0</v>
      </c>
      <c r="AM42" s="275">
        <v>45804</v>
      </c>
      <c r="AN42" s="276" t="s">
        <v>1685</v>
      </c>
      <c r="AO42" s="276"/>
      <c r="AP42" s="276"/>
      <c r="AS42" s="275">
        <v>45832</v>
      </c>
      <c r="AT42" s="276" t="s">
        <v>1685</v>
      </c>
      <c r="AU42" s="276"/>
      <c r="AV42" s="276"/>
      <c r="DI42" s="2" t="s">
        <v>3018</v>
      </c>
      <c r="DJ42" s="2" t="s">
        <v>3019</v>
      </c>
      <c r="DK42" s="2" t="s">
        <v>3020</v>
      </c>
      <c r="DL42" s="2" t="s">
        <v>3018</v>
      </c>
      <c r="DM42" s="81"/>
      <c r="DN42" s="1145"/>
      <c r="DO42" s="1145"/>
      <c r="DP42" s="1145"/>
      <c r="DQ42" s="1145"/>
      <c r="FK42" s="121" t="s">
        <v>2980</v>
      </c>
      <c r="FL42" s="53" t="s">
        <v>614</v>
      </c>
      <c r="FM42" s="53" t="s">
        <v>115</v>
      </c>
      <c r="FN42" s="96" t="s">
        <v>3021</v>
      </c>
      <c r="FO42" s="123" t="s">
        <v>2731</v>
      </c>
      <c r="FP42" s="53"/>
      <c r="FQ42" s="53"/>
      <c r="FR42" s="53"/>
      <c r="GM42" s="184" t="s">
        <v>2639</v>
      </c>
      <c r="GN42" s="173">
        <f t="shared" ref="GN42:GU42" si="50">COUNTIFS($BA$2:$BA$425,"ΚΑΛΟΓΕΡΑΚΗΣ ΜΙΧΑΗΛ",IG$2:IG$425,"πολύ καλή")</f>
        <v>0</v>
      </c>
      <c r="GO42" s="173">
        <f t="shared" si="50"/>
        <v>0</v>
      </c>
      <c r="GP42" s="173">
        <f t="shared" si="50"/>
        <v>0</v>
      </c>
      <c r="GQ42" s="173">
        <f t="shared" si="50"/>
        <v>0</v>
      </c>
      <c r="GR42" s="173">
        <f t="shared" si="50"/>
        <v>0</v>
      </c>
      <c r="GS42" s="173">
        <f t="shared" si="50"/>
        <v>0</v>
      </c>
      <c r="GT42" s="173">
        <f t="shared" si="50"/>
        <v>0</v>
      </c>
      <c r="GU42" s="173">
        <f t="shared" si="50"/>
        <v>0</v>
      </c>
      <c r="GV42" s="199">
        <f>SUM(GR42:GU42)</f>
        <v>0</v>
      </c>
      <c r="HJ42" s="168"/>
      <c r="HM42" s="157"/>
      <c r="HS42" s="93"/>
      <c r="HX42" s="85"/>
      <c r="ID42" s="168"/>
      <c r="IE42" s="2" t="s">
        <v>2859</v>
      </c>
      <c r="IF42" s="2" t="s">
        <v>1677</v>
      </c>
      <c r="IG42" s="3" t="s">
        <v>2433</v>
      </c>
      <c r="IH42" s="3" t="s">
        <v>2431</v>
      </c>
      <c r="II42" s="3" t="s">
        <v>2431</v>
      </c>
      <c r="IJ42" s="3" t="s">
        <v>2432</v>
      </c>
      <c r="IK42" s="3" t="s">
        <v>2433</v>
      </c>
      <c r="IL42" s="3" t="s">
        <v>2431</v>
      </c>
      <c r="IM42" s="3" t="s">
        <v>2431</v>
      </c>
      <c r="IN42" s="3" t="s">
        <v>2431</v>
      </c>
      <c r="JH42" s="184" t="s">
        <v>2639</v>
      </c>
      <c r="JI42" s="173" t="e">
        <f>#REF!</f>
        <v>#REF!</v>
      </c>
      <c r="JJ42" s="173" t="e">
        <f>#REF!</f>
        <v>#REF!</v>
      </c>
      <c r="JK42" s="173" t="e">
        <f>#REF!</f>
        <v>#REF!</v>
      </c>
      <c r="JL42" s="173" t="e">
        <f>#REF!</f>
        <v>#REF!</v>
      </c>
      <c r="JM42" s="173" t="e">
        <f>#REF!</f>
        <v>#REF!</v>
      </c>
      <c r="JN42" s="173" t="e">
        <f>#REF!</f>
        <v>#REF!</v>
      </c>
      <c r="JO42" s="173" t="e">
        <f>#REF!</f>
        <v>#REF!</v>
      </c>
      <c r="JP42" s="173" t="e">
        <f>#REF!</f>
        <v>#REF!</v>
      </c>
      <c r="JQ42" s="199" t="e">
        <f>SUM(JM42:JP42)</f>
        <v>#REF!</v>
      </c>
      <c r="KB42" s="136"/>
      <c r="KC42" s="3"/>
      <c r="KD42" s="3"/>
      <c r="KE42" s="3"/>
      <c r="KF42" s="136"/>
      <c r="KG42" s="136"/>
      <c r="KH42" s="184" t="s">
        <v>2639</v>
      </c>
      <c r="KI42" s="173">
        <f t="shared" ref="KI42:KP42" si="51">COUNTIFS($BA$2:$BA$425,"ΚΑΛΟΓΕΡΑΚΗΣ ΜΙΧΑΗΛ",MB$2:MB$425,"πολύ καλή")</f>
        <v>0</v>
      </c>
      <c r="KJ42" s="173">
        <f t="shared" si="51"/>
        <v>0</v>
      </c>
      <c r="KK42" s="173">
        <f t="shared" si="51"/>
        <v>0</v>
      </c>
      <c r="KL42" s="173">
        <f t="shared" si="51"/>
        <v>0</v>
      </c>
      <c r="KM42" s="173">
        <f t="shared" si="51"/>
        <v>0</v>
      </c>
      <c r="KN42" s="173">
        <f t="shared" si="51"/>
        <v>0</v>
      </c>
      <c r="KO42" s="173">
        <f t="shared" si="51"/>
        <v>0</v>
      </c>
      <c r="KP42" s="173">
        <f t="shared" si="51"/>
        <v>0</v>
      </c>
      <c r="KQ42" s="199">
        <f>SUM(KM42:KP42)</f>
        <v>0</v>
      </c>
      <c r="LE42" s="168"/>
      <c r="LF42" s="3"/>
      <c r="LG42" s="2"/>
      <c r="LH42" s="157"/>
      <c r="LI42" s="3"/>
      <c r="LJ42" s="3"/>
      <c r="LK42" s="3"/>
      <c r="LL42" s="3"/>
      <c r="LM42" s="2"/>
      <c r="LN42" s="93"/>
      <c r="LO42" s="3"/>
      <c r="LP42" s="3"/>
      <c r="LQ42" s="3"/>
      <c r="LR42" s="2"/>
      <c r="LS42" s="85"/>
      <c r="LT42" s="3"/>
      <c r="LU42" s="3"/>
      <c r="LV42" s="3"/>
      <c r="LW42" s="3"/>
      <c r="LX42" s="2"/>
      <c r="LY42" s="168"/>
      <c r="LZ42" s="2" t="s">
        <v>2859</v>
      </c>
      <c r="MA42" s="2" t="s">
        <v>1677</v>
      </c>
      <c r="MB42" s="3" t="s">
        <v>2433</v>
      </c>
      <c r="MC42" s="3" t="s">
        <v>2431</v>
      </c>
      <c r="MD42" s="3" t="s">
        <v>2431</v>
      </c>
      <c r="ME42" s="3" t="s">
        <v>2432</v>
      </c>
      <c r="MF42" s="3" t="s">
        <v>2433</v>
      </c>
      <c r="MG42" s="3" t="s">
        <v>2431</v>
      </c>
      <c r="MH42" s="3" t="s">
        <v>2431</v>
      </c>
      <c r="MI42" s="3" t="s">
        <v>2431</v>
      </c>
      <c r="MJ42" s="2"/>
      <c r="NL42" s="3"/>
      <c r="NM42" s="3"/>
      <c r="NN42" s="3"/>
      <c r="NO42" s="3"/>
      <c r="NP42" s="3"/>
      <c r="NQ42" s="3"/>
      <c r="NR42" s="3"/>
      <c r="NS42" s="3"/>
    </row>
    <row r="43" spans="1:383" ht="165.75" thickBot="1">
      <c r="A43" s="72">
        <v>7</v>
      </c>
      <c r="B43" s="298" t="s">
        <v>3022</v>
      </c>
      <c r="C43" s="17" t="s">
        <v>773</v>
      </c>
      <c r="D43" s="17">
        <v>6932736849</v>
      </c>
      <c r="E43" s="36" t="s">
        <v>3023</v>
      </c>
      <c r="F43" s="1365" t="s">
        <v>2995</v>
      </c>
      <c r="G43" s="1160"/>
      <c r="H43" s="1366"/>
      <c r="I43" s="300" t="s">
        <v>2587</v>
      </c>
      <c r="J43" s="198"/>
      <c r="M43" s="3">
        <v>0</v>
      </c>
      <c r="AM43" s="275">
        <v>45807</v>
      </c>
      <c r="AN43" s="276" t="s">
        <v>1685</v>
      </c>
      <c r="AO43" s="276"/>
      <c r="AP43" s="276"/>
      <c r="AS43" s="275">
        <v>45835</v>
      </c>
      <c r="AT43" s="276" t="s">
        <v>1685</v>
      </c>
      <c r="AU43" s="276"/>
      <c r="AV43" s="276"/>
      <c r="DI43" s="2" t="s">
        <v>3024</v>
      </c>
      <c r="DJ43" s="2" t="s">
        <v>3025</v>
      </c>
      <c r="DK43" s="2" t="s">
        <v>3026</v>
      </c>
      <c r="DL43" s="2" t="s">
        <v>3024</v>
      </c>
      <c r="DM43" s="81"/>
      <c r="DN43" s="1145"/>
      <c r="DO43" s="1145"/>
      <c r="DP43" s="1145"/>
      <c r="DQ43" s="1145"/>
      <c r="GM43" s="185" t="s">
        <v>2431</v>
      </c>
      <c r="GN43" s="187">
        <f t="shared" ref="GN43:GU43" si="52">COUNTIFS($BA$2:$BA$425,"ΚΑΛΟΓΕΡΑΚΗΣ ΜΙΧΑΗΛ",IG$2:IG$425,"άριστη")</f>
        <v>0</v>
      </c>
      <c r="GO43" s="187">
        <f t="shared" si="52"/>
        <v>0</v>
      </c>
      <c r="GP43" s="187">
        <f t="shared" si="52"/>
        <v>0</v>
      </c>
      <c r="GQ43" s="187">
        <f t="shared" si="52"/>
        <v>0</v>
      </c>
      <c r="GR43" s="187">
        <f t="shared" si="52"/>
        <v>0</v>
      </c>
      <c r="GS43" s="187">
        <f t="shared" si="52"/>
        <v>0</v>
      </c>
      <c r="GT43" s="187">
        <f t="shared" si="52"/>
        <v>0</v>
      </c>
      <c r="GU43" s="187">
        <f t="shared" si="52"/>
        <v>0</v>
      </c>
      <c r="GV43" s="199">
        <f>SUM(GR43:GU43)</f>
        <v>0</v>
      </c>
      <c r="HJ43" s="168"/>
      <c r="HM43" s="157"/>
      <c r="HS43" s="93"/>
      <c r="HX43" s="85"/>
      <c r="ID43" s="168"/>
      <c r="IE43" s="2" t="s">
        <v>2859</v>
      </c>
      <c r="IF43" s="2" t="s">
        <v>1672</v>
      </c>
      <c r="IG43" s="3" t="s">
        <v>2431</v>
      </c>
      <c r="IH43" s="3" t="s">
        <v>2433</v>
      </c>
      <c r="II43" s="3" t="s">
        <v>2432</v>
      </c>
      <c r="IJ43" s="3" t="s">
        <v>2431</v>
      </c>
      <c r="IK43" s="3" t="s">
        <v>2431</v>
      </c>
      <c r="IL43" s="3" t="s">
        <v>2433</v>
      </c>
      <c r="IM43" s="3" t="s">
        <v>2433</v>
      </c>
      <c r="IN43" s="3" t="s">
        <v>2432</v>
      </c>
      <c r="JH43" s="185" t="s">
        <v>2431</v>
      </c>
      <c r="JI43" s="173" t="e">
        <f>#REF!</f>
        <v>#REF!</v>
      </c>
      <c r="JJ43" s="173" t="e">
        <f>#REF!</f>
        <v>#REF!</v>
      </c>
      <c r="JK43" s="173" t="e">
        <f>#REF!</f>
        <v>#REF!</v>
      </c>
      <c r="JL43" s="173" t="e">
        <f>#REF!</f>
        <v>#REF!</v>
      </c>
      <c r="JM43" s="173" t="e">
        <f>#REF!</f>
        <v>#REF!</v>
      </c>
      <c r="JN43" s="173" t="e">
        <f>#REF!</f>
        <v>#REF!</v>
      </c>
      <c r="JO43" s="173" t="e">
        <f>#REF!</f>
        <v>#REF!</v>
      </c>
      <c r="JP43" s="173" t="e">
        <f>#REF!</f>
        <v>#REF!</v>
      </c>
      <c r="JQ43" s="199" t="e">
        <f>SUM(JM43:JP43)</f>
        <v>#REF!</v>
      </c>
      <c r="KB43" s="136"/>
      <c r="KC43" s="3"/>
      <c r="KD43" s="3"/>
      <c r="KE43" s="3"/>
      <c r="KF43" s="136"/>
      <c r="KG43" s="136"/>
      <c r="KH43" s="185" t="s">
        <v>2431</v>
      </c>
      <c r="KI43" s="187">
        <f t="shared" ref="KI43:KP43" si="53">COUNTIFS($BA$2:$BA$425,"ΚΑΛΟΓΕΡΑΚΗΣ ΜΙΧΑΗΛ",MB$2:MB$425,"άριστη")</f>
        <v>0</v>
      </c>
      <c r="KJ43" s="187">
        <f t="shared" si="53"/>
        <v>0</v>
      </c>
      <c r="KK43" s="187">
        <f t="shared" si="53"/>
        <v>0</v>
      </c>
      <c r="KL43" s="187">
        <f t="shared" si="53"/>
        <v>0</v>
      </c>
      <c r="KM43" s="187">
        <f t="shared" si="53"/>
        <v>0</v>
      </c>
      <c r="KN43" s="187">
        <f t="shared" si="53"/>
        <v>0</v>
      </c>
      <c r="KO43" s="187">
        <f t="shared" si="53"/>
        <v>0</v>
      </c>
      <c r="KP43" s="187">
        <f t="shared" si="53"/>
        <v>0</v>
      </c>
      <c r="KQ43" s="199">
        <f>SUM(KM43:KP43)</f>
        <v>0</v>
      </c>
      <c r="LE43" s="168"/>
      <c r="LF43" s="3"/>
      <c r="LG43" s="2"/>
      <c r="LH43" s="157"/>
      <c r="LI43" s="3"/>
      <c r="LJ43" s="3"/>
      <c r="LK43" s="3"/>
      <c r="LL43" s="3"/>
      <c r="LM43" s="2"/>
      <c r="LN43" s="93"/>
      <c r="LO43" s="3"/>
      <c r="LP43" s="3"/>
      <c r="LQ43" s="3"/>
      <c r="LR43" s="2"/>
      <c r="LS43" s="85"/>
      <c r="LT43" s="3"/>
      <c r="LU43" s="3"/>
      <c r="LV43" s="3"/>
      <c r="LW43" s="3"/>
      <c r="LX43" s="2"/>
      <c r="LY43" s="168"/>
      <c r="LZ43" s="2" t="s">
        <v>2859</v>
      </c>
      <c r="MA43" s="2" t="s">
        <v>1672</v>
      </c>
      <c r="MB43" s="3" t="s">
        <v>2431</v>
      </c>
      <c r="MC43" s="3" t="s">
        <v>2433</v>
      </c>
      <c r="MD43" s="3" t="s">
        <v>2432</v>
      </c>
      <c r="ME43" s="3" t="s">
        <v>2431</v>
      </c>
      <c r="MF43" s="3" t="s">
        <v>2431</v>
      </c>
      <c r="MG43" s="3" t="s">
        <v>2433</v>
      </c>
      <c r="MH43" s="3" t="s">
        <v>2433</v>
      </c>
      <c r="MI43" s="3" t="s">
        <v>2432</v>
      </c>
      <c r="MJ43" s="2"/>
      <c r="MZ43" s="438" t="s">
        <v>3027</v>
      </c>
      <c r="NL43" s="3"/>
      <c r="NM43" s="3"/>
      <c r="NN43" s="3"/>
      <c r="NO43" s="3"/>
      <c r="NP43" s="3"/>
      <c r="NQ43" s="3"/>
      <c r="NR43" s="3"/>
      <c r="NS43" s="3"/>
    </row>
    <row r="44" spans="1:383" ht="150.75" thickBot="1">
      <c r="A44" s="73">
        <v>8</v>
      </c>
      <c r="B44" s="68" t="s">
        <v>2408</v>
      </c>
      <c r="C44" s="19" t="s">
        <v>540</v>
      </c>
      <c r="D44" s="19">
        <v>6975793246</v>
      </c>
      <c r="E44" s="37" t="s">
        <v>2666</v>
      </c>
      <c r="F44" s="1367" t="s">
        <v>2985</v>
      </c>
      <c r="G44" s="1368"/>
      <c r="H44" s="1369"/>
      <c r="I44" s="9"/>
      <c r="J44" s="198"/>
      <c r="M44" s="3">
        <v>4</v>
      </c>
      <c r="AM44" s="275">
        <v>45808</v>
      </c>
      <c r="AN44" s="276" t="s">
        <v>1685</v>
      </c>
      <c r="AO44" s="276"/>
      <c r="AP44" s="276"/>
      <c r="AS44" s="275">
        <v>45836</v>
      </c>
      <c r="AT44" s="276" t="s">
        <v>1685</v>
      </c>
      <c r="AU44" s="276"/>
      <c r="AV44" s="276"/>
      <c r="DI44" s="2" t="s">
        <v>3028</v>
      </c>
      <c r="DJ44" s="2" t="s">
        <v>3029</v>
      </c>
      <c r="DK44" s="2" t="s">
        <v>3030</v>
      </c>
      <c r="DL44" s="2" t="s">
        <v>3028</v>
      </c>
      <c r="DM44" s="81"/>
      <c r="DN44" s="1145"/>
      <c r="DO44" s="1145"/>
      <c r="DP44" s="1145"/>
      <c r="DQ44" s="1145"/>
      <c r="HJ44" s="168"/>
      <c r="HM44" s="157"/>
      <c r="HS44" s="93"/>
      <c r="HX44" s="85"/>
      <c r="ID44" s="168"/>
      <c r="IE44" s="2" t="s">
        <v>2859</v>
      </c>
      <c r="IF44" s="2" t="s">
        <v>3031</v>
      </c>
      <c r="IG44" s="3" t="s">
        <v>2433</v>
      </c>
      <c r="IH44" s="3" t="s">
        <v>2431</v>
      </c>
      <c r="II44" s="3" t="s">
        <v>2431</v>
      </c>
      <c r="IJ44" s="3" t="s">
        <v>2431</v>
      </c>
      <c r="IK44" s="3" t="s">
        <v>2431</v>
      </c>
      <c r="IL44" s="3" t="s">
        <v>2431</v>
      </c>
      <c r="IM44" s="3" t="s">
        <v>2431</v>
      </c>
      <c r="IN44" s="3" t="s">
        <v>2431</v>
      </c>
      <c r="JH44" s="136"/>
      <c r="JI44" s="136"/>
      <c r="KB44" s="136"/>
      <c r="KC44" s="3"/>
      <c r="KD44" s="3"/>
      <c r="KE44" s="3"/>
      <c r="KF44" s="136"/>
      <c r="KG44" s="136"/>
      <c r="KH44" s="136"/>
      <c r="KI44" s="136"/>
      <c r="LE44" s="168"/>
      <c r="LF44" s="3"/>
      <c r="LG44" s="2"/>
      <c r="LH44" s="157"/>
      <c r="LI44" s="3"/>
      <c r="LJ44" s="3"/>
      <c r="LK44" s="3"/>
      <c r="LL44" s="3"/>
      <c r="LM44" s="2"/>
      <c r="LN44" s="93"/>
      <c r="LO44" s="3"/>
      <c r="LP44" s="3"/>
      <c r="LQ44" s="3"/>
      <c r="LR44" s="2"/>
      <c r="LS44" s="85"/>
      <c r="LT44" s="3"/>
      <c r="LU44" s="3"/>
      <c r="LV44" s="3"/>
      <c r="LW44" s="3"/>
      <c r="LX44" s="2"/>
      <c r="LY44" s="168"/>
      <c r="LZ44" s="2" t="s">
        <v>2859</v>
      </c>
      <c r="MA44" s="2" t="s">
        <v>3031</v>
      </c>
      <c r="MB44" s="3" t="s">
        <v>2433</v>
      </c>
      <c r="MC44" s="3" t="s">
        <v>2431</v>
      </c>
      <c r="MD44" s="3" t="s">
        <v>2431</v>
      </c>
      <c r="ME44" s="3" t="s">
        <v>2431</v>
      </c>
      <c r="MF44" s="3" t="s">
        <v>2431</v>
      </c>
      <c r="MG44" s="3" t="s">
        <v>2431</v>
      </c>
      <c r="MH44" s="3" t="s">
        <v>2431</v>
      </c>
      <c r="MI44" s="3" t="s">
        <v>2431</v>
      </c>
      <c r="MJ44" s="2"/>
      <c r="MZ44" s="439"/>
      <c r="NL44" s="3"/>
      <c r="NM44" s="3"/>
      <c r="NN44" s="3"/>
      <c r="NO44" s="3"/>
      <c r="NP44" s="3"/>
      <c r="NQ44" s="3"/>
      <c r="NR44" s="3"/>
      <c r="NS44" s="3"/>
    </row>
    <row r="45" spans="1:383" ht="150">
      <c r="A45" s="76">
        <v>1</v>
      </c>
      <c r="B45" s="77" t="s">
        <v>672</v>
      </c>
      <c r="C45" s="21" t="s">
        <v>544</v>
      </c>
      <c r="D45" s="21">
        <v>6947841222</v>
      </c>
      <c r="E45" s="38" t="s">
        <v>673</v>
      </c>
      <c r="F45" s="1370" t="s">
        <v>3032</v>
      </c>
      <c r="G45" s="1371"/>
      <c r="H45" s="1372"/>
      <c r="I45" s="309" t="s">
        <v>3033</v>
      </c>
      <c r="J45" s="198"/>
      <c r="K45" s="1" t="s">
        <v>3034</v>
      </c>
      <c r="L45" s="186" t="s">
        <v>3035</v>
      </c>
      <c r="M45" s="3">
        <v>2</v>
      </c>
      <c r="AS45" s="272"/>
      <c r="AT45" s="272"/>
      <c r="DI45" s="2" t="s">
        <v>3036</v>
      </c>
      <c r="DJ45" s="2" t="s">
        <v>3037</v>
      </c>
      <c r="DK45" s="2" t="s">
        <v>3038</v>
      </c>
      <c r="DL45" s="2" t="s">
        <v>3039</v>
      </c>
      <c r="DM45" s="81"/>
      <c r="DN45" s="1145"/>
      <c r="DO45" s="1145"/>
      <c r="DP45" s="1145"/>
      <c r="DQ45" s="1145"/>
      <c r="GM45" s="175" t="s">
        <v>3031</v>
      </c>
      <c r="GN45" s="171" t="s">
        <v>2354</v>
      </c>
      <c r="GO45" s="171" t="s">
        <v>2355</v>
      </c>
      <c r="GP45" s="171" t="s">
        <v>2356</v>
      </c>
      <c r="GQ45" s="172" t="s">
        <v>2357</v>
      </c>
      <c r="GR45" s="171" t="s">
        <v>2358</v>
      </c>
      <c r="GS45" s="171" t="s">
        <v>2359</v>
      </c>
      <c r="GT45" s="171" t="s">
        <v>2360</v>
      </c>
      <c r="GU45" s="172" t="s">
        <v>2361</v>
      </c>
      <c r="GV45" s="6" t="s">
        <v>2480</v>
      </c>
      <c r="HJ45" s="168"/>
      <c r="HM45" s="157"/>
      <c r="HS45" s="93"/>
      <c r="HX45" s="85"/>
      <c r="ID45" s="168"/>
      <c r="IE45" s="2" t="s">
        <v>2859</v>
      </c>
      <c r="IF45" s="2" t="s">
        <v>1667</v>
      </c>
      <c r="IG45" s="3" t="s">
        <v>2433</v>
      </c>
      <c r="IH45" s="3" t="s">
        <v>2431</v>
      </c>
      <c r="II45" s="3" t="s">
        <v>2433</v>
      </c>
      <c r="IJ45" s="3" t="s">
        <v>2431</v>
      </c>
      <c r="IK45" s="3" t="s">
        <v>2433</v>
      </c>
      <c r="IL45" s="3" t="s">
        <v>2433</v>
      </c>
      <c r="IM45" s="3" t="s">
        <v>2433</v>
      </c>
      <c r="IN45" s="3" t="s">
        <v>2433</v>
      </c>
      <c r="JH45" s="175" t="s">
        <v>3031</v>
      </c>
      <c r="JI45" s="171" t="s">
        <v>2354</v>
      </c>
      <c r="JJ45" s="171" t="s">
        <v>2355</v>
      </c>
      <c r="JK45" s="171" t="s">
        <v>2356</v>
      </c>
      <c r="JL45" s="172" t="s">
        <v>2357</v>
      </c>
      <c r="JM45" s="171" t="s">
        <v>2358</v>
      </c>
      <c r="JN45" s="171" t="s">
        <v>2359</v>
      </c>
      <c r="JO45" s="171" t="s">
        <v>2360</v>
      </c>
      <c r="JP45" s="172" t="s">
        <v>2361</v>
      </c>
      <c r="JQ45" s="6" t="s">
        <v>2480</v>
      </c>
      <c r="KB45" s="136"/>
      <c r="KC45" s="3"/>
      <c r="KD45" s="3"/>
      <c r="KE45" s="3"/>
      <c r="KF45" s="136"/>
      <c r="KG45" s="136"/>
      <c r="KH45" s="175" t="s">
        <v>3031</v>
      </c>
      <c r="KI45" s="171" t="s">
        <v>2354</v>
      </c>
      <c r="KJ45" s="171" t="s">
        <v>2355</v>
      </c>
      <c r="KK45" s="171" t="s">
        <v>2356</v>
      </c>
      <c r="KL45" s="172" t="s">
        <v>2357</v>
      </c>
      <c r="KM45" s="171" t="s">
        <v>2358</v>
      </c>
      <c r="KN45" s="171" t="s">
        <v>2359</v>
      </c>
      <c r="KO45" s="171" t="s">
        <v>2360</v>
      </c>
      <c r="KP45" s="172" t="s">
        <v>2361</v>
      </c>
      <c r="KQ45" s="6" t="s">
        <v>2480</v>
      </c>
      <c r="LE45" s="168"/>
      <c r="LF45" s="3"/>
      <c r="LG45" s="2"/>
      <c r="LH45" s="157"/>
      <c r="LI45" s="3"/>
      <c r="LJ45" s="3"/>
      <c r="LK45" s="3"/>
      <c r="LL45" s="3"/>
      <c r="LM45" s="2"/>
      <c r="LN45" s="93"/>
      <c r="LO45" s="3"/>
      <c r="LP45" s="3"/>
      <c r="LQ45" s="3"/>
      <c r="LR45" s="2"/>
      <c r="LS45" s="85"/>
      <c r="LT45" s="3"/>
      <c r="LU45" s="3"/>
      <c r="LV45" s="3"/>
      <c r="LW45" s="3"/>
      <c r="LX45" s="2"/>
      <c r="LY45" s="168"/>
      <c r="LZ45" s="2" t="s">
        <v>2859</v>
      </c>
      <c r="MA45" s="2" t="s">
        <v>1667</v>
      </c>
      <c r="MB45" s="3" t="s">
        <v>2433</v>
      </c>
      <c r="MC45" s="3" t="s">
        <v>2431</v>
      </c>
      <c r="MD45" s="3" t="s">
        <v>2433</v>
      </c>
      <c r="ME45" s="3" t="s">
        <v>2431</v>
      </c>
      <c r="MF45" s="3" t="s">
        <v>2433</v>
      </c>
      <c r="MG45" s="3" t="s">
        <v>2433</v>
      </c>
      <c r="MH45" s="3" t="s">
        <v>2433</v>
      </c>
      <c r="MI45" s="3" t="s">
        <v>2433</v>
      </c>
      <c r="MJ45" s="2"/>
      <c r="MZ45" s="439" t="s">
        <v>3040</v>
      </c>
      <c r="NL45" s="3"/>
      <c r="NM45" s="3"/>
      <c r="NN45" s="3"/>
      <c r="NO45" s="3"/>
      <c r="NP45" s="3"/>
      <c r="NQ45" s="3"/>
      <c r="NR45" s="3"/>
      <c r="NS45" s="3"/>
    </row>
    <row r="46" spans="1:383" ht="150">
      <c r="A46" s="78">
        <v>2</v>
      </c>
      <c r="B46" s="74" t="s">
        <v>674</v>
      </c>
      <c r="C46" s="20" t="s">
        <v>544</v>
      </c>
      <c r="D46" s="20">
        <v>6937357077</v>
      </c>
      <c r="E46" s="39" t="s">
        <v>675</v>
      </c>
      <c r="F46" s="1359" t="s">
        <v>3032</v>
      </c>
      <c r="G46" s="1360"/>
      <c r="H46" s="1361"/>
      <c r="I46" s="300" t="s">
        <v>592</v>
      </c>
      <c r="J46" s="198"/>
      <c r="M46" s="3">
        <v>2</v>
      </c>
      <c r="AS46" s="272"/>
      <c r="AT46" s="272"/>
      <c r="DI46" s="2" t="s">
        <v>3041</v>
      </c>
      <c r="DJ46" s="2" t="s">
        <v>3042</v>
      </c>
      <c r="DK46" s="2" t="s">
        <v>3043</v>
      </c>
      <c r="DL46" s="2" t="s">
        <v>3036</v>
      </c>
      <c r="DM46" s="81"/>
      <c r="DN46" s="1145"/>
      <c r="DO46" s="1145"/>
      <c r="DP46" s="1145"/>
      <c r="DQ46" s="1145"/>
      <c r="GM46" s="184" t="s">
        <v>2525</v>
      </c>
      <c r="GN46" s="173">
        <f t="shared" ref="GN46:GU46" si="54">COUNTIFS($BA$2:$BA$425,"ΚΟΝΙΔΑΚΗ ΣΤΕΦΑΝΙΑ",IG$2:IG$425,"κακή")</f>
        <v>0</v>
      </c>
      <c r="GO46" s="173">
        <f t="shared" si="54"/>
        <v>0</v>
      </c>
      <c r="GP46" s="173">
        <f t="shared" si="54"/>
        <v>0</v>
      </c>
      <c r="GQ46" s="173">
        <f t="shared" si="54"/>
        <v>0</v>
      </c>
      <c r="GR46" s="173">
        <f t="shared" si="54"/>
        <v>0</v>
      </c>
      <c r="GS46" s="173">
        <f t="shared" si="54"/>
        <v>0</v>
      </c>
      <c r="GT46" s="173">
        <f t="shared" si="54"/>
        <v>0</v>
      </c>
      <c r="GU46" s="173">
        <f t="shared" si="54"/>
        <v>0</v>
      </c>
      <c r="GV46" s="170">
        <f>SUM(GR46:GU46)</f>
        <v>0</v>
      </c>
      <c r="HJ46" s="168"/>
      <c r="HM46" s="157"/>
      <c r="HS46" s="93"/>
      <c r="HX46" s="85"/>
      <c r="ID46" s="168"/>
      <c r="IE46" s="2" t="s">
        <v>2859</v>
      </c>
      <c r="IF46" s="2" t="s">
        <v>1615</v>
      </c>
      <c r="IG46" s="3" t="s">
        <v>2433</v>
      </c>
      <c r="IH46" s="3" t="s">
        <v>2431</v>
      </c>
      <c r="II46" s="3" t="s">
        <v>2433</v>
      </c>
      <c r="IJ46" s="3" t="s">
        <v>2431</v>
      </c>
      <c r="IK46" s="3" t="s">
        <v>2431</v>
      </c>
      <c r="IL46" s="3" t="s">
        <v>2431</v>
      </c>
      <c r="IM46" s="3" t="s">
        <v>2433</v>
      </c>
      <c r="IN46" s="3" t="s">
        <v>2431</v>
      </c>
      <c r="JH46" s="184" t="s">
        <v>2525</v>
      </c>
      <c r="JI46" s="173" t="e">
        <f>#REF!</f>
        <v>#REF!</v>
      </c>
      <c r="JJ46" s="173" t="e">
        <f>#REF!</f>
        <v>#REF!</v>
      </c>
      <c r="JK46" s="173" t="e">
        <f>#REF!</f>
        <v>#REF!</v>
      </c>
      <c r="JL46" s="173" t="e">
        <f>#REF!</f>
        <v>#REF!</v>
      </c>
      <c r="JM46" s="173" t="e">
        <f>#REF!</f>
        <v>#REF!</v>
      </c>
      <c r="JN46" s="173" t="e">
        <f>#REF!</f>
        <v>#REF!</v>
      </c>
      <c r="JO46" s="173" t="e">
        <f>#REF!</f>
        <v>#REF!</v>
      </c>
      <c r="JP46" s="173" t="e">
        <f>#REF!</f>
        <v>#REF!</v>
      </c>
      <c r="JQ46" s="170" t="e">
        <f>SUM(JM46:JP46)</f>
        <v>#REF!</v>
      </c>
      <c r="KB46" s="136"/>
      <c r="KC46" s="3"/>
      <c r="KD46" s="3"/>
      <c r="KE46" s="3"/>
      <c r="KF46" s="136"/>
      <c r="KG46" s="136"/>
      <c r="KH46" s="184" t="s">
        <v>2525</v>
      </c>
      <c r="KI46" s="173">
        <f t="shared" ref="KI46:KP46" si="55">COUNTIFS($BA$2:$BA$425,"ΚΟΝΙΔΑΚΗ ΣΤΕΦΑΝΙΑ",MB$2:MB$425,"κακή")</f>
        <v>0</v>
      </c>
      <c r="KJ46" s="173">
        <f t="shared" si="55"/>
        <v>0</v>
      </c>
      <c r="KK46" s="173">
        <f t="shared" si="55"/>
        <v>0</v>
      </c>
      <c r="KL46" s="173">
        <f t="shared" si="55"/>
        <v>0</v>
      </c>
      <c r="KM46" s="173">
        <f t="shared" si="55"/>
        <v>0</v>
      </c>
      <c r="KN46" s="173">
        <f t="shared" si="55"/>
        <v>0</v>
      </c>
      <c r="KO46" s="173">
        <f t="shared" si="55"/>
        <v>0</v>
      </c>
      <c r="KP46" s="173">
        <f t="shared" si="55"/>
        <v>0</v>
      </c>
      <c r="KQ46" s="170">
        <f>SUM(KM46:KP46)</f>
        <v>0</v>
      </c>
      <c r="LE46" s="168"/>
      <c r="LF46" s="3"/>
      <c r="LG46" s="2"/>
      <c r="LH46" s="157"/>
      <c r="LI46" s="3"/>
      <c r="LJ46" s="3"/>
      <c r="LK46" s="3"/>
      <c r="LL46" s="3"/>
      <c r="LM46" s="2"/>
      <c r="LN46" s="93"/>
      <c r="LO46" s="3"/>
      <c r="LP46" s="3"/>
      <c r="LQ46" s="3"/>
      <c r="LR46" s="2"/>
      <c r="LS46" s="85"/>
      <c r="LT46" s="3"/>
      <c r="LU46" s="3"/>
      <c r="LV46" s="3"/>
      <c r="LW46" s="3"/>
      <c r="LX46" s="2"/>
      <c r="LY46" s="168"/>
      <c r="LZ46" s="2" t="s">
        <v>2859</v>
      </c>
      <c r="MA46" s="2" t="s">
        <v>1615</v>
      </c>
      <c r="MB46" s="3" t="s">
        <v>2433</v>
      </c>
      <c r="MC46" s="3" t="s">
        <v>2431</v>
      </c>
      <c r="MD46" s="3" t="s">
        <v>2433</v>
      </c>
      <c r="ME46" s="3" t="s">
        <v>2431</v>
      </c>
      <c r="MF46" s="3" t="s">
        <v>2431</v>
      </c>
      <c r="MG46" s="3" t="s">
        <v>2431</v>
      </c>
      <c r="MH46" s="3" t="s">
        <v>2433</v>
      </c>
      <c r="MI46" s="3" t="s">
        <v>2431</v>
      </c>
      <c r="MJ46" s="2"/>
      <c r="MZ46" s="439"/>
      <c r="NL46" s="3"/>
      <c r="NM46" s="3"/>
      <c r="NN46" s="3"/>
      <c r="NO46" s="3"/>
      <c r="NP46" s="3"/>
      <c r="NQ46" s="3"/>
      <c r="NR46" s="3"/>
      <c r="NS46" s="3"/>
    </row>
    <row r="47" spans="1:383" ht="180">
      <c r="A47" s="78">
        <v>3</v>
      </c>
      <c r="B47" s="74" t="s">
        <v>677</v>
      </c>
      <c r="C47" s="20" t="s">
        <v>676</v>
      </c>
      <c r="D47" s="20">
        <v>6978163340</v>
      </c>
      <c r="E47" s="39" t="s">
        <v>678</v>
      </c>
      <c r="F47" s="1359" t="s">
        <v>3032</v>
      </c>
      <c r="G47" s="1360"/>
      <c r="H47" s="1361"/>
      <c r="I47" s="300" t="s">
        <v>2575</v>
      </c>
      <c r="J47" s="198"/>
      <c r="M47" s="3">
        <v>4</v>
      </c>
      <c r="AM47" s="1305" t="s">
        <v>1992</v>
      </c>
      <c r="AN47" s="1305" t="s">
        <v>437</v>
      </c>
      <c r="AO47" s="1304" t="s">
        <v>1993</v>
      </c>
      <c r="AP47" s="1304" t="s">
        <v>1994</v>
      </c>
      <c r="AS47" s="1304" t="s">
        <v>1992</v>
      </c>
      <c r="AT47" s="1305" t="s">
        <v>437</v>
      </c>
      <c r="AU47" s="1304" t="s">
        <v>1993</v>
      </c>
      <c r="AV47" s="1304" t="s">
        <v>1994</v>
      </c>
      <c r="DI47" s="2" t="s">
        <v>3044</v>
      </c>
      <c r="DJ47" s="2" t="s">
        <v>3044</v>
      </c>
      <c r="DK47" s="2" t="s">
        <v>3045</v>
      </c>
      <c r="DL47" s="2" t="s">
        <v>3041</v>
      </c>
      <c r="DM47" s="81"/>
      <c r="DN47" s="1145"/>
      <c r="DO47" s="1145"/>
      <c r="DP47" s="1145"/>
      <c r="DQ47" s="1145"/>
      <c r="GM47" s="184" t="s">
        <v>2435</v>
      </c>
      <c r="GN47" s="173">
        <f t="shared" ref="GN47:GU47" si="56">COUNTIFS($BA$2:$BA$425,"ΚΟΝΙΔΑΚΗ ΣΤΕΦΑΝΙΑ",IG$2:IG$425,"μέτρια")</f>
        <v>0</v>
      </c>
      <c r="GO47" s="173">
        <f t="shared" si="56"/>
        <v>0</v>
      </c>
      <c r="GP47" s="173">
        <f t="shared" si="56"/>
        <v>0</v>
      </c>
      <c r="GQ47" s="173">
        <f t="shared" si="56"/>
        <v>0</v>
      </c>
      <c r="GR47" s="173">
        <f t="shared" si="56"/>
        <v>0</v>
      </c>
      <c r="GS47" s="173">
        <f t="shared" si="56"/>
        <v>0</v>
      </c>
      <c r="GT47" s="173">
        <f t="shared" si="56"/>
        <v>0</v>
      </c>
      <c r="GU47" s="173">
        <f t="shared" si="56"/>
        <v>0</v>
      </c>
      <c r="GV47" s="170">
        <f>SUM(GR47:GU47)</f>
        <v>0</v>
      </c>
      <c r="HJ47" s="168"/>
      <c r="HM47" s="157"/>
      <c r="HS47" s="93"/>
      <c r="HX47" s="85"/>
      <c r="ID47" s="168"/>
      <c r="IE47" s="2" t="s">
        <v>2867</v>
      </c>
      <c r="IF47" s="2" t="s">
        <v>3046</v>
      </c>
      <c r="IG47" s="3" t="s">
        <v>2431</v>
      </c>
      <c r="IH47" s="3" t="s">
        <v>2433</v>
      </c>
      <c r="II47" s="3" t="s">
        <v>2433</v>
      </c>
      <c r="IJ47" s="3" t="s">
        <v>2433</v>
      </c>
      <c r="IK47" s="3" t="s">
        <v>2433</v>
      </c>
      <c r="IL47" s="3" t="s">
        <v>2433</v>
      </c>
      <c r="IM47" s="3" t="s">
        <v>2431</v>
      </c>
      <c r="IN47" s="3" t="s">
        <v>2433</v>
      </c>
      <c r="JH47" s="184" t="s">
        <v>2435</v>
      </c>
      <c r="JI47" s="173" t="e">
        <f>#REF!</f>
        <v>#REF!</v>
      </c>
      <c r="JJ47" s="173" t="e">
        <f>#REF!</f>
        <v>#REF!</v>
      </c>
      <c r="JK47" s="173" t="e">
        <f>#REF!</f>
        <v>#REF!</v>
      </c>
      <c r="JL47" s="173" t="e">
        <f>#REF!</f>
        <v>#REF!</v>
      </c>
      <c r="JM47" s="173" t="e">
        <f>#REF!</f>
        <v>#REF!</v>
      </c>
      <c r="JN47" s="173" t="e">
        <f>#REF!</f>
        <v>#REF!</v>
      </c>
      <c r="JO47" s="173" t="e">
        <f>#REF!</f>
        <v>#REF!</v>
      </c>
      <c r="JP47" s="173" t="e">
        <f>#REF!</f>
        <v>#REF!</v>
      </c>
      <c r="JQ47" s="170" t="e">
        <f>SUM(JM47:JP47)</f>
        <v>#REF!</v>
      </c>
      <c r="KB47" s="136"/>
      <c r="KC47" s="3"/>
      <c r="KD47" s="3"/>
      <c r="KE47" s="3"/>
      <c r="KF47" s="136"/>
      <c r="KG47" s="136"/>
      <c r="KH47" s="184" t="s">
        <v>2435</v>
      </c>
      <c r="KI47" s="173">
        <f t="shared" ref="KI47:KP47" si="57">COUNTIFS($BA$2:$BA$425,"ΚΟΝΙΔΑΚΗ ΣΤΕΦΑΝΙΑ",MB$2:MB$425,"μέτρια")</f>
        <v>0</v>
      </c>
      <c r="KJ47" s="173">
        <f t="shared" si="57"/>
        <v>0</v>
      </c>
      <c r="KK47" s="173">
        <f t="shared" si="57"/>
        <v>0</v>
      </c>
      <c r="KL47" s="173">
        <f t="shared" si="57"/>
        <v>0</v>
      </c>
      <c r="KM47" s="173">
        <f t="shared" si="57"/>
        <v>0</v>
      </c>
      <c r="KN47" s="173">
        <f t="shared" si="57"/>
        <v>0</v>
      </c>
      <c r="KO47" s="173">
        <f t="shared" si="57"/>
        <v>0</v>
      </c>
      <c r="KP47" s="173">
        <f t="shared" si="57"/>
        <v>0</v>
      </c>
      <c r="KQ47" s="170">
        <f>SUM(KM47:KP47)</f>
        <v>0</v>
      </c>
      <c r="LE47" s="168"/>
      <c r="LF47" s="3"/>
      <c r="LG47" s="2"/>
      <c r="LH47" s="157"/>
      <c r="LI47" s="3"/>
      <c r="LJ47" s="3"/>
      <c r="LK47" s="3"/>
      <c r="LL47" s="3"/>
      <c r="LM47" s="2"/>
      <c r="LN47" s="93"/>
      <c r="LO47" s="3"/>
      <c r="LP47" s="3"/>
      <c r="LQ47" s="3"/>
      <c r="LR47" s="2"/>
      <c r="LS47" s="85"/>
      <c r="LT47" s="3"/>
      <c r="LU47" s="3"/>
      <c r="LV47" s="3"/>
      <c r="LW47" s="3"/>
      <c r="LX47" s="2"/>
      <c r="LY47" s="168"/>
      <c r="LZ47" s="2" t="s">
        <v>2867</v>
      </c>
      <c r="MA47" s="2" t="s">
        <v>3046</v>
      </c>
      <c r="MB47" s="3" t="s">
        <v>2431</v>
      </c>
      <c r="MC47" s="3" t="s">
        <v>2433</v>
      </c>
      <c r="MD47" s="3" t="s">
        <v>2433</v>
      </c>
      <c r="ME47" s="3" t="s">
        <v>2433</v>
      </c>
      <c r="MF47" s="3" t="s">
        <v>2433</v>
      </c>
      <c r="MG47" s="3" t="s">
        <v>2433</v>
      </c>
      <c r="MH47" s="3" t="s">
        <v>2431</v>
      </c>
      <c r="MI47" s="3" t="s">
        <v>2433</v>
      </c>
      <c r="MJ47" s="2"/>
      <c r="MZ47" s="439" t="s">
        <v>3047</v>
      </c>
      <c r="NL47" s="3"/>
      <c r="NM47" s="3"/>
      <c r="NN47" s="3"/>
      <c r="NO47" s="3"/>
      <c r="NP47" s="3"/>
      <c r="NQ47" s="3"/>
      <c r="NR47" s="3"/>
      <c r="NS47" s="3"/>
    </row>
    <row r="48" spans="1:383" ht="180">
      <c r="A48" s="78">
        <v>4</v>
      </c>
      <c r="B48" s="74" t="s">
        <v>681</v>
      </c>
      <c r="C48" s="20" t="s">
        <v>680</v>
      </c>
      <c r="D48" s="20">
        <v>6986184307</v>
      </c>
      <c r="E48" s="39" t="s">
        <v>682</v>
      </c>
      <c r="F48" s="1359" t="s">
        <v>3032</v>
      </c>
      <c r="G48" s="1360"/>
      <c r="H48" s="1361"/>
      <c r="I48" s="300" t="s">
        <v>611</v>
      </c>
      <c r="J48" s="198"/>
      <c r="M48" s="3">
        <v>0</v>
      </c>
      <c r="AM48" s="1306"/>
      <c r="AN48" s="1306"/>
      <c r="AO48" s="1304"/>
      <c r="AP48" s="1304"/>
      <c r="AS48" s="1304"/>
      <c r="AT48" s="1306"/>
      <c r="AU48" s="1304"/>
      <c r="AV48" s="1304"/>
      <c r="DI48" s="2" t="s">
        <v>3048</v>
      </c>
      <c r="DJ48" s="2" t="s">
        <v>3048</v>
      </c>
      <c r="DK48" s="81"/>
      <c r="DL48" s="2" t="s">
        <v>3049</v>
      </c>
      <c r="DM48" s="81"/>
      <c r="DN48" s="1145"/>
      <c r="DO48" s="1145"/>
      <c r="DP48" s="1145"/>
      <c r="DQ48" s="1145"/>
      <c r="GM48" s="184" t="s">
        <v>2603</v>
      </c>
      <c r="GN48" s="173">
        <f t="shared" ref="GN48:GU48" si="58">COUNTIFS($BA$2:$BA$425,"ΚΟΝΙΔΑΚΗ ΣΤΕΦΑΝΙΑ",IG$2:IG$425,"καλή")</f>
        <v>0</v>
      </c>
      <c r="GO48" s="173">
        <f t="shared" si="58"/>
        <v>0</v>
      </c>
      <c r="GP48" s="173">
        <f t="shared" si="58"/>
        <v>0</v>
      </c>
      <c r="GQ48" s="173">
        <f t="shared" si="58"/>
        <v>0</v>
      </c>
      <c r="GR48" s="173">
        <f t="shared" si="58"/>
        <v>0</v>
      </c>
      <c r="GS48" s="173">
        <f t="shared" si="58"/>
        <v>0</v>
      </c>
      <c r="GT48" s="173">
        <f t="shared" si="58"/>
        <v>0</v>
      </c>
      <c r="GU48" s="173">
        <f t="shared" si="58"/>
        <v>0</v>
      </c>
      <c r="GV48" s="199">
        <f>SUM(GR48:GU48)</f>
        <v>0</v>
      </c>
      <c r="HJ48" s="168"/>
      <c r="HM48" s="157"/>
      <c r="HS48" s="93"/>
      <c r="HX48" s="85"/>
      <c r="ID48" s="168"/>
      <c r="IE48" s="2" t="s">
        <v>2867</v>
      </c>
      <c r="IF48" s="2" t="s">
        <v>3046</v>
      </c>
      <c r="IG48" s="3" t="s">
        <v>2432</v>
      </c>
      <c r="IH48" s="3" t="s">
        <v>2432</v>
      </c>
      <c r="II48" s="3" t="s">
        <v>2432</v>
      </c>
      <c r="IJ48" s="3" t="s">
        <v>2432</v>
      </c>
      <c r="IK48" s="3" t="s">
        <v>2432</v>
      </c>
      <c r="IL48" s="3" t="s">
        <v>2432</v>
      </c>
      <c r="IM48" s="3" t="s">
        <v>2432</v>
      </c>
      <c r="IN48" s="3" t="s">
        <v>2432</v>
      </c>
      <c r="JH48" s="184" t="s">
        <v>2603</v>
      </c>
      <c r="JI48" s="173" t="e">
        <f>#REF!</f>
        <v>#REF!</v>
      </c>
      <c r="JJ48" s="173" t="e">
        <f>#REF!</f>
        <v>#REF!</v>
      </c>
      <c r="JK48" s="173" t="e">
        <f>#REF!</f>
        <v>#REF!</v>
      </c>
      <c r="JL48" s="173" t="e">
        <f>#REF!</f>
        <v>#REF!</v>
      </c>
      <c r="JM48" s="173" t="e">
        <f>#REF!</f>
        <v>#REF!</v>
      </c>
      <c r="JN48" s="173" t="e">
        <f>#REF!</f>
        <v>#REF!</v>
      </c>
      <c r="JO48" s="173" t="e">
        <f>#REF!</f>
        <v>#REF!</v>
      </c>
      <c r="JP48" s="173" t="e">
        <f>#REF!</f>
        <v>#REF!</v>
      </c>
      <c r="JQ48" s="199" t="e">
        <f>SUM(JM48:JP48)</f>
        <v>#REF!</v>
      </c>
      <c r="KB48" s="136"/>
      <c r="KC48" s="3"/>
      <c r="KD48" s="3"/>
      <c r="KE48" s="3"/>
      <c r="KF48" s="136"/>
      <c r="KG48" s="136"/>
      <c r="KH48" s="184" t="s">
        <v>2603</v>
      </c>
      <c r="KI48" s="173">
        <f t="shared" ref="KI48:KP48" si="59">COUNTIFS($BA$2:$BA$425,"ΚΟΝΙΔΑΚΗ ΣΤΕΦΑΝΙΑ",MB$2:MB$425,"καλή")</f>
        <v>0</v>
      </c>
      <c r="KJ48" s="173">
        <f t="shared" si="59"/>
        <v>0</v>
      </c>
      <c r="KK48" s="173">
        <f t="shared" si="59"/>
        <v>0</v>
      </c>
      <c r="KL48" s="173">
        <f t="shared" si="59"/>
        <v>0</v>
      </c>
      <c r="KM48" s="173">
        <f t="shared" si="59"/>
        <v>0</v>
      </c>
      <c r="KN48" s="173">
        <f t="shared" si="59"/>
        <v>0</v>
      </c>
      <c r="KO48" s="173">
        <f t="shared" si="59"/>
        <v>0</v>
      </c>
      <c r="KP48" s="173">
        <f t="shared" si="59"/>
        <v>0</v>
      </c>
      <c r="KQ48" s="199">
        <f>SUM(KM48:KP48)</f>
        <v>0</v>
      </c>
      <c r="LE48" s="168"/>
      <c r="LF48" s="3"/>
      <c r="LG48" s="2"/>
      <c r="LH48" s="157"/>
      <c r="LI48" s="3"/>
      <c r="LJ48" s="3"/>
      <c r="LK48" s="3"/>
      <c r="LL48" s="3"/>
      <c r="LM48" s="2"/>
      <c r="LN48" s="93"/>
      <c r="LO48" s="3"/>
      <c r="LP48" s="3"/>
      <c r="LQ48" s="3"/>
      <c r="LR48" s="2"/>
      <c r="LS48" s="85"/>
      <c r="LT48" s="3"/>
      <c r="LU48" s="3"/>
      <c r="LV48" s="3"/>
      <c r="LW48" s="3"/>
      <c r="LX48" s="2"/>
      <c r="LY48" s="168"/>
      <c r="LZ48" s="2" t="s">
        <v>2867</v>
      </c>
      <c r="MA48" s="2" t="s">
        <v>3046</v>
      </c>
      <c r="MB48" s="3" t="s">
        <v>2432</v>
      </c>
      <c r="MC48" s="3" t="s">
        <v>2432</v>
      </c>
      <c r="MD48" s="3" t="s">
        <v>2432</v>
      </c>
      <c r="ME48" s="3" t="s">
        <v>2432</v>
      </c>
      <c r="MF48" s="3" t="s">
        <v>2432</v>
      </c>
      <c r="MG48" s="3" t="s">
        <v>2432</v>
      </c>
      <c r="MH48" s="3" t="s">
        <v>2432</v>
      </c>
      <c r="MI48" s="3" t="s">
        <v>2432</v>
      </c>
      <c r="MJ48" s="2"/>
      <c r="MZ48" s="439"/>
      <c r="NL48" s="3"/>
      <c r="NM48" s="3"/>
      <c r="NN48" s="3"/>
      <c r="NO48" s="3"/>
      <c r="NP48" s="3"/>
      <c r="NQ48" s="3"/>
      <c r="NR48" s="3"/>
      <c r="NS48" s="3"/>
    </row>
    <row r="49" spans="1:383" ht="150.75" thickBot="1">
      <c r="A49" s="79">
        <v>5</v>
      </c>
      <c r="B49" s="75" t="s">
        <v>684</v>
      </c>
      <c r="C49" s="22" t="s">
        <v>683</v>
      </c>
      <c r="D49" s="22">
        <v>6943696191</v>
      </c>
      <c r="E49" s="40" t="s">
        <v>685</v>
      </c>
      <c r="F49" s="1362" t="s">
        <v>3032</v>
      </c>
      <c r="G49" s="1363"/>
      <c r="H49" s="1364"/>
      <c r="I49" s="301" t="s">
        <v>2763</v>
      </c>
      <c r="J49" s="198"/>
      <c r="M49" s="366" t="s">
        <v>3009</v>
      </c>
      <c r="O49" s="1" t="s">
        <v>792</v>
      </c>
      <c r="P49" t="s">
        <v>3050</v>
      </c>
      <c r="AM49" s="273">
        <v>45783</v>
      </c>
      <c r="AN49" s="274" t="s">
        <v>3051</v>
      </c>
      <c r="AO49" s="274"/>
      <c r="AP49" s="274"/>
      <c r="AS49" s="273">
        <v>45811</v>
      </c>
      <c r="AT49" s="274" t="s">
        <v>3051</v>
      </c>
      <c r="AU49" s="274"/>
      <c r="AV49" s="274"/>
      <c r="DI49" s="81"/>
      <c r="DJ49" s="81"/>
      <c r="DK49" s="81"/>
      <c r="DL49" s="2" t="s">
        <v>3052</v>
      </c>
      <c r="DM49" s="81"/>
      <c r="DN49" s="1145"/>
      <c r="DO49" s="1145"/>
      <c r="DP49" s="1145"/>
      <c r="DQ49" s="1145"/>
      <c r="GM49" s="184" t="s">
        <v>2639</v>
      </c>
      <c r="GN49" s="173">
        <f t="shared" ref="GN49:GU49" si="60">COUNTIFS($BA$2:$BA$425,"ΚΟΝΙΔΑΚΗ ΣΤΕΦΑΝΙΑ",IG$2:IG$425,"πολύ καλή")</f>
        <v>0</v>
      </c>
      <c r="GO49" s="173">
        <f t="shared" si="60"/>
        <v>0</v>
      </c>
      <c r="GP49" s="173">
        <f t="shared" si="60"/>
        <v>0</v>
      </c>
      <c r="GQ49" s="173">
        <f t="shared" si="60"/>
        <v>0</v>
      </c>
      <c r="GR49" s="173">
        <f t="shared" si="60"/>
        <v>0</v>
      </c>
      <c r="GS49" s="173">
        <f t="shared" si="60"/>
        <v>0</v>
      </c>
      <c r="GT49" s="173">
        <f t="shared" si="60"/>
        <v>0</v>
      </c>
      <c r="GU49" s="173">
        <f t="shared" si="60"/>
        <v>0</v>
      </c>
      <c r="GV49" s="199">
        <f>SUM(GR49:GU49)</f>
        <v>0</v>
      </c>
      <c r="HJ49" s="168"/>
      <c r="HM49" s="157"/>
      <c r="HS49" s="93"/>
      <c r="HX49" s="85"/>
      <c r="ID49" s="168"/>
      <c r="IE49" s="2" t="s">
        <v>2867</v>
      </c>
      <c r="IF49" s="2" t="s">
        <v>3046</v>
      </c>
      <c r="IG49" s="3" t="s">
        <v>2431</v>
      </c>
      <c r="IH49" s="3" t="s">
        <v>2431</v>
      </c>
      <c r="II49" s="3" t="s">
        <v>2431</v>
      </c>
      <c r="IJ49" s="3" t="s">
        <v>2431</v>
      </c>
      <c r="IK49" s="3" t="s">
        <v>2431</v>
      </c>
      <c r="IL49" s="3" t="s">
        <v>2431</v>
      </c>
      <c r="IM49" s="3" t="s">
        <v>2431</v>
      </c>
      <c r="IN49" s="3" t="s">
        <v>2431</v>
      </c>
      <c r="JH49" s="184" t="s">
        <v>2639</v>
      </c>
      <c r="JI49" s="173" t="e">
        <f>#REF!</f>
        <v>#REF!</v>
      </c>
      <c r="JJ49" s="173" t="e">
        <f>#REF!</f>
        <v>#REF!</v>
      </c>
      <c r="JK49" s="173" t="e">
        <f>#REF!</f>
        <v>#REF!</v>
      </c>
      <c r="JL49" s="173" t="e">
        <f>#REF!</f>
        <v>#REF!</v>
      </c>
      <c r="JM49" s="173" t="e">
        <f>#REF!</f>
        <v>#REF!</v>
      </c>
      <c r="JN49" s="173" t="e">
        <f>#REF!</f>
        <v>#REF!</v>
      </c>
      <c r="JO49" s="173" t="e">
        <f>#REF!</f>
        <v>#REF!</v>
      </c>
      <c r="JP49" s="173" t="e">
        <f>#REF!</f>
        <v>#REF!</v>
      </c>
      <c r="JQ49" s="199" t="e">
        <f>SUM(JM49:JP49)</f>
        <v>#REF!</v>
      </c>
      <c r="KB49" s="136"/>
      <c r="KC49" s="3"/>
      <c r="KD49" s="3"/>
      <c r="KE49" s="3"/>
      <c r="KF49" s="136"/>
      <c r="KG49" s="136"/>
      <c r="KH49" s="184" t="s">
        <v>2639</v>
      </c>
      <c r="KI49" s="173">
        <f t="shared" ref="KI49:KP49" si="61">COUNTIFS($BA$2:$BA$425,"ΚΟΝΙΔΑΚΗ ΣΤΕΦΑΝΙΑ",MB$2:MB$425,"πολύ καλή")</f>
        <v>0</v>
      </c>
      <c r="KJ49" s="173">
        <f t="shared" si="61"/>
        <v>0</v>
      </c>
      <c r="KK49" s="173">
        <f t="shared" si="61"/>
        <v>0</v>
      </c>
      <c r="KL49" s="173">
        <f t="shared" si="61"/>
        <v>0</v>
      </c>
      <c r="KM49" s="173">
        <f t="shared" si="61"/>
        <v>0</v>
      </c>
      <c r="KN49" s="173">
        <f t="shared" si="61"/>
        <v>0</v>
      </c>
      <c r="KO49" s="173">
        <f t="shared" si="61"/>
        <v>0</v>
      </c>
      <c r="KP49" s="173">
        <f t="shared" si="61"/>
        <v>0</v>
      </c>
      <c r="KQ49" s="199">
        <f>SUM(KM49:KP49)</f>
        <v>0</v>
      </c>
      <c r="LE49" s="168"/>
      <c r="LF49" s="3"/>
      <c r="LG49" s="2"/>
      <c r="LH49" s="157"/>
      <c r="LI49" s="3"/>
      <c r="LJ49" s="3"/>
      <c r="LK49" s="3"/>
      <c r="LL49" s="3"/>
      <c r="LM49" s="2"/>
      <c r="LN49" s="93"/>
      <c r="LO49" s="3"/>
      <c r="LP49" s="3"/>
      <c r="LQ49" s="3"/>
      <c r="LR49" s="2"/>
      <c r="LS49" s="85"/>
      <c r="LT49" s="3"/>
      <c r="LU49" s="3"/>
      <c r="LV49" s="3"/>
      <c r="LW49" s="3"/>
      <c r="LX49" s="2"/>
      <c r="LY49" s="168"/>
      <c r="LZ49" s="2" t="s">
        <v>2867</v>
      </c>
      <c r="MA49" s="2" t="s">
        <v>3046</v>
      </c>
      <c r="MB49" s="3" t="s">
        <v>2431</v>
      </c>
      <c r="MC49" s="3" t="s">
        <v>2431</v>
      </c>
      <c r="MD49" s="3" t="s">
        <v>2431</v>
      </c>
      <c r="ME49" s="3" t="s">
        <v>2431</v>
      </c>
      <c r="MF49" s="3" t="s">
        <v>2431</v>
      </c>
      <c r="MG49" s="3" t="s">
        <v>2431</v>
      </c>
      <c r="MH49" s="3" t="s">
        <v>2431</v>
      </c>
      <c r="MI49" s="3" t="s">
        <v>2431</v>
      </c>
      <c r="MJ49" s="2"/>
      <c r="MZ49" s="439" t="s">
        <v>3053</v>
      </c>
      <c r="NL49" s="3"/>
      <c r="NM49" s="3"/>
      <c r="NN49" s="3"/>
      <c r="NO49" s="3"/>
      <c r="NP49" s="3"/>
      <c r="NQ49" s="3"/>
      <c r="NR49" s="3"/>
      <c r="NS49" s="3"/>
    </row>
    <row r="50" spans="1:383" ht="150.75" thickBot="1">
      <c r="L50" s="186" t="s">
        <v>792</v>
      </c>
      <c r="M50" s="355">
        <f>SUM(M2:M49)</f>
        <v>94</v>
      </c>
      <c r="N50" s="355" t="e">
        <f>SUM(#REF!)</f>
        <v>#REF!</v>
      </c>
      <c r="O50" s="367" t="e">
        <f>SUM(M50:N50)</f>
        <v>#REF!</v>
      </c>
      <c r="AM50" s="273">
        <v>45785</v>
      </c>
      <c r="AN50" s="274" t="s">
        <v>3051</v>
      </c>
      <c r="AO50" s="274"/>
      <c r="AP50" s="274"/>
      <c r="AS50" s="273">
        <v>45813</v>
      </c>
      <c r="AT50" s="274" t="s">
        <v>3051</v>
      </c>
      <c r="AU50" s="274"/>
      <c r="AV50" s="274"/>
      <c r="DI50" s="81"/>
      <c r="DJ50" s="81"/>
      <c r="DK50" s="81"/>
      <c r="DL50" s="81"/>
      <c r="DM50" s="81"/>
      <c r="GM50" s="185" t="s">
        <v>2431</v>
      </c>
      <c r="GN50" s="187">
        <f t="shared" ref="GN50:GU50" si="62">COUNTIFS($BA$2:$BA$425,"ΚΟΝΙΔΑΚΗ ΣΤΕΦΑΝΙΑ",IG$2:IG$425,"άριστη")</f>
        <v>0</v>
      </c>
      <c r="GO50" s="187">
        <f t="shared" si="62"/>
        <v>0</v>
      </c>
      <c r="GP50" s="187">
        <f t="shared" si="62"/>
        <v>0</v>
      </c>
      <c r="GQ50" s="187">
        <f t="shared" si="62"/>
        <v>0</v>
      </c>
      <c r="GR50" s="187">
        <f t="shared" si="62"/>
        <v>0</v>
      </c>
      <c r="GS50" s="187">
        <f t="shared" si="62"/>
        <v>0</v>
      </c>
      <c r="GT50" s="187">
        <f t="shared" si="62"/>
        <v>0</v>
      </c>
      <c r="GU50" s="187">
        <f t="shared" si="62"/>
        <v>0</v>
      </c>
      <c r="GV50" s="199">
        <f>SUM(GR50:GU50)</f>
        <v>0</v>
      </c>
      <c r="HJ50" s="168"/>
      <c r="HM50" s="157"/>
      <c r="HS50" s="93"/>
      <c r="HX50" s="85"/>
      <c r="ID50" s="168"/>
      <c r="IE50" s="2" t="s">
        <v>2867</v>
      </c>
      <c r="IF50" s="2" t="s">
        <v>3046</v>
      </c>
      <c r="IG50" s="3" t="s">
        <v>2431</v>
      </c>
      <c r="IH50" s="3" t="s">
        <v>2431</v>
      </c>
      <c r="II50" s="3" t="s">
        <v>2431</v>
      </c>
      <c r="IJ50" s="3" t="s">
        <v>2431</v>
      </c>
      <c r="IK50" s="3" t="s">
        <v>2431</v>
      </c>
      <c r="IL50" s="3" t="s">
        <v>2431</v>
      </c>
      <c r="IM50" s="3" t="s">
        <v>2431</v>
      </c>
      <c r="IN50" s="3" t="s">
        <v>2431</v>
      </c>
      <c r="JH50" s="185" t="s">
        <v>2431</v>
      </c>
      <c r="JI50" s="173" t="e">
        <f>#REF!</f>
        <v>#REF!</v>
      </c>
      <c r="JJ50" s="173" t="e">
        <f>#REF!</f>
        <v>#REF!</v>
      </c>
      <c r="JK50" s="173" t="e">
        <f>#REF!</f>
        <v>#REF!</v>
      </c>
      <c r="JL50" s="173" t="e">
        <f>#REF!</f>
        <v>#REF!</v>
      </c>
      <c r="JM50" s="173" t="e">
        <f>#REF!</f>
        <v>#REF!</v>
      </c>
      <c r="JN50" s="173" t="e">
        <f>#REF!</f>
        <v>#REF!</v>
      </c>
      <c r="JO50" s="173" t="e">
        <f>#REF!</f>
        <v>#REF!</v>
      </c>
      <c r="JP50" s="173" t="e">
        <f>#REF!</f>
        <v>#REF!</v>
      </c>
      <c r="JQ50" s="199" t="e">
        <f>SUM(JM50:JP50)</f>
        <v>#REF!</v>
      </c>
      <c r="KB50" s="136"/>
      <c r="KC50" s="3"/>
      <c r="KD50" s="3"/>
      <c r="KE50" s="3"/>
      <c r="KF50" s="136"/>
      <c r="KG50" s="136"/>
      <c r="KH50" s="185" t="s">
        <v>2431</v>
      </c>
      <c r="KI50" s="187">
        <f t="shared" ref="KI50:KP50" si="63">COUNTIFS($BA$2:$BA$425,"ΚΟΝΙΔΑΚΗ ΣΤΕΦΑΝΙΑ",MB$2:MB$425,"άριστη")</f>
        <v>0</v>
      </c>
      <c r="KJ50" s="187">
        <f t="shared" si="63"/>
        <v>0</v>
      </c>
      <c r="KK50" s="187">
        <f t="shared" si="63"/>
        <v>0</v>
      </c>
      <c r="KL50" s="187">
        <f t="shared" si="63"/>
        <v>0</v>
      </c>
      <c r="KM50" s="187">
        <f t="shared" si="63"/>
        <v>0</v>
      </c>
      <c r="KN50" s="187">
        <f t="shared" si="63"/>
        <v>0</v>
      </c>
      <c r="KO50" s="187">
        <f t="shared" si="63"/>
        <v>0</v>
      </c>
      <c r="KP50" s="187">
        <f t="shared" si="63"/>
        <v>0</v>
      </c>
      <c r="KQ50" s="199">
        <f>SUM(KM50:KP50)</f>
        <v>0</v>
      </c>
      <c r="LE50" s="168"/>
      <c r="LF50" s="3"/>
      <c r="LG50" s="2"/>
      <c r="LH50" s="157"/>
      <c r="LI50" s="3"/>
      <c r="LJ50" s="3"/>
      <c r="LK50" s="3"/>
      <c r="LL50" s="3"/>
      <c r="LM50" s="2"/>
      <c r="LN50" s="93"/>
      <c r="LO50" s="3"/>
      <c r="LP50" s="3"/>
      <c r="LQ50" s="3"/>
      <c r="LR50" s="2"/>
      <c r="LS50" s="85"/>
      <c r="LT50" s="3"/>
      <c r="LU50" s="3"/>
      <c r="LV50" s="3"/>
      <c r="LW50" s="3"/>
      <c r="LX50" s="2"/>
      <c r="LY50" s="168"/>
      <c r="LZ50" s="2" t="s">
        <v>2867</v>
      </c>
      <c r="MA50" s="2" t="s">
        <v>3046</v>
      </c>
      <c r="MB50" s="3" t="s">
        <v>2431</v>
      </c>
      <c r="MC50" s="3" t="s">
        <v>2431</v>
      </c>
      <c r="MD50" s="3" t="s">
        <v>2431</v>
      </c>
      <c r="ME50" s="3" t="s">
        <v>2431</v>
      </c>
      <c r="MF50" s="3" t="s">
        <v>2431</v>
      </c>
      <c r="MG50" s="3" t="s">
        <v>2431</v>
      </c>
      <c r="MH50" s="3" t="s">
        <v>2431</v>
      </c>
      <c r="MI50" s="3" t="s">
        <v>2431</v>
      </c>
      <c r="MJ50" s="2"/>
      <c r="NL50" s="3"/>
      <c r="NM50" s="3"/>
      <c r="NN50" s="3"/>
      <c r="NO50" s="3"/>
      <c r="NP50" s="3"/>
      <c r="NQ50" s="3"/>
      <c r="NR50" s="3"/>
      <c r="NS50" s="3"/>
    </row>
    <row r="51" spans="1:383" ht="150.75" thickBot="1">
      <c r="C51" s="1" t="s">
        <v>3054</v>
      </c>
      <c r="D51" s="1" t="s">
        <v>3055</v>
      </c>
      <c r="E51" s="1" t="s">
        <v>3056</v>
      </c>
      <c r="F51" s="186" t="s">
        <v>3057</v>
      </c>
      <c r="G51" s="1" t="s">
        <v>3058</v>
      </c>
      <c r="L51"/>
      <c r="M51"/>
      <c r="AM51" s="273">
        <v>45787</v>
      </c>
      <c r="AN51" s="274" t="s">
        <v>3051</v>
      </c>
      <c r="AO51" s="274"/>
      <c r="AP51" s="274"/>
      <c r="AS51" s="273">
        <v>45815</v>
      </c>
      <c r="AT51" s="274" t="s">
        <v>3051</v>
      </c>
      <c r="AU51" s="274"/>
      <c r="AV51" s="274"/>
      <c r="DI51" s="81"/>
      <c r="DJ51" s="81"/>
      <c r="DK51" s="81"/>
      <c r="DL51" s="81"/>
      <c r="DM51" s="81"/>
      <c r="HJ51" s="168"/>
      <c r="HM51" s="157"/>
      <c r="HS51" s="93"/>
      <c r="HX51" s="85"/>
      <c r="ID51" s="168"/>
      <c r="IE51" s="2" t="s">
        <v>2867</v>
      </c>
      <c r="IF51" s="2" t="s">
        <v>1685</v>
      </c>
      <c r="IG51" s="3" t="s">
        <v>2431</v>
      </c>
      <c r="IH51" s="3" t="s">
        <v>2431</v>
      </c>
      <c r="II51" s="3" t="s">
        <v>2431</v>
      </c>
      <c r="IJ51" s="3" t="s">
        <v>2431</v>
      </c>
      <c r="IK51" s="3" t="s">
        <v>2431</v>
      </c>
      <c r="IL51" s="3" t="s">
        <v>2431</v>
      </c>
      <c r="IM51" s="3" t="s">
        <v>2431</v>
      </c>
      <c r="IN51" s="3" t="s">
        <v>2433</v>
      </c>
      <c r="JH51" s="136"/>
      <c r="JI51" s="136"/>
      <c r="KB51" s="136"/>
      <c r="KC51" s="3"/>
      <c r="KD51" s="3"/>
      <c r="KE51" s="3"/>
      <c r="KF51" s="136"/>
      <c r="KG51" s="136"/>
      <c r="KH51" s="136"/>
      <c r="KI51" s="136"/>
      <c r="LE51" s="168"/>
      <c r="LF51" s="3"/>
      <c r="LG51" s="2"/>
      <c r="LH51" s="157"/>
      <c r="LI51" s="3"/>
      <c r="LJ51" s="3"/>
      <c r="LK51" s="3"/>
      <c r="LL51" s="3"/>
      <c r="LM51" s="2"/>
      <c r="LN51" s="93"/>
      <c r="LO51" s="3"/>
      <c r="LP51" s="3"/>
      <c r="LQ51" s="3"/>
      <c r="LR51" s="2"/>
      <c r="LS51" s="85"/>
      <c r="LT51" s="3"/>
      <c r="LU51" s="3"/>
      <c r="LV51" s="3"/>
      <c r="LW51" s="3"/>
      <c r="LX51" s="2"/>
      <c r="LY51" s="168"/>
      <c r="LZ51" s="2" t="s">
        <v>2867</v>
      </c>
      <c r="MA51" s="2" t="s">
        <v>1685</v>
      </c>
      <c r="MB51" s="3" t="s">
        <v>2431</v>
      </c>
      <c r="MC51" s="3" t="s">
        <v>2431</v>
      </c>
      <c r="MD51" s="3" t="s">
        <v>2431</v>
      </c>
      <c r="ME51" s="3" t="s">
        <v>2431</v>
      </c>
      <c r="MF51" s="3" t="s">
        <v>2431</v>
      </c>
      <c r="MG51" s="3" t="s">
        <v>2431</v>
      </c>
      <c r="MH51" s="3" t="s">
        <v>2431</v>
      </c>
      <c r="MI51" s="3" t="s">
        <v>2433</v>
      </c>
      <c r="MJ51" s="2"/>
      <c r="NL51" s="3"/>
      <c r="NM51" s="3"/>
      <c r="NN51" s="3"/>
      <c r="NO51" s="3"/>
      <c r="NP51" s="3"/>
      <c r="NQ51" s="3"/>
      <c r="NR51" s="3"/>
      <c r="NS51" s="3"/>
    </row>
    <row r="52" spans="1:383" ht="150">
      <c r="A52" s="57" t="s">
        <v>674</v>
      </c>
      <c r="B52" s="13" t="s">
        <v>475</v>
      </c>
      <c r="C52" s="136">
        <v>9.86</v>
      </c>
      <c r="D52" s="136">
        <v>9.57</v>
      </c>
      <c r="E52" s="136">
        <v>9.43</v>
      </c>
      <c r="F52" s="365">
        <f t="shared" ref="F52:G58" si="64">AVERAGE(B52:E52)</f>
        <v>9.6199999999999992</v>
      </c>
      <c r="G52" s="364">
        <f t="shared" si="64"/>
        <v>9.6199999999999992</v>
      </c>
      <c r="I52">
        <v>9</v>
      </c>
      <c r="J52">
        <v>10</v>
      </c>
      <c r="K52">
        <v>10</v>
      </c>
      <c r="L52">
        <v>9</v>
      </c>
      <c r="M52"/>
      <c r="N52">
        <f t="shared" ref="N52:N58" si="65">AVERAGE(I52:L52)</f>
        <v>9.5</v>
      </c>
      <c r="AM52" s="275">
        <v>45790</v>
      </c>
      <c r="AN52" s="276" t="s">
        <v>3051</v>
      </c>
      <c r="AO52" s="276"/>
      <c r="AP52" s="276"/>
      <c r="AS52" s="275">
        <v>45818</v>
      </c>
      <c r="AT52" s="276" t="s">
        <v>3051</v>
      </c>
      <c r="AU52" s="276"/>
      <c r="AV52" s="276"/>
      <c r="DI52" s="81"/>
      <c r="DJ52" s="81"/>
      <c r="DK52" s="81"/>
      <c r="DL52" s="81"/>
      <c r="DM52" s="81"/>
      <c r="GM52" s="175" t="s">
        <v>1677</v>
      </c>
      <c r="GN52" s="171" t="s">
        <v>2354</v>
      </c>
      <c r="GO52" s="171" t="s">
        <v>2355</v>
      </c>
      <c r="GP52" s="171" t="s">
        <v>2356</v>
      </c>
      <c r="GQ52" s="172" t="s">
        <v>2357</v>
      </c>
      <c r="GR52" s="171" t="s">
        <v>2358</v>
      </c>
      <c r="GS52" s="171" t="s">
        <v>2359</v>
      </c>
      <c r="GT52" s="171" t="s">
        <v>2360</v>
      </c>
      <c r="GU52" s="172" t="s">
        <v>2361</v>
      </c>
      <c r="GV52" s="6" t="s">
        <v>2480</v>
      </c>
      <c r="HJ52" s="168"/>
      <c r="HM52" s="157"/>
      <c r="HS52" s="93"/>
      <c r="HX52" s="85"/>
      <c r="ID52" s="168"/>
      <c r="IE52" s="2" t="s">
        <v>2867</v>
      </c>
      <c r="IF52" s="2" t="s">
        <v>1685</v>
      </c>
      <c r="IG52" s="3" t="s">
        <v>2432</v>
      </c>
      <c r="IH52" s="3" t="s">
        <v>2432</v>
      </c>
      <c r="II52" s="3" t="s">
        <v>2432</v>
      </c>
      <c r="IJ52" s="3" t="s">
        <v>2432</v>
      </c>
      <c r="IK52" s="3" t="s">
        <v>2432</v>
      </c>
      <c r="IL52" s="3" t="s">
        <v>2432</v>
      </c>
      <c r="IM52" s="3" t="s">
        <v>2432</v>
      </c>
      <c r="IN52" s="3" t="s">
        <v>2432</v>
      </c>
      <c r="JH52" s="175" t="s">
        <v>1677</v>
      </c>
      <c r="JI52" s="171" t="s">
        <v>2354</v>
      </c>
      <c r="JJ52" s="171" t="s">
        <v>2355</v>
      </c>
      <c r="JK52" s="171" t="s">
        <v>2356</v>
      </c>
      <c r="JL52" s="172" t="s">
        <v>2357</v>
      </c>
      <c r="JM52" s="171" t="s">
        <v>2358</v>
      </c>
      <c r="JN52" s="171" t="s">
        <v>2359</v>
      </c>
      <c r="JO52" s="171" t="s">
        <v>2360</v>
      </c>
      <c r="JP52" s="172" t="s">
        <v>2361</v>
      </c>
      <c r="JQ52" s="6" t="s">
        <v>2480</v>
      </c>
      <c r="KB52" s="136"/>
      <c r="KC52" s="3"/>
      <c r="KD52" s="3"/>
      <c r="KE52" s="3"/>
      <c r="KF52" s="136"/>
      <c r="KG52" s="136"/>
      <c r="KH52" s="175" t="s">
        <v>1677</v>
      </c>
      <c r="KI52" s="171" t="s">
        <v>2354</v>
      </c>
      <c r="KJ52" s="171" t="s">
        <v>2355</v>
      </c>
      <c r="KK52" s="171" t="s">
        <v>2356</v>
      </c>
      <c r="KL52" s="172" t="s">
        <v>2357</v>
      </c>
      <c r="KM52" s="171" t="s">
        <v>2358</v>
      </c>
      <c r="KN52" s="171" t="s">
        <v>2359</v>
      </c>
      <c r="KO52" s="171" t="s">
        <v>2360</v>
      </c>
      <c r="KP52" s="172" t="s">
        <v>2361</v>
      </c>
      <c r="KQ52" s="6" t="s">
        <v>2480</v>
      </c>
      <c r="LE52" s="168"/>
      <c r="LF52" s="3"/>
      <c r="LG52" s="2"/>
      <c r="LH52" s="157"/>
      <c r="LI52" s="3"/>
      <c r="LJ52" s="3"/>
      <c r="LK52" s="3"/>
      <c r="LL52" s="3"/>
      <c r="LM52" s="2"/>
      <c r="LN52" s="93"/>
      <c r="LO52" s="3"/>
      <c r="LP52" s="3"/>
      <c r="LQ52" s="3"/>
      <c r="LR52" s="2"/>
      <c r="LS52" s="85"/>
      <c r="LT52" s="3"/>
      <c r="LU52" s="3"/>
      <c r="LV52" s="3"/>
      <c r="LW52" s="3"/>
      <c r="LX52" s="2"/>
      <c r="LY52" s="168"/>
      <c r="LZ52" s="2" t="s">
        <v>2867</v>
      </c>
      <c r="MA52" s="2" t="s">
        <v>1685</v>
      </c>
      <c r="MB52" s="3" t="s">
        <v>2432</v>
      </c>
      <c r="MC52" s="3" t="s">
        <v>2432</v>
      </c>
      <c r="MD52" s="3" t="s">
        <v>2432</v>
      </c>
      <c r="ME52" s="3" t="s">
        <v>2432</v>
      </c>
      <c r="MF52" s="3" t="s">
        <v>2432</v>
      </c>
      <c r="MG52" s="3" t="s">
        <v>2432</v>
      </c>
      <c r="MH52" s="3" t="s">
        <v>2432</v>
      </c>
      <c r="MI52" s="3" t="s">
        <v>2432</v>
      </c>
      <c r="MJ52" s="2"/>
      <c r="NL52" s="3"/>
      <c r="NM52" s="3"/>
      <c r="NN52" s="3"/>
      <c r="NO52" s="3"/>
      <c r="NP52" s="3"/>
      <c r="NQ52" s="3"/>
      <c r="NR52" s="3"/>
      <c r="NS52" s="3"/>
    </row>
    <row r="53" spans="1:383" ht="150">
      <c r="A53" s="57" t="s">
        <v>2397</v>
      </c>
      <c r="B53" s="13" t="s">
        <v>544</v>
      </c>
      <c r="C53" s="136">
        <v>9.57</v>
      </c>
      <c r="D53" s="136">
        <v>9.2899999999999991</v>
      </c>
      <c r="E53" s="136">
        <v>9</v>
      </c>
      <c r="F53" s="365">
        <f t="shared" si="64"/>
        <v>9.2866666666666671</v>
      </c>
      <c r="G53" s="364">
        <f t="shared" si="64"/>
        <v>9.2866666666666671</v>
      </c>
      <c r="I53">
        <v>8</v>
      </c>
      <c r="J53">
        <v>10</v>
      </c>
      <c r="K53">
        <v>10</v>
      </c>
      <c r="L53">
        <v>8</v>
      </c>
      <c r="M53"/>
      <c r="N53">
        <f t="shared" si="65"/>
        <v>9</v>
      </c>
      <c r="AM53" s="275">
        <v>45792</v>
      </c>
      <c r="AN53" s="276" t="s">
        <v>3051</v>
      </c>
      <c r="AO53" s="276"/>
      <c r="AP53" s="276"/>
      <c r="AS53" s="275">
        <v>45820</v>
      </c>
      <c r="AT53" s="276" t="s">
        <v>3051</v>
      </c>
      <c r="AU53" s="276"/>
      <c r="AV53" s="276"/>
      <c r="DI53" s="81"/>
      <c r="DJ53" s="81"/>
      <c r="DK53" s="81"/>
      <c r="DL53" s="81"/>
      <c r="DM53" s="81"/>
      <c r="GM53" s="184" t="s">
        <v>2525</v>
      </c>
      <c r="GN53" s="173">
        <f t="shared" ref="GN53:GU53" si="66">COUNTIFS($BA$2:$BA$425,"ΚΟΥΜΑΚΗΣ ΚΩΣΤΑΣ",IG$2:IG$425,"κακή")</f>
        <v>0</v>
      </c>
      <c r="GO53" s="173">
        <f t="shared" si="66"/>
        <v>0</v>
      </c>
      <c r="GP53" s="173">
        <f t="shared" si="66"/>
        <v>0</v>
      </c>
      <c r="GQ53" s="173">
        <f t="shared" si="66"/>
        <v>0</v>
      </c>
      <c r="GR53" s="173">
        <f t="shared" si="66"/>
        <v>0</v>
      </c>
      <c r="GS53" s="173">
        <f t="shared" si="66"/>
        <v>0</v>
      </c>
      <c r="GT53" s="173">
        <f t="shared" si="66"/>
        <v>0</v>
      </c>
      <c r="GU53" s="173">
        <f t="shared" si="66"/>
        <v>0</v>
      </c>
      <c r="GV53" s="170">
        <f>SUM(GR53:GU53)</f>
        <v>0</v>
      </c>
      <c r="HJ53" s="168"/>
      <c r="HM53" s="157"/>
      <c r="HS53" s="93"/>
      <c r="HX53" s="85"/>
      <c r="ID53" s="168"/>
      <c r="IE53" s="2" t="s">
        <v>2867</v>
      </c>
      <c r="IF53" s="2" t="s">
        <v>1685</v>
      </c>
      <c r="IG53" s="3" t="s">
        <v>2431</v>
      </c>
      <c r="IH53" s="3" t="s">
        <v>2431</v>
      </c>
      <c r="II53" s="3" t="s">
        <v>2431</v>
      </c>
      <c r="IJ53" s="3" t="s">
        <v>2431</v>
      </c>
      <c r="IK53" s="3" t="s">
        <v>2431</v>
      </c>
      <c r="IL53" s="3" t="s">
        <v>2431</v>
      </c>
      <c r="IM53" s="3" t="s">
        <v>2431</v>
      </c>
      <c r="IN53" s="3" t="s">
        <v>2431</v>
      </c>
      <c r="JH53" s="184" t="s">
        <v>2525</v>
      </c>
      <c r="JI53" s="173" t="e">
        <f>#REF!</f>
        <v>#REF!</v>
      </c>
      <c r="JJ53" s="173" t="e">
        <f>#REF!</f>
        <v>#REF!</v>
      </c>
      <c r="JK53" s="173" t="e">
        <f>#REF!</f>
        <v>#REF!</v>
      </c>
      <c r="JL53" s="173" t="e">
        <f>#REF!</f>
        <v>#REF!</v>
      </c>
      <c r="JM53" s="173" t="e">
        <f>#REF!</f>
        <v>#REF!</v>
      </c>
      <c r="JN53" s="173" t="e">
        <f>#REF!</f>
        <v>#REF!</v>
      </c>
      <c r="JO53" s="173" t="e">
        <f>#REF!</f>
        <v>#REF!</v>
      </c>
      <c r="JP53" s="173" t="e">
        <f>#REF!</f>
        <v>#REF!</v>
      </c>
      <c r="JQ53" s="170" t="e">
        <f>SUM(JM53:JP53)</f>
        <v>#REF!</v>
      </c>
      <c r="KB53" s="136"/>
      <c r="KC53" s="3"/>
      <c r="KD53" s="3"/>
      <c r="KE53" s="3"/>
      <c r="KF53" s="136"/>
      <c r="KG53" s="136"/>
      <c r="KH53" s="184" t="s">
        <v>2525</v>
      </c>
      <c r="KI53" s="173">
        <f t="shared" ref="KI53:KP53" si="67">COUNTIFS($BA$2:$BA$425,"ΚΟΥΜΑΚΗΣ ΚΩΣΤΑΣ",MB$2:MB$425,"κακή")</f>
        <v>0</v>
      </c>
      <c r="KJ53" s="173">
        <f t="shared" si="67"/>
        <v>0</v>
      </c>
      <c r="KK53" s="173">
        <f t="shared" si="67"/>
        <v>0</v>
      </c>
      <c r="KL53" s="173">
        <f t="shared" si="67"/>
        <v>0</v>
      </c>
      <c r="KM53" s="173">
        <f t="shared" si="67"/>
        <v>0</v>
      </c>
      <c r="KN53" s="173">
        <f t="shared" si="67"/>
        <v>0</v>
      </c>
      <c r="KO53" s="173">
        <f t="shared" si="67"/>
        <v>0</v>
      </c>
      <c r="KP53" s="173">
        <f t="shared" si="67"/>
        <v>0</v>
      </c>
      <c r="KQ53" s="170">
        <f>SUM(KM53:KP53)</f>
        <v>0</v>
      </c>
      <c r="LE53" s="168"/>
      <c r="LF53" s="3"/>
      <c r="LG53" s="2"/>
      <c r="LH53" s="157"/>
      <c r="LI53" s="3"/>
      <c r="LJ53" s="3"/>
      <c r="LK53" s="3"/>
      <c r="LL53" s="3"/>
      <c r="LM53" s="2"/>
      <c r="LN53" s="93"/>
      <c r="LO53" s="3"/>
      <c r="LP53" s="3"/>
      <c r="LQ53" s="3"/>
      <c r="LR53" s="2"/>
      <c r="LS53" s="85"/>
      <c r="LT53" s="3"/>
      <c r="LU53" s="3"/>
      <c r="LV53" s="3"/>
      <c r="LW53" s="3"/>
      <c r="LX53" s="2"/>
      <c r="LY53" s="168"/>
      <c r="LZ53" s="2" t="s">
        <v>2867</v>
      </c>
      <c r="MA53" s="2" t="s">
        <v>1685</v>
      </c>
      <c r="MB53" s="3" t="s">
        <v>2431</v>
      </c>
      <c r="MC53" s="3" t="s">
        <v>2431</v>
      </c>
      <c r="MD53" s="3" t="s">
        <v>2431</v>
      </c>
      <c r="ME53" s="3" t="s">
        <v>2431</v>
      </c>
      <c r="MF53" s="3" t="s">
        <v>2431</v>
      </c>
      <c r="MG53" s="3" t="s">
        <v>2431</v>
      </c>
      <c r="MH53" s="3" t="s">
        <v>2431</v>
      </c>
      <c r="MI53" s="3" t="s">
        <v>2431</v>
      </c>
      <c r="MJ53" s="2"/>
      <c r="MZ53" s="438" t="s">
        <v>3059</v>
      </c>
      <c r="NL53" s="3"/>
      <c r="NM53" s="3"/>
      <c r="NN53" s="3"/>
      <c r="NO53" s="3"/>
      <c r="NP53" s="3"/>
      <c r="NQ53" s="3"/>
      <c r="NR53" s="3"/>
      <c r="NS53" s="3"/>
    </row>
    <row r="54" spans="1:383" ht="150">
      <c r="A54" s="57" t="s">
        <v>2398</v>
      </c>
      <c r="B54" s="13" t="s">
        <v>2449</v>
      </c>
      <c r="C54" s="136">
        <v>9.7100000000000009</v>
      </c>
      <c r="D54" s="136">
        <v>9.57</v>
      </c>
      <c r="E54" s="136">
        <v>9.57</v>
      </c>
      <c r="F54" s="365">
        <f t="shared" si="64"/>
        <v>9.6166666666666671</v>
      </c>
      <c r="G54" s="364">
        <f t="shared" si="64"/>
        <v>9.6166666666666671</v>
      </c>
      <c r="I54">
        <v>9</v>
      </c>
      <c r="J54">
        <v>10</v>
      </c>
      <c r="K54">
        <v>10</v>
      </c>
      <c r="L54">
        <v>9</v>
      </c>
      <c r="M54"/>
      <c r="N54">
        <f t="shared" si="65"/>
        <v>9.5</v>
      </c>
      <c r="AM54" s="275">
        <v>45794</v>
      </c>
      <c r="AN54" s="276" t="s">
        <v>3051</v>
      </c>
      <c r="AO54" s="276"/>
      <c r="AP54" s="276"/>
      <c r="AS54" s="275">
        <v>45822</v>
      </c>
      <c r="AT54" s="276" t="s">
        <v>3051</v>
      </c>
      <c r="AU54" s="276"/>
      <c r="AV54" s="276"/>
      <c r="DI54" s="81"/>
      <c r="DJ54" s="81"/>
      <c r="DK54" s="81"/>
      <c r="DL54" s="81"/>
      <c r="DM54" s="81"/>
      <c r="GM54" s="184" t="s">
        <v>2435</v>
      </c>
      <c r="GN54" s="173">
        <f t="shared" ref="GN54:GU54" si="68">COUNTIFS($BA$2:$BA$425,"ΚΟΥΜΑΚΗΣ ΚΩΣΤΑΣ",IG$2:IG$425,"μέτρια")</f>
        <v>0</v>
      </c>
      <c r="GO54" s="173">
        <f t="shared" si="68"/>
        <v>0</v>
      </c>
      <c r="GP54" s="173">
        <f t="shared" si="68"/>
        <v>0</v>
      </c>
      <c r="GQ54" s="173">
        <f t="shared" si="68"/>
        <v>0</v>
      </c>
      <c r="GR54" s="173">
        <f t="shared" si="68"/>
        <v>0</v>
      </c>
      <c r="GS54" s="173">
        <f t="shared" si="68"/>
        <v>0</v>
      </c>
      <c r="GT54" s="173">
        <f t="shared" si="68"/>
        <v>0</v>
      </c>
      <c r="GU54" s="173">
        <f t="shared" si="68"/>
        <v>0</v>
      </c>
      <c r="GV54" s="170">
        <f>SUM(GR54:GU54)</f>
        <v>0</v>
      </c>
      <c r="HJ54" s="168"/>
      <c r="HM54" s="157"/>
      <c r="HS54" s="93"/>
      <c r="HX54" s="85"/>
      <c r="ID54" s="168"/>
      <c r="IE54" s="2" t="s">
        <v>2867</v>
      </c>
      <c r="IF54" s="2" t="s">
        <v>1685</v>
      </c>
      <c r="IG54" s="3" t="s">
        <v>2431</v>
      </c>
      <c r="IH54" s="3" t="s">
        <v>2431</v>
      </c>
      <c r="II54" s="3" t="s">
        <v>2431</v>
      </c>
      <c r="IJ54" s="3" t="s">
        <v>2431</v>
      </c>
      <c r="IK54" s="3" t="s">
        <v>2431</v>
      </c>
      <c r="IL54" s="3" t="s">
        <v>2431</v>
      </c>
      <c r="IM54" s="3" t="s">
        <v>2431</v>
      </c>
      <c r="IN54" s="3" t="s">
        <v>2431</v>
      </c>
      <c r="JH54" s="184" t="s">
        <v>2435</v>
      </c>
      <c r="JI54" s="173" t="e">
        <f>#REF!</f>
        <v>#REF!</v>
      </c>
      <c r="JJ54" s="173" t="e">
        <f>#REF!</f>
        <v>#REF!</v>
      </c>
      <c r="JK54" s="173" t="e">
        <f>#REF!</f>
        <v>#REF!</v>
      </c>
      <c r="JL54" s="173" t="e">
        <f>#REF!</f>
        <v>#REF!</v>
      </c>
      <c r="JM54" s="173" t="e">
        <f>#REF!</f>
        <v>#REF!</v>
      </c>
      <c r="JN54" s="173" t="e">
        <f>#REF!</f>
        <v>#REF!</v>
      </c>
      <c r="JO54" s="173" t="e">
        <f>#REF!</f>
        <v>#REF!</v>
      </c>
      <c r="JP54" s="173" t="e">
        <f>#REF!</f>
        <v>#REF!</v>
      </c>
      <c r="JQ54" s="170" t="e">
        <f>SUM(JM54:JP54)</f>
        <v>#REF!</v>
      </c>
      <c r="KB54" s="136"/>
      <c r="KC54" s="3"/>
      <c r="KD54" s="3"/>
      <c r="KE54" s="3"/>
      <c r="KF54" s="136"/>
      <c r="KG54" s="136"/>
      <c r="KH54" s="184" t="s">
        <v>2435</v>
      </c>
      <c r="KI54" s="173">
        <f t="shared" ref="KI54:KP54" si="69">COUNTIFS($BA$2:$BA$425,"ΚΟΥΜΑΚΗΣ ΚΩΣΤΑΣ",MB$2:MB$425,"μέτρια")</f>
        <v>0</v>
      </c>
      <c r="KJ54" s="173">
        <f t="shared" si="69"/>
        <v>0</v>
      </c>
      <c r="KK54" s="173">
        <f t="shared" si="69"/>
        <v>0</v>
      </c>
      <c r="KL54" s="173">
        <f t="shared" si="69"/>
        <v>0</v>
      </c>
      <c r="KM54" s="173">
        <f t="shared" si="69"/>
        <v>0</v>
      </c>
      <c r="KN54" s="173">
        <f t="shared" si="69"/>
        <v>0</v>
      </c>
      <c r="KO54" s="173">
        <f t="shared" si="69"/>
        <v>0</v>
      </c>
      <c r="KP54" s="173">
        <f t="shared" si="69"/>
        <v>0</v>
      </c>
      <c r="KQ54" s="170">
        <f>SUM(KM54:KP54)</f>
        <v>0</v>
      </c>
      <c r="LE54" s="168"/>
      <c r="LF54" s="3"/>
      <c r="LG54" s="2"/>
      <c r="LH54" s="157"/>
      <c r="LI54" s="3"/>
      <c r="LJ54" s="3"/>
      <c r="LK54" s="3"/>
      <c r="LL54" s="3"/>
      <c r="LM54" s="2"/>
      <c r="LN54" s="93"/>
      <c r="LO54" s="3"/>
      <c r="LP54" s="3"/>
      <c r="LQ54" s="3"/>
      <c r="LR54" s="2"/>
      <c r="LS54" s="85"/>
      <c r="LT54" s="3"/>
      <c r="LU54" s="3"/>
      <c r="LV54" s="3"/>
      <c r="LW54" s="3"/>
      <c r="LX54" s="2"/>
      <c r="LY54" s="168"/>
      <c r="LZ54" s="2" t="s">
        <v>2867</v>
      </c>
      <c r="MA54" s="2" t="s">
        <v>1685</v>
      </c>
      <c r="MB54" s="3" t="s">
        <v>2431</v>
      </c>
      <c r="MC54" s="3" t="s">
        <v>2431</v>
      </c>
      <c r="MD54" s="3" t="s">
        <v>2431</v>
      </c>
      <c r="ME54" s="3" t="s">
        <v>2431</v>
      </c>
      <c r="MF54" s="3" t="s">
        <v>2431</v>
      </c>
      <c r="MG54" s="3" t="s">
        <v>2431</v>
      </c>
      <c r="MH54" s="3" t="s">
        <v>2431</v>
      </c>
      <c r="MI54" s="3" t="s">
        <v>2431</v>
      </c>
      <c r="MJ54" s="2"/>
      <c r="NL54" s="3"/>
      <c r="NM54" s="3"/>
      <c r="NN54" s="3"/>
      <c r="NO54" s="3"/>
      <c r="NP54" s="3"/>
      <c r="NQ54" s="3"/>
      <c r="NR54" s="3"/>
      <c r="NS54" s="3"/>
    </row>
    <row r="55" spans="1:383" ht="150">
      <c r="A55" s="57" t="s">
        <v>2399</v>
      </c>
      <c r="B55" s="13" t="s">
        <v>746</v>
      </c>
      <c r="C55" s="136">
        <v>9.7100000000000009</v>
      </c>
      <c r="D55" s="136">
        <v>9.43</v>
      </c>
      <c r="E55" s="136">
        <v>9.57</v>
      </c>
      <c r="F55" s="365">
        <f t="shared" si="64"/>
        <v>9.57</v>
      </c>
      <c r="G55" s="364">
        <f t="shared" si="64"/>
        <v>9.57</v>
      </c>
      <c r="I55">
        <v>9</v>
      </c>
      <c r="J55">
        <v>10</v>
      </c>
      <c r="K55">
        <v>10</v>
      </c>
      <c r="L55">
        <v>9</v>
      </c>
      <c r="M55"/>
      <c r="N55">
        <f t="shared" si="65"/>
        <v>9.5</v>
      </c>
      <c r="AM55" s="273">
        <v>45797</v>
      </c>
      <c r="AN55" s="274" t="s">
        <v>3051</v>
      </c>
      <c r="AO55" s="274"/>
      <c r="AP55" s="274"/>
      <c r="AS55" s="273">
        <v>45825</v>
      </c>
      <c r="AT55" s="274" t="s">
        <v>3051</v>
      </c>
      <c r="AU55" s="274"/>
      <c r="AV55" s="274"/>
      <c r="DI55" s="81"/>
      <c r="DJ55" s="81"/>
      <c r="DK55" s="81"/>
      <c r="DL55" s="81"/>
      <c r="DM55" s="81"/>
      <c r="GM55" s="184" t="s">
        <v>2603</v>
      </c>
      <c r="GN55" s="173">
        <f t="shared" ref="GN55:GU55" si="70">COUNTIFS($BA$2:$BA$425,"ΚΟΥΜΑΚΗΣ ΚΩΣΤΑΣ",IG$2:IG$425,"καλή")</f>
        <v>0</v>
      </c>
      <c r="GO55" s="173">
        <f t="shared" si="70"/>
        <v>0</v>
      </c>
      <c r="GP55" s="173">
        <f t="shared" si="70"/>
        <v>0</v>
      </c>
      <c r="GQ55" s="173">
        <f t="shared" si="70"/>
        <v>0</v>
      </c>
      <c r="GR55" s="173">
        <f t="shared" si="70"/>
        <v>0</v>
      </c>
      <c r="GS55" s="173">
        <f t="shared" si="70"/>
        <v>0</v>
      </c>
      <c r="GT55" s="173">
        <f t="shared" si="70"/>
        <v>0</v>
      </c>
      <c r="GU55" s="173">
        <f t="shared" si="70"/>
        <v>0</v>
      </c>
      <c r="GV55" s="199">
        <f>SUM(GR55:GU55)</f>
        <v>0</v>
      </c>
      <c r="HJ55" s="168"/>
      <c r="HM55" s="157"/>
      <c r="HS55" s="93"/>
      <c r="HX55" s="85"/>
      <c r="ID55" s="168"/>
      <c r="IE55" s="2" t="s">
        <v>2867</v>
      </c>
      <c r="IF55" s="2" t="s">
        <v>3060</v>
      </c>
      <c r="IG55" s="3" t="s">
        <v>2432</v>
      </c>
      <c r="IH55" s="3" t="s">
        <v>2435</v>
      </c>
      <c r="II55" s="3" t="s">
        <v>2434</v>
      </c>
      <c r="IJ55" s="3" t="s">
        <v>2433</v>
      </c>
      <c r="IK55" s="3" t="s">
        <v>2434</v>
      </c>
      <c r="IL55" s="3" t="s">
        <v>2434</v>
      </c>
      <c r="IM55" s="3" t="s">
        <v>2434</v>
      </c>
      <c r="IN55" s="3" t="s">
        <v>2434</v>
      </c>
      <c r="JH55" s="184" t="s">
        <v>2603</v>
      </c>
      <c r="JI55" s="173" t="e">
        <f>#REF!</f>
        <v>#REF!</v>
      </c>
      <c r="JJ55" s="173" t="e">
        <f>#REF!</f>
        <v>#REF!</v>
      </c>
      <c r="JK55" s="173" t="e">
        <f>#REF!</f>
        <v>#REF!</v>
      </c>
      <c r="JL55" s="173" t="e">
        <f>#REF!</f>
        <v>#REF!</v>
      </c>
      <c r="JM55" s="173" t="e">
        <f>#REF!</f>
        <v>#REF!</v>
      </c>
      <c r="JN55" s="173" t="e">
        <f>#REF!</f>
        <v>#REF!</v>
      </c>
      <c r="JO55" s="173" t="e">
        <f>#REF!</f>
        <v>#REF!</v>
      </c>
      <c r="JP55" s="173" t="e">
        <f>#REF!</f>
        <v>#REF!</v>
      </c>
      <c r="JQ55" s="199" t="e">
        <f>SUM(JM55:JP55)</f>
        <v>#REF!</v>
      </c>
      <c r="KB55" s="136"/>
      <c r="KC55" s="3"/>
      <c r="KD55" s="3"/>
      <c r="KE55" s="3"/>
      <c r="KF55" s="136"/>
      <c r="KG55" s="136"/>
      <c r="KH55" s="184" t="s">
        <v>2603</v>
      </c>
      <c r="KI55" s="173">
        <f t="shared" ref="KI55:KP55" si="71">COUNTIFS($BA$2:$BA$425,"ΚΟΥΜΑΚΗΣ ΚΩΣΤΑΣ",MB$2:MB$425,"καλή")</f>
        <v>0</v>
      </c>
      <c r="KJ55" s="173">
        <f t="shared" si="71"/>
        <v>0</v>
      </c>
      <c r="KK55" s="173">
        <f t="shared" si="71"/>
        <v>0</v>
      </c>
      <c r="KL55" s="173">
        <f t="shared" si="71"/>
        <v>0</v>
      </c>
      <c r="KM55" s="173">
        <f t="shared" si="71"/>
        <v>0</v>
      </c>
      <c r="KN55" s="173">
        <f t="shared" si="71"/>
        <v>0</v>
      </c>
      <c r="KO55" s="173">
        <f t="shared" si="71"/>
        <v>0</v>
      </c>
      <c r="KP55" s="173">
        <f t="shared" si="71"/>
        <v>0</v>
      </c>
      <c r="KQ55" s="199">
        <f>SUM(KM55:KP55)</f>
        <v>0</v>
      </c>
      <c r="LE55" s="168"/>
      <c r="LF55" s="3"/>
      <c r="LG55" s="2"/>
      <c r="LH55" s="157"/>
      <c r="LI55" s="3"/>
      <c r="LJ55" s="3"/>
      <c r="LK55" s="3"/>
      <c r="LL55" s="3"/>
      <c r="LM55" s="2"/>
      <c r="LN55" s="93"/>
      <c r="LO55" s="3"/>
      <c r="LP55" s="3"/>
      <c r="LQ55" s="3"/>
      <c r="LR55" s="2"/>
      <c r="LS55" s="85"/>
      <c r="LT55" s="3"/>
      <c r="LU55" s="3"/>
      <c r="LV55" s="3"/>
      <c r="LW55" s="3"/>
      <c r="LX55" s="2"/>
      <c r="LY55" s="168"/>
      <c r="LZ55" s="2" t="s">
        <v>2867</v>
      </c>
      <c r="MA55" s="2" t="s">
        <v>3060</v>
      </c>
      <c r="MB55" s="3" t="s">
        <v>2432</v>
      </c>
      <c r="MC55" s="3" t="s">
        <v>2435</v>
      </c>
      <c r="MD55" s="3" t="s">
        <v>2434</v>
      </c>
      <c r="ME55" s="3" t="s">
        <v>2433</v>
      </c>
      <c r="MF55" s="3" t="s">
        <v>2434</v>
      </c>
      <c r="MG55" s="3" t="s">
        <v>2434</v>
      </c>
      <c r="MH55" s="3" t="s">
        <v>2434</v>
      </c>
      <c r="MI55" s="3" t="s">
        <v>2434</v>
      </c>
      <c r="MJ55" s="2"/>
      <c r="MZ55" t="s">
        <v>3061</v>
      </c>
      <c r="NL55" s="3"/>
      <c r="NM55" s="3"/>
      <c r="NN55" s="3"/>
      <c r="NO55" s="3"/>
      <c r="NP55" s="3"/>
      <c r="NQ55" s="3"/>
      <c r="NR55" s="3"/>
      <c r="NS55" s="3"/>
    </row>
    <row r="56" spans="1:383" ht="150">
      <c r="A56" s="57" t="s">
        <v>2400</v>
      </c>
      <c r="B56" s="13" t="s">
        <v>746</v>
      </c>
      <c r="C56" s="136">
        <v>7.57</v>
      </c>
      <c r="D56" s="136">
        <v>6.57</v>
      </c>
      <c r="E56" s="136">
        <v>7.71</v>
      </c>
      <c r="F56" s="365">
        <f t="shared" si="64"/>
        <v>7.2833333333333341</v>
      </c>
      <c r="G56" s="364">
        <f t="shared" si="64"/>
        <v>7.2833333333333341</v>
      </c>
      <c r="I56">
        <v>6</v>
      </c>
      <c r="J56">
        <v>10</v>
      </c>
      <c r="K56">
        <v>7</v>
      </c>
      <c r="L56">
        <v>5</v>
      </c>
      <c r="M56"/>
      <c r="N56">
        <f t="shared" si="65"/>
        <v>7</v>
      </c>
      <c r="AM56" s="273">
        <v>45799</v>
      </c>
      <c r="AN56" s="274" t="s">
        <v>3051</v>
      </c>
      <c r="AO56" s="274"/>
      <c r="AP56" s="274"/>
      <c r="AS56" s="273">
        <v>45827</v>
      </c>
      <c r="AT56" s="274" t="s">
        <v>3051</v>
      </c>
      <c r="AU56" s="274"/>
      <c r="AV56" s="274"/>
      <c r="DI56" s="81"/>
      <c r="DJ56" s="81"/>
      <c r="DK56" s="81"/>
      <c r="DL56" s="81"/>
      <c r="DM56" s="81"/>
      <c r="GM56" s="184" t="s">
        <v>2639</v>
      </c>
      <c r="GN56" s="173">
        <f t="shared" ref="GN56:GU56" si="72">COUNTIFS($BA$2:$BA$425,"ΚΟΥΜΑΚΗΣ ΚΩΣΤΑΣ",IG$2:IG$425,"πολύ καλή")</f>
        <v>0</v>
      </c>
      <c r="GO56" s="173">
        <f t="shared" si="72"/>
        <v>0</v>
      </c>
      <c r="GP56" s="173">
        <f t="shared" si="72"/>
        <v>0</v>
      </c>
      <c r="GQ56" s="173">
        <f t="shared" si="72"/>
        <v>0</v>
      </c>
      <c r="GR56" s="173">
        <f t="shared" si="72"/>
        <v>0</v>
      </c>
      <c r="GS56" s="173">
        <f t="shared" si="72"/>
        <v>0</v>
      </c>
      <c r="GT56" s="173">
        <f t="shared" si="72"/>
        <v>0</v>
      </c>
      <c r="GU56" s="173">
        <f t="shared" si="72"/>
        <v>0</v>
      </c>
      <c r="GV56" s="199">
        <f>SUM(GR56:GU56)</f>
        <v>0</v>
      </c>
      <c r="HJ56" s="168"/>
      <c r="HM56" s="157"/>
      <c r="HS56" s="93"/>
      <c r="HX56" s="85"/>
      <c r="ID56" s="168"/>
      <c r="IE56" s="2" t="s">
        <v>2867</v>
      </c>
      <c r="IF56" s="2" t="s">
        <v>3060</v>
      </c>
      <c r="IG56" s="3" t="s">
        <v>2432</v>
      </c>
      <c r="IH56" s="3" t="s">
        <v>2432</v>
      </c>
      <c r="II56" s="3" t="s">
        <v>2435</v>
      </c>
      <c r="IJ56" s="3" t="s">
        <v>2432</v>
      </c>
      <c r="IK56" s="3" t="s">
        <v>2435</v>
      </c>
      <c r="IL56" s="3" t="s">
        <v>2432</v>
      </c>
      <c r="IM56" s="3" t="s">
        <v>2432</v>
      </c>
      <c r="IN56" s="3" t="s">
        <v>2435</v>
      </c>
      <c r="JH56" s="184" t="s">
        <v>2639</v>
      </c>
      <c r="JI56" s="173" t="e">
        <f>#REF!</f>
        <v>#REF!</v>
      </c>
      <c r="JJ56" s="173" t="e">
        <f>#REF!</f>
        <v>#REF!</v>
      </c>
      <c r="JK56" s="173" t="e">
        <f>#REF!</f>
        <v>#REF!</v>
      </c>
      <c r="JL56" s="173" t="e">
        <f>#REF!</f>
        <v>#REF!</v>
      </c>
      <c r="JM56" s="173" t="e">
        <f>#REF!</f>
        <v>#REF!</v>
      </c>
      <c r="JN56" s="173" t="e">
        <f>#REF!</f>
        <v>#REF!</v>
      </c>
      <c r="JO56" s="173" t="e">
        <f>#REF!</f>
        <v>#REF!</v>
      </c>
      <c r="JP56" s="173" t="e">
        <f>#REF!</f>
        <v>#REF!</v>
      </c>
      <c r="JQ56" s="199" t="e">
        <f>SUM(JM56:JP56)</f>
        <v>#REF!</v>
      </c>
      <c r="KB56" s="136"/>
      <c r="KC56" s="3"/>
      <c r="KD56" s="3"/>
      <c r="KE56" s="3"/>
      <c r="KF56" s="136"/>
      <c r="KG56" s="136"/>
      <c r="KH56" s="184" t="s">
        <v>2639</v>
      </c>
      <c r="KI56" s="173">
        <f t="shared" ref="KI56:KP56" si="73">COUNTIFS($BA$2:$BA$425,"ΚΟΥΜΑΚΗΣ ΚΩΣΤΑΣ",MB$2:MB$425,"πολύ καλή")</f>
        <v>0</v>
      </c>
      <c r="KJ56" s="173">
        <f t="shared" si="73"/>
        <v>0</v>
      </c>
      <c r="KK56" s="173">
        <f t="shared" si="73"/>
        <v>0</v>
      </c>
      <c r="KL56" s="173">
        <f t="shared" si="73"/>
        <v>0</v>
      </c>
      <c r="KM56" s="173">
        <f t="shared" si="73"/>
        <v>0</v>
      </c>
      <c r="KN56" s="173">
        <f t="shared" si="73"/>
        <v>0</v>
      </c>
      <c r="KO56" s="173">
        <f t="shared" si="73"/>
        <v>0</v>
      </c>
      <c r="KP56" s="173">
        <f t="shared" si="73"/>
        <v>0</v>
      </c>
      <c r="KQ56" s="199">
        <f>SUM(KM56:KP56)</f>
        <v>0</v>
      </c>
      <c r="LE56" s="168"/>
      <c r="LF56" s="3"/>
      <c r="LG56" s="2"/>
      <c r="LH56" s="157"/>
      <c r="LI56" s="3"/>
      <c r="LJ56" s="3"/>
      <c r="LK56" s="3"/>
      <c r="LL56" s="3"/>
      <c r="LM56" s="2"/>
      <c r="LN56" s="93"/>
      <c r="LO56" s="3"/>
      <c r="LP56" s="3"/>
      <c r="LQ56" s="3"/>
      <c r="LR56" s="2"/>
      <c r="LS56" s="85"/>
      <c r="LT56" s="3"/>
      <c r="LU56" s="3"/>
      <c r="LV56" s="3"/>
      <c r="LW56" s="3"/>
      <c r="LX56" s="2"/>
      <c r="LY56" s="168"/>
      <c r="LZ56" s="2" t="s">
        <v>2867</v>
      </c>
      <c r="MA56" s="2" t="s">
        <v>3060</v>
      </c>
      <c r="MB56" s="3" t="s">
        <v>2432</v>
      </c>
      <c r="MC56" s="3" t="s">
        <v>2432</v>
      </c>
      <c r="MD56" s="3" t="s">
        <v>2435</v>
      </c>
      <c r="ME56" s="3" t="s">
        <v>2432</v>
      </c>
      <c r="MF56" s="3" t="s">
        <v>2435</v>
      </c>
      <c r="MG56" s="3" t="s">
        <v>2432</v>
      </c>
      <c r="MH56" s="3" t="s">
        <v>2432</v>
      </c>
      <c r="MI56" s="3" t="s">
        <v>2435</v>
      </c>
      <c r="MJ56" s="2"/>
      <c r="MZ56" t="s">
        <v>3061</v>
      </c>
      <c r="NL56" s="3"/>
      <c r="NM56" s="3"/>
      <c r="NN56" s="3"/>
      <c r="NO56" s="3"/>
      <c r="NP56" s="3"/>
      <c r="NQ56" s="3"/>
      <c r="NR56" s="3"/>
      <c r="NS56" s="3"/>
    </row>
    <row r="57" spans="1:383" ht="150.75" thickBot="1">
      <c r="A57" s="57" t="s">
        <v>2401</v>
      </c>
      <c r="B57" s="13" t="s">
        <v>604</v>
      </c>
      <c r="C57" s="136">
        <v>9.2899999999999991</v>
      </c>
      <c r="D57" s="136">
        <v>9</v>
      </c>
      <c r="E57" s="136">
        <v>9</v>
      </c>
      <c r="F57" s="365">
        <f t="shared" si="64"/>
        <v>9.0966666666666658</v>
      </c>
      <c r="G57" s="364">
        <f t="shared" si="64"/>
        <v>9.0966666666666658</v>
      </c>
      <c r="I57">
        <v>8</v>
      </c>
      <c r="J57">
        <v>10</v>
      </c>
      <c r="K57">
        <v>8</v>
      </c>
      <c r="L57">
        <v>8</v>
      </c>
      <c r="M57"/>
      <c r="N57">
        <f t="shared" si="65"/>
        <v>8.5</v>
      </c>
      <c r="AM57" s="273">
        <v>45801</v>
      </c>
      <c r="AN57" s="274" t="s">
        <v>3051</v>
      </c>
      <c r="AO57" s="274"/>
      <c r="AP57" s="274"/>
      <c r="AS57" s="273">
        <v>45829</v>
      </c>
      <c r="AT57" s="274" t="s">
        <v>3051</v>
      </c>
      <c r="AU57" s="274"/>
      <c r="AV57" s="274"/>
      <c r="DI57" s="81"/>
      <c r="DJ57" s="81"/>
      <c r="DK57" s="81"/>
      <c r="DL57" s="81"/>
      <c r="DM57" s="81"/>
      <c r="GM57" s="185" t="s">
        <v>2431</v>
      </c>
      <c r="GN57" s="187">
        <f t="shared" ref="GN57:GU57" si="74">COUNTIFS($BA$2:$BA$425,"ΚΟΥΜΑΚΗΣ ΚΩΣΤΑΣ",IG$2:IG$425,"άριστη")</f>
        <v>0</v>
      </c>
      <c r="GO57" s="187">
        <f t="shared" si="74"/>
        <v>0</v>
      </c>
      <c r="GP57" s="187">
        <f t="shared" si="74"/>
        <v>0</v>
      </c>
      <c r="GQ57" s="187">
        <f t="shared" si="74"/>
        <v>0</v>
      </c>
      <c r="GR57" s="187">
        <f t="shared" si="74"/>
        <v>0</v>
      </c>
      <c r="GS57" s="187">
        <f t="shared" si="74"/>
        <v>0</v>
      </c>
      <c r="GT57" s="187">
        <f t="shared" si="74"/>
        <v>0</v>
      </c>
      <c r="GU57" s="187">
        <f t="shared" si="74"/>
        <v>0</v>
      </c>
      <c r="GV57" s="199">
        <f>SUM(GR57:GU57)</f>
        <v>0</v>
      </c>
      <c r="HJ57" s="168"/>
      <c r="HM57" s="157"/>
      <c r="HS57" s="93"/>
      <c r="HX57" s="85"/>
      <c r="ID57" s="168"/>
      <c r="IE57" s="2" t="s">
        <v>2867</v>
      </c>
      <c r="IF57" s="2" t="s">
        <v>3060</v>
      </c>
      <c r="IG57" s="3" t="s">
        <v>2431</v>
      </c>
      <c r="IH57" s="3" t="s">
        <v>2431</v>
      </c>
      <c r="II57" s="3" t="s">
        <v>2433</v>
      </c>
      <c r="IJ57" s="3" t="s">
        <v>2431</v>
      </c>
      <c r="IK57" s="3" t="s">
        <v>2431</v>
      </c>
      <c r="IL57" s="3" t="s">
        <v>2431</v>
      </c>
      <c r="IM57" s="3" t="s">
        <v>2431</v>
      </c>
      <c r="IN57" s="3" t="s">
        <v>2431</v>
      </c>
      <c r="JH57" s="185" t="s">
        <v>2431</v>
      </c>
      <c r="JI57" s="173" t="e">
        <f>#REF!</f>
        <v>#REF!</v>
      </c>
      <c r="JJ57" s="173" t="e">
        <f>#REF!</f>
        <v>#REF!</v>
      </c>
      <c r="JK57" s="173" t="e">
        <f>#REF!</f>
        <v>#REF!</v>
      </c>
      <c r="JL57" s="173" t="e">
        <f>#REF!</f>
        <v>#REF!</v>
      </c>
      <c r="JM57" s="173" t="e">
        <f>#REF!</f>
        <v>#REF!</v>
      </c>
      <c r="JN57" s="173" t="e">
        <f>#REF!</f>
        <v>#REF!</v>
      </c>
      <c r="JO57" s="173" t="e">
        <f>#REF!</f>
        <v>#REF!</v>
      </c>
      <c r="JP57" s="173" t="e">
        <f>#REF!</f>
        <v>#REF!</v>
      </c>
      <c r="JQ57" s="199" t="e">
        <f>SUM(JM57:JP57)</f>
        <v>#REF!</v>
      </c>
      <c r="KB57" s="136"/>
      <c r="KC57" s="3"/>
      <c r="KD57" s="3"/>
      <c r="KE57" s="3"/>
      <c r="KF57" s="136"/>
      <c r="KG57" s="136"/>
      <c r="KH57" s="185" t="s">
        <v>2431</v>
      </c>
      <c r="KI57" s="187">
        <f t="shared" ref="KI57:KP57" si="75">COUNTIFS($BA$2:$BA$425,"ΚΟΥΜΑΚΗΣ ΚΩΣΤΑΣ",MB$2:MB$425,"άριστη")</f>
        <v>0</v>
      </c>
      <c r="KJ57" s="187">
        <f t="shared" si="75"/>
        <v>0</v>
      </c>
      <c r="KK57" s="187">
        <f t="shared" si="75"/>
        <v>0</v>
      </c>
      <c r="KL57" s="187">
        <f t="shared" si="75"/>
        <v>0</v>
      </c>
      <c r="KM57" s="187">
        <f t="shared" si="75"/>
        <v>0</v>
      </c>
      <c r="KN57" s="187">
        <f t="shared" si="75"/>
        <v>0</v>
      </c>
      <c r="KO57" s="187">
        <f t="shared" si="75"/>
        <v>0</v>
      </c>
      <c r="KP57" s="187">
        <f t="shared" si="75"/>
        <v>0</v>
      </c>
      <c r="KQ57" s="199">
        <f>SUM(KM57:KP57)</f>
        <v>0</v>
      </c>
      <c r="LE57" s="168"/>
      <c r="LF57" s="3"/>
      <c r="LG57" s="2"/>
      <c r="LH57" s="157"/>
      <c r="LI57" s="3"/>
      <c r="LJ57" s="3"/>
      <c r="LK57" s="3"/>
      <c r="LL57" s="3"/>
      <c r="LM57" s="2"/>
      <c r="LN57" s="93"/>
      <c r="LO57" s="3"/>
      <c r="LP57" s="3"/>
      <c r="LQ57" s="3"/>
      <c r="LR57" s="2"/>
      <c r="LS57" s="85"/>
      <c r="LT57" s="3"/>
      <c r="LU57" s="3"/>
      <c r="LV57" s="3"/>
      <c r="LW57" s="3"/>
      <c r="LX57" s="2"/>
      <c r="LY57" s="168"/>
      <c r="LZ57" s="2" t="s">
        <v>2867</v>
      </c>
      <c r="MA57" s="2" t="s">
        <v>3060</v>
      </c>
      <c r="MB57" s="3" t="s">
        <v>2431</v>
      </c>
      <c r="MC57" s="3" t="s">
        <v>2431</v>
      </c>
      <c r="MD57" s="3" t="s">
        <v>2433</v>
      </c>
      <c r="ME57" s="3" t="s">
        <v>2431</v>
      </c>
      <c r="MF57" s="3" t="s">
        <v>2431</v>
      </c>
      <c r="MG57" s="3" t="s">
        <v>2431</v>
      </c>
      <c r="MH57" s="3" t="s">
        <v>2431</v>
      </c>
      <c r="MI57" s="3" t="s">
        <v>2431</v>
      </c>
      <c r="MJ57" s="2"/>
      <c r="NL57" s="3"/>
      <c r="NM57" s="3"/>
      <c r="NN57" s="3"/>
      <c r="NO57" s="3"/>
      <c r="NP57" s="3"/>
      <c r="NQ57" s="3"/>
      <c r="NR57" s="3"/>
      <c r="NS57" s="3"/>
    </row>
    <row r="58" spans="1:383" ht="150.75" thickBot="1">
      <c r="A58" s="58" t="s">
        <v>2402</v>
      </c>
      <c r="B58" s="16" t="s">
        <v>608</v>
      </c>
      <c r="C58" s="136">
        <v>9.57</v>
      </c>
      <c r="D58" s="136">
        <v>9.2899999999999991</v>
      </c>
      <c r="E58" s="136">
        <v>9.14</v>
      </c>
      <c r="F58" s="365">
        <f t="shared" si="64"/>
        <v>9.3333333333333339</v>
      </c>
      <c r="G58" s="364">
        <f t="shared" si="64"/>
        <v>9.3333333333333339</v>
      </c>
      <c r="I58">
        <v>9</v>
      </c>
      <c r="J58">
        <v>10</v>
      </c>
      <c r="K58">
        <v>8</v>
      </c>
      <c r="L58">
        <v>8</v>
      </c>
      <c r="M58"/>
      <c r="N58">
        <f t="shared" si="65"/>
        <v>8.75</v>
      </c>
      <c r="AM58" s="275">
        <v>45804</v>
      </c>
      <c r="AN58" s="276" t="s">
        <v>3051</v>
      </c>
      <c r="AO58" s="276"/>
      <c r="AP58" s="276"/>
      <c r="AS58" s="275">
        <v>45832</v>
      </c>
      <c r="AT58" s="276" t="s">
        <v>3051</v>
      </c>
      <c r="AU58" s="276"/>
      <c r="AV58" s="276"/>
      <c r="DI58" s="81"/>
      <c r="DJ58" s="81"/>
      <c r="DK58" s="81"/>
      <c r="DL58" s="81"/>
      <c r="DM58" s="81"/>
      <c r="HJ58" s="168"/>
      <c r="HM58" s="157"/>
      <c r="HS58" s="93"/>
      <c r="HX58" s="85"/>
      <c r="ID58" s="168"/>
      <c r="IE58" s="2" t="s">
        <v>2867</v>
      </c>
      <c r="IF58" s="2" t="s">
        <v>3060</v>
      </c>
      <c r="IG58" s="3" t="s">
        <v>2431</v>
      </c>
      <c r="IH58" s="3" t="s">
        <v>2431</v>
      </c>
      <c r="II58" s="3" t="s">
        <v>2433</v>
      </c>
      <c r="IJ58" s="3" t="s">
        <v>2433</v>
      </c>
      <c r="IK58" s="3" t="s">
        <v>2431</v>
      </c>
      <c r="IL58" s="3" t="s">
        <v>2431</v>
      </c>
      <c r="IM58" s="3" t="s">
        <v>2431</v>
      </c>
      <c r="IN58" s="3" t="s">
        <v>2431</v>
      </c>
      <c r="JH58" s="136"/>
      <c r="JI58" s="136"/>
      <c r="KB58" s="136"/>
      <c r="KC58" s="3"/>
      <c r="KD58" s="3"/>
      <c r="KE58" s="3"/>
      <c r="KF58" s="136"/>
      <c r="KG58" s="136"/>
      <c r="KH58" s="136"/>
      <c r="KI58" s="136"/>
      <c r="LE58" s="168"/>
      <c r="LF58" s="3"/>
      <c r="LG58" s="2"/>
      <c r="LH58" s="157"/>
      <c r="LI58" s="3"/>
      <c r="LJ58" s="3"/>
      <c r="LK58" s="3"/>
      <c r="LL58" s="3"/>
      <c r="LM58" s="2"/>
      <c r="LN58" s="93"/>
      <c r="LO58" s="3"/>
      <c r="LP58" s="3"/>
      <c r="LQ58" s="3"/>
      <c r="LR58" s="2"/>
      <c r="LS58" s="85"/>
      <c r="LT58" s="3"/>
      <c r="LU58" s="3"/>
      <c r="LV58" s="3"/>
      <c r="LW58" s="3"/>
      <c r="LX58" s="2"/>
      <c r="LY58" s="168"/>
      <c r="LZ58" s="2" t="s">
        <v>2867</v>
      </c>
      <c r="MA58" s="2" t="s">
        <v>3060</v>
      </c>
      <c r="MB58" s="3" t="s">
        <v>2431</v>
      </c>
      <c r="MC58" s="3" t="s">
        <v>2431</v>
      </c>
      <c r="MD58" s="3" t="s">
        <v>2433</v>
      </c>
      <c r="ME58" s="3" t="s">
        <v>2433</v>
      </c>
      <c r="MF58" s="3" t="s">
        <v>2431</v>
      </c>
      <c r="MG58" s="3" t="s">
        <v>2431</v>
      </c>
      <c r="MH58" s="3" t="s">
        <v>2431</v>
      </c>
      <c r="MI58" s="3" t="s">
        <v>2431</v>
      </c>
      <c r="MJ58" s="2"/>
      <c r="NL58" s="3"/>
      <c r="NM58" s="3"/>
      <c r="NN58" s="3"/>
      <c r="NO58" s="3"/>
      <c r="NP58" s="3"/>
      <c r="NQ58" s="3"/>
      <c r="NR58" s="3"/>
      <c r="NS58" s="3"/>
    </row>
    <row r="59" spans="1:383" ht="150">
      <c r="A59" s="70" t="s">
        <v>2403</v>
      </c>
      <c r="B59" s="18" t="s">
        <v>2450</v>
      </c>
      <c r="C59" s="136">
        <v>8.14</v>
      </c>
      <c r="D59" s="136">
        <v>8.6199999999999992</v>
      </c>
      <c r="E59" s="136">
        <v>9</v>
      </c>
      <c r="F59" s="365">
        <f t="shared" ref="F59:F64" si="76">AVERAGE(A59:E59)</f>
        <v>8.586666666666666</v>
      </c>
      <c r="G59" s="373">
        <f t="shared" ref="G59:G64" si="77">AVERAGE(C59:F59)</f>
        <v>8.586666666666666</v>
      </c>
      <c r="I59">
        <v>9</v>
      </c>
      <c r="J59">
        <v>9</v>
      </c>
      <c r="K59">
        <v>9</v>
      </c>
      <c r="L59">
        <v>9</v>
      </c>
      <c r="M59">
        <v>10</v>
      </c>
      <c r="N59">
        <f t="shared" ref="N59:N64" si="78">AVERAGE(I59:M59)</f>
        <v>9.1999999999999993</v>
      </c>
      <c r="AM59" s="275">
        <v>45806</v>
      </c>
      <c r="AN59" s="276" t="s">
        <v>3051</v>
      </c>
      <c r="AO59" s="276"/>
      <c r="AP59" s="276"/>
      <c r="AS59" s="275">
        <v>45834</v>
      </c>
      <c r="AT59" s="276" t="s">
        <v>3051</v>
      </c>
      <c r="AU59" s="276"/>
      <c r="AV59" s="276"/>
      <c r="DI59" s="81"/>
      <c r="DJ59" s="81"/>
      <c r="DK59" s="81"/>
      <c r="DL59" s="81"/>
      <c r="DM59" s="81"/>
      <c r="GM59" s="175" t="s">
        <v>2457</v>
      </c>
      <c r="GN59" s="171" t="s">
        <v>2354</v>
      </c>
      <c r="GO59" s="171" t="s">
        <v>2355</v>
      </c>
      <c r="GP59" s="171" t="s">
        <v>2356</v>
      </c>
      <c r="GQ59" s="172" t="s">
        <v>2357</v>
      </c>
      <c r="GR59" s="171" t="s">
        <v>2358</v>
      </c>
      <c r="GS59" s="171" t="s">
        <v>2359</v>
      </c>
      <c r="GT59" s="171" t="s">
        <v>2360</v>
      </c>
      <c r="GU59" s="172" t="s">
        <v>2361</v>
      </c>
      <c r="GV59" s="6" t="s">
        <v>2480</v>
      </c>
      <c r="HJ59" s="168"/>
      <c r="HM59" s="157"/>
      <c r="HS59" s="93"/>
      <c r="HX59" s="85"/>
      <c r="ID59" s="168"/>
      <c r="IE59" s="2" t="s">
        <v>2867</v>
      </c>
      <c r="IF59" s="2" t="s">
        <v>3031</v>
      </c>
      <c r="IG59" s="3" t="s">
        <v>2431</v>
      </c>
      <c r="IH59" s="3" t="s">
        <v>2431</v>
      </c>
      <c r="II59" s="3" t="s">
        <v>2431</v>
      </c>
      <c r="IJ59" s="3" t="s">
        <v>2431</v>
      </c>
      <c r="IK59" s="3" t="s">
        <v>2431</v>
      </c>
      <c r="IL59" s="3" t="s">
        <v>2431</v>
      </c>
      <c r="IM59" s="3" t="s">
        <v>2431</v>
      </c>
      <c r="IN59" s="3" t="s">
        <v>2431</v>
      </c>
      <c r="JH59" s="175" t="s">
        <v>2457</v>
      </c>
      <c r="JI59" s="171" t="s">
        <v>2354</v>
      </c>
      <c r="JJ59" s="171" t="s">
        <v>2355</v>
      </c>
      <c r="JK59" s="171" t="s">
        <v>2356</v>
      </c>
      <c r="JL59" s="172" t="s">
        <v>2357</v>
      </c>
      <c r="JM59" s="171" t="s">
        <v>2358</v>
      </c>
      <c r="JN59" s="171" t="s">
        <v>2359</v>
      </c>
      <c r="JO59" s="171" t="s">
        <v>2360</v>
      </c>
      <c r="JP59" s="172" t="s">
        <v>2361</v>
      </c>
      <c r="JQ59" s="6" t="s">
        <v>2480</v>
      </c>
      <c r="KB59" s="136"/>
      <c r="KC59" s="3"/>
      <c r="KD59" s="3"/>
      <c r="KE59" s="3"/>
      <c r="KF59" s="136"/>
      <c r="KG59" s="136"/>
      <c r="KH59" s="175" t="s">
        <v>2457</v>
      </c>
      <c r="KI59" s="171" t="s">
        <v>2354</v>
      </c>
      <c r="KJ59" s="171" t="s">
        <v>2355</v>
      </c>
      <c r="KK59" s="171" t="s">
        <v>2356</v>
      </c>
      <c r="KL59" s="172" t="s">
        <v>2357</v>
      </c>
      <c r="KM59" s="171" t="s">
        <v>2358</v>
      </c>
      <c r="KN59" s="171" t="s">
        <v>2359</v>
      </c>
      <c r="KO59" s="171" t="s">
        <v>2360</v>
      </c>
      <c r="KP59" s="172" t="s">
        <v>2361</v>
      </c>
      <c r="KQ59" s="6" t="s">
        <v>2480</v>
      </c>
      <c r="LE59" s="168"/>
      <c r="LF59" s="3"/>
      <c r="LG59" s="2"/>
      <c r="LH59" s="157"/>
      <c r="LI59" s="3"/>
      <c r="LJ59" s="3"/>
      <c r="LK59" s="3"/>
      <c r="LL59" s="3"/>
      <c r="LM59" s="2"/>
      <c r="LN59" s="93"/>
      <c r="LO59" s="3"/>
      <c r="LP59" s="3"/>
      <c r="LQ59" s="3"/>
      <c r="LR59" s="2"/>
      <c r="LS59" s="85"/>
      <c r="LT59" s="3"/>
      <c r="LU59" s="3"/>
      <c r="LV59" s="3"/>
      <c r="LW59" s="3"/>
      <c r="LX59" s="2"/>
      <c r="LY59" s="168"/>
      <c r="LZ59" s="2" t="s">
        <v>2867</v>
      </c>
      <c r="MA59" s="2" t="s">
        <v>3031</v>
      </c>
      <c r="MB59" s="3" t="s">
        <v>2431</v>
      </c>
      <c r="MC59" s="3" t="s">
        <v>2431</v>
      </c>
      <c r="MD59" s="3" t="s">
        <v>2431</v>
      </c>
      <c r="ME59" s="3" t="s">
        <v>2431</v>
      </c>
      <c r="MF59" s="3" t="s">
        <v>2431</v>
      </c>
      <c r="MG59" s="3" t="s">
        <v>2431</v>
      </c>
      <c r="MH59" s="3" t="s">
        <v>2431</v>
      </c>
      <c r="MI59" s="3" t="s">
        <v>2431</v>
      </c>
      <c r="MJ59" s="2"/>
      <c r="NL59" s="3"/>
      <c r="NM59" s="3"/>
      <c r="NN59" s="3"/>
      <c r="NO59" s="3"/>
      <c r="NP59" s="3"/>
      <c r="NQ59" s="3"/>
      <c r="NR59" s="3"/>
      <c r="NS59" s="3"/>
    </row>
    <row r="60" spans="1:383" ht="150">
      <c r="A60" s="67" t="s">
        <v>2404</v>
      </c>
      <c r="B60" s="17" t="s">
        <v>773</v>
      </c>
      <c r="C60" s="136">
        <v>6.86</v>
      </c>
      <c r="D60" s="136">
        <v>6.37</v>
      </c>
      <c r="E60" s="136">
        <v>6.75</v>
      </c>
      <c r="F60" s="365">
        <f t="shared" si="76"/>
        <v>6.66</v>
      </c>
      <c r="G60" s="373">
        <f t="shared" si="77"/>
        <v>6.66</v>
      </c>
      <c r="I60">
        <v>5</v>
      </c>
      <c r="J60">
        <v>5</v>
      </c>
      <c r="K60">
        <v>6</v>
      </c>
      <c r="L60">
        <v>7</v>
      </c>
      <c r="M60">
        <v>8</v>
      </c>
      <c r="N60">
        <f t="shared" si="78"/>
        <v>6.2</v>
      </c>
      <c r="AM60" s="275">
        <v>45808</v>
      </c>
      <c r="AN60" s="276" t="s">
        <v>3051</v>
      </c>
      <c r="AO60" s="276"/>
      <c r="AP60" s="276"/>
      <c r="AS60" s="275">
        <v>45836</v>
      </c>
      <c r="AT60" s="276" t="s">
        <v>3051</v>
      </c>
      <c r="AU60" s="276"/>
      <c r="AV60" s="276"/>
      <c r="DI60" s="81"/>
      <c r="DJ60" s="81"/>
      <c r="DK60" s="81"/>
      <c r="DL60" s="81"/>
      <c r="DM60" s="81"/>
      <c r="GM60" s="184" t="s">
        <v>2525</v>
      </c>
      <c r="GN60" s="173">
        <f t="shared" ref="GN60:GU60" si="79">COUNTIFS($BA$2:$BA$425,"ΚΥΡΛΑΚΗΣ ΜΑΡΙΟΣ",IG$2:IG$425,"κακή")</f>
        <v>0</v>
      </c>
      <c r="GO60" s="173">
        <f t="shared" si="79"/>
        <v>0</v>
      </c>
      <c r="GP60" s="173">
        <f t="shared" si="79"/>
        <v>0</v>
      </c>
      <c r="GQ60" s="173">
        <f t="shared" si="79"/>
        <v>0</v>
      </c>
      <c r="GR60" s="173">
        <f t="shared" si="79"/>
        <v>0</v>
      </c>
      <c r="GS60" s="173">
        <f t="shared" si="79"/>
        <v>0</v>
      </c>
      <c r="GT60" s="173">
        <f t="shared" si="79"/>
        <v>0</v>
      </c>
      <c r="GU60" s="173">
        <f t="shared" si="79"/>
        <v>0</v>
      </c>
      <c r="GV60" s="200">
        <f>SUM(GR60:GU60)</f>
        <v>0</v>
      </c>
      <c r="HJ60" s="168"/>
      <c r="HM60" s="157"/>
      <c r="HS60" s="93"/>
      <c r="HX60" s="85"/>
      <c r="ID60" s="168"/>
      <c r="IE60" s="2" t="s">
        <v>2867</v>
      </c>
      <c r="IF60" s="2" t="s">
        <v>3031</v>
      </c>
      <c r="IG60" s="3" t="s">
        <v>2432</v>
      </c>
      <c r="IH60" s="3" t="s">
        <v>2432</v>
      </c>
      <c r="II60" s="3" t="s">
        <v>2432</v>
      </c>
      <c r="IJ60" s="3" t="s">
        <v>2432</v>
      </c>
      <c r="IK60" s="3" t="s">
        <v>2432</v>
      </c>
      <c r="IL60" s="3" t="s">
        <v>2432</v>
      </c>
      <c r="IM60" s="3" t="s">
        <v>2432</v>
      </c>
      <c r="IN60" s="3" t="s">
        <v>2432</v>
      </c>
      <c r="JH60" s="184" t="s">
        <v>2525</v>
      </c>
      <c r="JI60" s="173" t="e">
        <f>#REF!</f>
        <v>#REF!</v>
      </c>
      <c r="JJ60" s="173" t="e">
        <f>#REF!</f>
        <v>#REF!</v>
      </c>
      <c r="JK60" s="173" t="e">
        <f>#REF!</f>
        <v>#REF!</v>
      </c>
      <c r="JL60" s="173" t="e">
        <f>#REF!</f>
        <v>#REF!</v>
      </c>
      <c r="JM60" s="173" t="e">
        <f>#REF!</f>
        <v>#REF!</v>
      </c>
      <c r="JN60" s="173" t="e">
        <f>#REF!</f>
        <v>#REF!</v>
      </c>
      <c r="JO60" s="173" t="e">
        <f>#REF!</f>
        <v>#REF!</v>
      </c>
      <c r="JP60" s="173" t="e">
        <f>#REF!</f>
        <v>#REF!</v>
      </c>
      <c r="JQ60" s="200" t="e">
        <f>SUM(JM60:JP60)</f>
        <v>#REF!</v>
      </c>
      <c r="KB60" s="136"/>
      <c r="KC60" s="3"/>
      <c r="KD60" s="3"/>
      <c r="KE60" s="3"/>
      <c r="KF60" s="136"/>
      <c r="KG60" s="136"/>
      <c r="KH60" s="184" t="s">
        <v>2525</v>
      </c>
      <c r="KI60" s="173">
        <f t="shared" ref="KI60:KP60" si="80">COUNTIFS($BA$2:$BA$425,"ΚΥΡΛΑΚΗΣ ΜΑΡΙΟΣ",MB$2:MB$425,"κακή")</f>
        <v>0</v>
      </c>
      <c r="KJ60" s="173">
        <f t="shared" si="80"/>
        <v>0</v>
      </c>
      <c r="KK60" s="173">
        <f t="shared" si="80"/>
        <v>0</v>
      </c>
      <c r="KL60" s="173">
        <f t="shared" si="80"/>
        <v>0</v>
      </c>
      <c r="KM60" s="173">
        <f t="shared" si="80"/>
        <v>0</v>
      </c>
      <c r="KN60" s="173">
        <f t="shared" si="80"/>
        <v>0</v>
      </c>
      <c r="KO60" s="173">
        <f t="shared" si="80"/>
        <v>0</v>
      </c>
      <c r="KP60" s="173">
        <f t="shared" si="80"/>
        <v>0</v>
      </c>
      <c r="KQ60" s="200">
        <f>SUM(KM60:KP60)</f>
        <v>0</v>
      </c>
      <c r="LE60" s="168"/>
      <c r="LF60" s="3"/>
      <c r="LG60" s="2"/>
      <c r="LH60" s="157"/>
      <c r="LI60" s="3"/>
      <c r="LJ60" s="3"/>
      <c r="LK60" s="3"/>
      <c r="LL60" s="3"/>
      <c r="LM60" s="2"/>
      <c r="LN60" s="93"/>
      <c r="LO60" s="3"/>
      <c r="LP60" s="3"/>
      <c r="LQ60" s="3"/>
      <c r="LR60" s="2"/>
      <c r="LS60" s="85"/>
      <c r="LT60" s="3"/>
      <c r="LU60" s="3"/>
      <c r="LV60" s="3"/>
      <c r="LW60" s="3"/>
      <c r="LX60" s="2"/>
      <c r="LY60" s="168"/>
      <c r="LZ60" s="2" t="s">
        <v>2867</v>
      </c>
      <c r="MA60" s="2" t="s">
        <v>3031</v>
      </c>
      <c r="MB60" s="3" t="s">
        <v>2432</v>
      </c>
      <c r="MC60" s="3" t="s">
        <v>2432</v>
      </c>
      <c r="MD60" s="3" t="s">
        <v>2432</v>
      </c>
      <c r="ME60" s="3" t="s">
        <v>2432</v>
      </c>
      <c r="MF60" s="3" t="s">
        <v>2432</v>
      </c>
      <c r="MG60" s="3" t="s">
        <v>2432</v>
      </c>
      <c r="MH60" s="3" t="s">
        <v>2432</v>
      </c>
      <c r="MI60" s="3" t="s">
        <v>2432</v>
      </c>
      <c r="MJ60" s="2"/>
      <c r="MZ60" s="437" t="s">
        <v>3062</v>
      </c>
      <c r="NL60" s="3"/>
      <c r="NM60" s="3"/>
      <c r="NN60" s="3"/>
      <c r="NO60" s="3"/>
      <c r="NP60" s="3"/>
      <c r="NQ60" s="3"/>
      <c r="NR60" s="3"/>
      <c r="NS60" s="3"/>
    </row>
    <row r="61" spans="1:383" ht="150">
      <c r="A61" s="67" t="s">
        <v>2405</v>
      </c>
      <c r="B61" s="17" t="s">
        <v>600</v>
      </c>
      <c r="C61" s="136">
        <v>8.86</v>
      </c>
      <c r="D61" s="136">
        <v>8.8699999999999992</v>
      </c>
      <c r="E61" s="136">
        <v>9.5</v>
      </c>
      <c r="F61" s="365">
        <f t="shared" si="76"/>
        <v>9.0766666666666662</v>
      </c>
      <c r="G61" s="373">
        <f t="shared" si="77"/>
        <v>9.0766666666666662</v>
      </c>
      <c r="I61">
        <v>10</v>
      </c>
      <c r="J61">
        <v>9</v>
      </c>
      <c r="K61">
        <v>9</v>
      </c>
      <c r="L61">
        <v>9</v>
      </c>
      <c r="M61">
        <v>10</v>
      </c>
      <c r="N61">
        <f t="shared" si="78"/>
        <v>9.4</v>
      </c>
      <c r="AS61" s="272"/>
      <c r="AT61" s="272"/>
      <c r="DI61" s="81"/>
      <c r="DJ61" s="81"/>
      <c r="DK61" s="81"/>
      <c r="DL61" s="81"/>
      <c r="DM61" s="81"/>
      <c r="GM61" s="184" t="s">
        <v>2435</v>
      </c>
      <c r="GN61" s="173">
        <f t="shared" ref="GN61:GU61" si="81">COUNTIFS($BA$2:$BA$425,"ΚΥΡΛΑΚΗΣ ΜΑΡΙΟΣ",IG$2:IG$425,"μέτρια")</f>
        <v>0</v>
      </c>
      <c r="GO61" s="173">
        <f t="shared" si="81"/>
        <v>0</v>
      </c>
      <c r="GP61" s="173">
        <f t="shared" si="81"/>
        <v>0</v>
      </c>
      <c r="GQ61" s="173">
        <f t="shared" si="81"/>
        <v>0</v>
      </c>
      <c r="GR61" s="173">
        <f t="shared" si="81"/>
        <v>0</v>
      </c>
      <c r="GS61" s="173">
        <f t="shared" si="81"/>
        <v>0</v>
      </c>
      <c r="GT61" s="173">
        <f t="shared" si="81"/>
        <v>0</v>
      </c>
      <c r="GU61" s="173">
        <f t="shared" si="81"/>
        <v>0</v>
      </c>
      <c r="GV61" s="200">
        <f>SUM(GR61:GU61)</f>
        <v>0</v>
      </c>
      <c r="HJ61" s="168"/>
      <c r="HM61" s="157"/>
      <c r="HS61" s="93"/>
      <c r="HX61" s="85"/>
      <c r="ID61" s="168"/>
      <c r="IE61" s="2" t="s">
        <v>2867</v>
      </c>
      <c r="IF61" s="2" t="s">
        <v>3031</v>
      </c>
      <c r="IG61" s="3" t="s">
        <v>2431</v>
      </c>
      <c r="IH61" s="3" t="s">
        <v>2431</v>
      </c>
      <c r="II61" s="3" t="s">
        <v>2431</v>
      </c>
      <c r="IJ61" s="3" t="s">
        <v>2431</v>
      </c>
      <c r="IK61" s="3" t="s">
        <v>2431</v>
      </c>
      <c r="IL61" s="3" t="s">
        <v>2431</v>
      </c>
      <c r="IM61" s="3" t="s">
        <v>2431</v>
      </c>
      <c r="IN61" s="3" t="s">
        <v>2431</v>
      </c>
      <c r="JH61" s="184" t="s">
        <v>2435</v>
      </c>
      <c r="JI61" s="173" t="e">
        <f>#REF!</f>
        <v>#REF!</v>
      </c>
      <c r="JJ61" s="173" t="e">
        <f>#REF!</f>
        <v>#REF!</v>
      </c>
      <c r="JK61" s="173" t="e">
        <f>#REF!</f>
        <v>#REF!</v>
      </c>
      <c r="JL61" s="173" t="e">
        <f>#REF!</f>
        <v>#REF!</v>
      </c>
      <c r="JM61" s="173" t="e">
        <f>#REF!</f>
        <v>#REF!</v>
      </c>
      <c r="JN61" s="173" t="e">
        <f>#REF!</f>
        <v>#REF!</v>
      </c>
      <c r="JO61" s="173" t="e">
        <f>#REF!</f>
        <v>#REF!</v>
      </c>
      <c r="JP61" s="173" t="e">
        <f>#REF!</f>
        <v>#REF!</v>
      </c>
      <c r="JQ61" s="200" t="e">
        <f>SUM(JM61:JP61)</f>
        <v>#REF!</v>
      </c>
      <c r="KB61" s="136"/>
      <c r="KC61" s="3"/>
      <c r="KD61" s="3"/>
      <c r="KE61" s="3"/>
      <c r="KF61" s="136"/>
      <c r="KG61" s="136"/>
      <c r="KH61" s="184" t="s">
        <v>2435</v>
      </c>
      <c r="KI61" s="173">
        <f t="shared" ref="KI61:KP61" si="82">COUNTIFS($BA$2:$BA$425,"ΚΥΡΛΑΚΗΣ ΜΑΡΙΟΣ",MB$2:MB$425,"μέτρια")</f>
        <v>0</v>
      </c>
      <c r="KJ61" s="173">
        <f t="shared" si="82"/>
        <v>0</v>
      </c>
      <c r="KK61" s="173">
        <f t="shared" si="82"/>
        <v>0</v>
      </c>
      <c r="KL61" s="173">
        <f t="shared" si="82"/>
        <v>0</v>
      </c>
      <c r="KM61" s="173">
        <f t="shared" si="82"/>
        <v>0</v>
      </c>
      <c r="KN61" s="173">
        <f t="shared" si="82"/>
        <v>0</v>
      </c>
      <c r="KO61" s="173">
        <f t="shared" si="82"/>
        <v>0</v>
      </c>
      <c r="KP61" s="173">
        <f t="shared" si="82"/>
        <v>0</v>
      </c>
      <c r="KQ61" s="200">
        <f>SUM(KM61:KP61)</f>
        <v>0</v>
      </c>
      <c r="LE61" s="168"/>
      <c r="LF61" s="3"/>
      <c r="LG61" s="2"/>
      <c r="LH61" s="157"/>
      <c r="LI61" s="3"/>
      <c r="LJ61" s="3"/>
      <c r="LK61" s="3"/>
      <c r="LL61" s="3"/>
      <c r="LM61" s="2"/>
      <c r="LN61" s="93"/>
      <c r="LO61" s="3"/>
      <c r="LP61" s="3"/>
      <c r="LQ61" s="3"/>
      <c r="LR61" s="2"/>
      <c r="LS61" s="85"/>
      <c r="LT61" s="3"/>
      <c r="LU61" s="3"/>
      <c r="LV61" s="3"/>
      <c r="LW61" s="3"/>
      <c r="LX61" s="2"/>
      <c r="LY61" s="168"/>
      <c r="LZ61" s="2" t="s">
        <v>2867</v>
      </c>
      <c r="MA61" s="2" t="s">
        <v>3031</v>
      </c>
      <c r="MB61" s="3" t="s">
        <v>2431</v>
      </c>
      <c r="MC61" s="3" t="s">
        <v>2431</v>
      </c>
      <c r="MD61" s="3" t="s">
        <v>2431</v>
      </c>
      <c r="ME61" s="3" t="s">
        <v>2431</v>
      </c>
      <c r="MF61" s="3" t="s">
        <v>2431</v>
      </c>
      <c r="MG61" s="3" t="s">
        <v>2431</v>
      </c>
      <c r="MH61" s="3" t="s">
        <v>2431</v>
      </c>
      <c r="MI61" s="3" t="s">
        <v>2431</v>
      </c>
      <c r="MJ61" s="2"/>
      <c r="MZ61" s="437" t="s">
        <v>3063</v>
      </c>
      <c r="NL61" s="3"/>
      <c r="NM61" s="3"/>
      <c r="NN61" s="3"/>
      <c r="NO61" s="3"/>
      <c r="NP61" s="3"/>
      <c r="NQ61" s="3"/>
      <c r="NR61" s="3"/>
      <c r="NS61" s="3"/>
    </row>
    <row r="62" spans="1:383" ht="150">
      <c r="A62" s="67" t="s">
        <v>2406</v>
      </c>
      <c r="B62" s="17" t="s">
        <v>809</v>
      </c>
      <c r="C62" s="136">
        <v>7.57</v>
      </c>
      <c r="D62" s="136">
        <v>7.62</v>
      </c>
      <c r="E62" s="136">
        <v>7.87</v>
      </c>
      <c r="F62" s="365">
        <f t="shared" si="76"/>
        <v>7.6866666666666674</v>
      </c>
      <c r="G62" s="373">
        <f t="shared" si="77"/>
        <v>7.6866666666666674</v>
      </c>
      <c r="I62">
        <v>7</v>
      </c>
      <c r="J62">
        <v>6</v>
      </c>
      <c r="K62">
        <v>8</v>
      </c>
      <c r="L62">
        <v>8</v>
      </c>
      <c r="M62">
        <v>9</v>
      </c>
      <c r="N62">
        <f t="shared" si="78"/>
        <v>7.6</v>
      </c>
      <c r="AS62" s="272"/>
      <c r="AT62" s="272"/>
      <c r="DI62" s="81"/>
      <c r="DJ62" s="81"/>
      <c r="DK62" s="81"/>
      <c r="DL62" s="81"/>
      <c r="DM62" s="81"/>
      <c r="GM62" s="184" t="s">
        <v>2603</v>
      </c>
      <c r="GN62" s="173">
        <f t="shared" ref="GN62:GU62" si="83">COUNTIFS($BA$2:$BA$425,"ΚΥΡΛΑΚΗΣ ΜΑΡΙΟΣ",IG$2:IG$425,"καλή")</f>
        <v>0</v>
      </c>
      <c r="GO62" s="173">
        <f t="shared" si="83"/>
        <v>0</v>
      </c>
      <c r="GP62" s="173">
        <f t="shared" si="83"/>
        <v>0</v>
      </c>
      <c r="GQ62" s="173">
        <f t="shared" si="83"/>
        <v>0</v>
      </c>
      <c r="GR62" s="173">
        <f t="shared" si="83"/>
        <v>0</v>
      </c>
      <c r="GS62" s="173">
        <f t="shared" si="83"/>
        <v>0</v>
      </c>
      <c r="GT62" s="173">
        <f t="shared" si="83"/>
        <v>0</v>
      </c>
      <c r="GU62" s="173">
        <f t="shared" si="83"/>
        <v>0</v>
      </c>
      <c r="GV62" s="170">
        <f>SUM(GR62:GU62)</f>
        <v>0</v>
      </c>
      <c r="HJ62" s="168"/>
      <c r="HM62" s="157"/>
      <c r="HS62" s="93"/>
      <c r="HX62" s="85"/>
      <c r="ID62" s="168"/>
      <c r="IE62" s="2" t="s">
        <v>2867</v>
      </c>
      <c r="IF62" s="2" t="s">
        <v>3031</v>
      </c>
      <c r="IG62" s="3" t="s">
        <v>2431</v>
      </c>
      <c r="IH62" s="3" t="s">
        <v>2431</v>
      </c>
      <c r="II62" s="3" t="s">
        <v>2431</v>
      </c>
      <c r="IJ62" s="3" t="s">
        <v>2431</v>
      </c>
      <c r="IK62" s="3" t="s">
        <v>2431</v>
      </c>
      <c r="IL62" s="3" t="s">
        <v>2431</v>
      </c>
      <c r="IM62" s="3" t="s">
        <v>2431</v>
      </c>
      <c r="IN62" s="3" t="s">
        <v>2431</v>
      </c>
      <c r="JH62" s="184" t="s">
        <v>2603</v>
      </c>
      <c r="JI62" s="173" t="e">
        <f>#REF!</f>
        <v>#REF!</v>
      </c>
      <c r="JJ62" s="173" t="e">
        <f>#REF!</f>
        <v>#REF!</v>
      </c>
      <c r="JK62" s="173" t="e">
        <f>#REF!</f>
        <v>#REF!</v>
      </c>
      <c r="JL62" s="173" t="e">
        <f>#REF!</f>
        <v>#REF!</v>
      </c>
      <c r="JM62" s="173" t="e">
        <f>#REF!</f>
        <v>#REF!</v>
      </c>
      <c r="JN62" s="173" t="e">
        <f>#REF!</f>
        <v>#REF!</v>
      </c>
      <c r="JO62" s="173" t="e">
        <f>#REF!</f>
        <v>#REF!</v>
      </c>
      <c r="JP62" s="173" t="e">
        <f>#REF!</f>
        <v>#REF!</v>
      </c>
      <c r="JQ62" s="170" t="e">
        <f>SUM(JM62:JP62)</f>
        <v>#REF!</v>
      </c>
      <c r="KB62" s="136"/>
      <c r="KC62" s="3"/>
      <c r="KD62" s="3"/>
      <c r="KE62" s="3"/>
      <c r="KF62" s="136"/>
      <c r="KG62" s="136"/>
      <c r="KH62" s="184" t="s">
        <v>2603</v>
      </c>
      <c r="KI62" s="173">
        <f t="shared" ref="KI62:KP62" si="84">COUNTIFS($BA$2:$BA$425,"ΚΥΡΛΑΚΗΣ ΜΑΡΙΟΣ",MB$2:MB$425,"καλή")</f>
        <v>0</v>
      </c>
      <c r="KJ62" s="173">
        <f t="shared" si="84"/>
        <v>0</v>
      </c>
      <c r="KK62" s="173">
        <f t="shared" si="84"/>
        <v>0</v>
      </c>
      <c r="KL62" s="173">
        <f t="shared" si="84"/>
        <v>0</v>
      </c>
      <c r="KM62" s="173">
        <f t="shared" si="84"/>
        <v>0</v>
      </c>
      <c r="KN62" s="173">
        <f t="shared" si="84"/>
        <v>0</v>
      </c>
      <c r="KO62" s="173">
        <f t="shared" si="84"/>
        <v>0</v>
      </c>
      <c r="KP62" s="173">
        <f t="shared" si="84"/>
        <v>0</v>
      </c>
      <c r="KQ62" s="170">
        <f>SUM(KM62:KP62)</f>
        <v>0</v>
      </c>
      <c r="LE62" s="168"/>
      <c r="LF62" s="3"/>
      <c r="LG62" s="2"/>
      <c r="LH62" s="157"/>
      <c r="LI62" s="3"/>
      <c r="LJ62" s="3"/>
      <c r="LK62" s="3"/>
      <c r="LL62" s="3"/>
      <c r="LM62" s="2"/>
      <c r="LN62" s="93"/>
      <c r="LO62" s="3"/>
      <c r="LP62" s="3"/>
      <c r="LQ62" s="3"/>
      <c r="LR62" s="2"/>
      <c r="LS62" s="85"/>
      <c r="LT62" s="3"/>
      <c r="LU62" s="3"/>
      <c r="LV62" s="3"/>
      <c r="LW62" s="3"/>
      <c r="LX62" s="2"/>
      <c r="LY62" s="168"/>
      <c r="LZ62" s="2" t="s">
        <v>2867</v>
      </c>
      <c r="MA62" s="2" t="s">
        <v>3031</v>
      </c>
      <c r="MB62" s="3" t="s">
        <v>2431</v>
      </c>
      <c r="MC62" s="3" t="s">
        <v>2431</v>
      </c>
      <c r="MD62" s="3" t="s">
        <v>2431</v>
      </c>
      <c r="ME62" s="3" t="s">
        <v>2431</v>
      </c>
      <c r="MF62" s="3" t="s">
        <v>2431</v>
      </c>
      <c r="MG62" s="3" t="s">
        <v>2431</v>
      </c>
      <c r="MH62" s="3" t="s">
        <v>2431</v>
      </c>
      <c r="MI62" s="3" t="s">
        <v>2431</v>
      </c>
      <c r="MJ62" s="2"/>
      <c r="MZ62" s="437" t="s">
        <v>3064</v>
      </c>
      <c r="NL62" s="3"/>
      <c r="NM62" s="3"/>
      <c r="NN62" s="3"/>
      <c r="NO62" s="3"/>
      <c r="NP62" s="3"/>
      <c r="NQ62" s="3"/>
      <c r="NR62" s="3"/>
      <c r="NS62" s="3"/>
    </row>
    <row r="63" spans="1:383" ht="150">
      <c r="A63" s="67" t="s">
        <v>2407</v>
      </c>
      <c r="B63" s="17" t="s">
        <v>809</v>
      </c>
      <c r="C63" s="136">
        <v>8</v>
      </c>
      <c r="D63" s="136">
        <v>7</v>
      </c>
      <c r="E63" s="136">
        <v>8.25</v>
      </c>
      <c r="F63" s="365">
        <f t="shared" si="76"/>
        <v>7.75</v>
      </c>
      <c r="G63" s="373">
        <f t="shared" si="77"/>
        <v>7.75</v>
      </c>
      <c r="I63">
        <v>10</v>
      </c>
      <c r="J63">
        <v>8</v>
      </c>
      <c r="K63">
        <v>8</v>
      </c>
      <c r="L63">
        <v>6</v>
      </c>
      <c r="M63">
        <v>9</v>
      </c>
      <c r="N63">
        <f t="shared" si="78"/>
        <v>8.1999999999999993</v>
      </c>
      <c r="AM63" s="1305" t="s">
        <v>1992</v>
      </c>
      <c r="AN63" s="1305" t="s">
        <v>437</v>
      </c>
      <c r="AO63" s="1305" t="s">
        <v>1993</v>
      </c>
      <c r="AP63" s="1305" t="s">
        <v>1994</v>
      </c>
      <c r="AS63" s="1305" t="s">
        <v>1992</v>
      </c>
      <c r="AT63" s="1305" t="s">
        <v>437</v>
      </c>
      <c r="AU63" s="1305" t="s">
        <v>1993</v>
      </c>
      <c r="AV63" s="1305" t="s">
        <v>1994</v>
      </c>
      <c r="DI63" s="81"/>
      <c r="DJ63" s="81"/>
      <c r="DK63" s="81"/>
      <c r="DL63" s="81"/>
      <c r="DM63" s="81"/>
      <c r="GM63" s="184" t="s">
        <v>2639</v>
      </c>
      <c r="GN63" s="173">
        <f t="shared" ref="GN63:GU63" si="85">COUNTIFS($BA$2:$BA$425,"ΚΥΡΛΑΚΗΣ ΜΑΡΙΟΣ",IG$2:IG$425,"πολύ καλή")</f>
        <v>0</v>
      </c>
      <c r="GO63" s="173">
        <f t="shared" si="85"/>
        <v>0</v>
      </c>
      <c r="GP63" s="173">
        <f t="shared" si="85"/>
        <v>0</v>
      </c>
      <c r="GQ63" s="173">
        <f t="shared" si="85"/>
        <v>0</v>
      </c>
      <c r="GR63" s="173">
        <f t="shared" si="85"/>
        <v>0</v>
      </c>
      <c r="GS63" s="173">
        <f t="shared" si="85"/>
        <v>0</v>
      </c>
      <c r="GT63" s="173">
        <f t="shared" si="85"/>
        <v>0</v>
      </c>
      <c r="GU63" s="173">
        <f t="shared" si="85"/>
        <v>0</v>
      </c>
      <c r="GV63" s="170">
        <f>SUM(GR63:GU63)</f>
        <v>0</v>
      </c>
      <c r="HJ63" s="168"/>
      <c r="HM63" s="157"/>
      <c r="HS63" s="93"/>
      <c r="HX63" s="85"/>
      <c r="ID63" s="168"/>
      <c r="IE63" s="2" t="s">
        <v>2907</v>
      </c>
      <c r="IF63" s="2" t="s">
        <v>3065</v>
      </c>
      <c r="IG63" s="3" t="s">
        <v>2431</v>
      </c>
      <c r="IH63" s="3" t="s">
        <v>2431</v>
      </c>
      <c r="II63" s="3" t="s">
        <v>2431</v>
      </c>
      <c r="IJ63" s="3" t="s">
        <v>2431</v>
      </c>
      <c r="IK63" s="3" t="s">
        <v>2431</v>
      </c>
      <c r="IL63" s="3" t="s">
        <v>2431</v>
      </c>
      <c r="IM63" s="3" t="s">
        <v>2431</v>
      </c>
      <c r="IN63" s="3" t="s">
        <v>2431</v>
      </c>
      <c r="JH63" s="184" t="s">
        <v>2639</v>
      </c>
      <c r="JI63" s="173" t="e">
        <f>#REF!</f>
        <v>#REF!</v>
      </c>
      <c r="JJ63" s="173" t="e">
        <f>#REF!</f>
        <v>#REF!</v>
      </c>
      <c r="JK63" s="173" t="e">
        <f>#REF!</f>
        <v>#REF!</v>
      </c>
      <c r="JL63" s="173" t="e">
        <f>#REF!</f>
        <v>#REF!</v>
      </c>
      <c r="JM63" s="173" t="e">
        <f>#REF!</f>
        <v>#REF!</v>
      </c>
      <c r="JN63" s="173" t="e">
        <f>#REF!</f>
        <v>#REF!</v>
      </c>
      <c r="JO63" s="173" t="e">
        <f>#REF!</f>
        <v>#REF!</v>
      </c>
      <c r="JP63" s="173" t="e">
        <f>#REF!</f>
        <v>#REF!</v>
      </c>
      <c r="JQ63" s="170" t="e">
        <f>SUM(JM63:JP63)</f>
        <v>#REF!</v>
      </c>
      <c r="KB63" s="136"/>
      <c r="KC63" s="3"/>
      <c r="KD63" s="3"/>
      <c r="KE63" s="3"/>
      <c r="KF63" s="136"/>
      <c r="KG63" s="136"/>
      <c r="KH63" s="184" t="s">
        <v>2639</v>
      </c>
      <c r="KI63" s="173">
        <f t="shared" ref="KI63:KP63" si="86">COUNTIFS($BA$2:$BA$425,"ΚΥΡΛΑΚΗΣ ΜΑΡΙΟΣ",MB$2:MB$425,"πολύ καλή")</f>
        <v>0</v>
      </c>
      <c r="KJ63" s="173">
        <f t="shared" si="86"/>
        <v>0</v>
      </c>
      <c r="KK63" s="173">
        <f t="shared" si="86"/>
        <v>0</v>
      </c>
      <c r="KL63" s="173">
        <f t="shared" si="86"/>
        <v>0</v>
      </c>
      <c r="KM63" s="173">
        <f t="shared" si="86"/>
        <v>0</v>
      </c>
      <c r="KN63" s="173">
        <f t="shared" si="86"/>
        <v>0</v>
      </c>
      <c r="KO63" s="173">
        <f t="shared" si="86"/>
        <v>0</v>
      </c>
      <c r="KP63" s="173">
        <f t="shared" si="86"/>
        <v>0</v>
      </c>
      <c r="KQ63" s="170">
        <f>SUM(KM63:KP63)</f>
        <v>0</v>
      </c>
      <c r="LE63" s="168"/>
      <c r="LF63" s="3"/>
      <c r="LG63" s="2"/>
      <c r="LH63" s="157"/>
      <c r="LI63" s="3"/>
      <c r="LJ63" s="3"/>
      <c r="LK63" s="3"/>
      <c r="LL63" s="3"/>
      <c r="LM63" s="2"/>
      <c r="LN63" s="93"/>
      <c r="LO63" s="3"/>
      <c r="LP63" s="3"/>
      <c r="LQ63" s="3"/>
      <c r="LR63" s="2"/>
      <c r="LS63" s="85"/>
      <c r="LT63" s="3"/>
      <c r="LU63" s="3"/>
      <c r="LV63" s="3"/>
      <c r="LW63" s="3"/>
      <c r="LX63" s="2"/>
      <c r="LY63" s="168"/>
      <c r="LZ63" s="2" t="s">
        <v>2907</v>
      </c>
      <c r="MA63" s="2" t="s">
        <v>3065</v>
      </c>
      <c r="MB63" s="3" t="s">
        <v>2431</v>
      </c>
      <c r="MC63" s="3" t="s">
        <v>2431</v>
      </c>
      <c r="MD63" s="3" t="s">
        <v>2431</v>
      </c>
      <c r="ME63" s="3" t="s">
        <v>2431</v>
      </c>
      <c r="MF63" s="3" t="s">
        <v>2431</v>
      </c>
      <c r="MG63" s="3" t="s">
        <v>2431</v>
      </c>
      <c r="MH63" s="3" t="s">
        <v>2431</v>
      </c>
      <c r="MI63" s="3" t="s">
        <v>2431</v>
      </c>
      <c r="MJ63" s="2"/>
      <c r="NL63" s="3"/>
      <c r="NM63" s="3"/>
      <c r="NN63" s="3"/>
      <c r="NO63" s="3"/>
      <c r="NP63" s="3"/>
      <c r="NQ63" s="3"/>
      <c r="NR63" s="3"/>
      <c r="NS63" s="3"/>
    </row>
    <row r="64" spans="1:383" ht="150.75" thickBot="1">
      <c r="A64" s="68" t="s">
        <v>2408</v>
      </c>
      <c r="B64" s="19" t="s">
        <v>540</v>
      </c>
      <c r="C64" s="136">
        <v>9.42</v>
      </c>
      <c r="D64" s="136">
        <v>9.1199999999999992</v>
      </c>
      <c r="E64" s="136">
        <v>9.5</v>
      </c>
      <c r="F64" s="365">
        <f t="shared" si="76"/>
        <v>9.3466666666666658</v>
      </c>
      <c r="G64" s="373">
        <f t="shared" si="77"/>
        <v>9.3466666666666658</v>
      </c>
      <c r="I64">
        <v>10</v>
      </c>
      <c r="J64">
        <v>9</v>
      </c>
      <c r="K64">
        <v>9</v>
      </c>
      <c r="L64">
        <v>9</v>
      </c>
      <c r="M64">
        <v>10</v>
      </c>
      <c r="N64">
        <f t="shared" si="78"/>
        <v>9.4</v>
      </c>
      <c r="AM64" s="1306"/>
      <c r="AN64" s="1306"/>
      <c r="AO64" s="1306"/>
      <c r="AP64" s="1306"/>
      <c r="AS64" s="1306"/>
      <c r="AT64" s="1306"/>
      <c r="AU64" s="1306"/>
      <c r="AV64" s="1306"/>
      <c r="DI64" s="81"/>
      <c r="DJ64" s="81"/>
      <c r="DK64" s="81"/>
      <c r="DL64" s="81"/>
      <c r="DM64" s="81"/>
      <c r="GM64" s="185" t="s">
        <v>2431</v>
      </c>
      <c r="GN64" s="187">
        <f t="shared" ref="GN64:GU64" si="87">COUNTIFS($BA$2:$BA$425,"ΚΥΡΛΑΚΗΣ ΜΑΡΙΟΣ",IG$2:IG$425,"άριστη")</f>
        <v>0</v>
      </c>
      <c r="GO64" s="187">
        <f t="shared" si="87"/>
        <v>0</v>
      </c>
      <c r="GP64" s="187">
        <f t="shared" si="87"/>
        <v>0</v>
      </c>
      <c r="GQ64" s="187">
        <f t="shared" si="87"/>
        <v>0</v>
      </c>
      <c r="GR64" s="187">
        <f t="shared" si="87"/>
        <v>0</v>
      </c>
      <c r="GS64" s="187">
        <f t="shared" si="87"/>
        <v>0</v>
      </c>
      <c r="GT64" s="187">
        <f t="shared" si="87"/>
        <v>0</v>
      </c>
      <c r="GU64" s="187">
        <f t="shared" si="87"/>
        <v>0</v>
      </c>
      <c r="GV64" s="170">
        <f>SUM(GR64:GU64)</f>
        <v>0</v>
      </c>
      <c r="HJ64" s="168"/>
      <c r="HM64" s="157"/>
      <c r="HS64" s="93"/>
      <c r="HX64" s="85"/>
      <c r="ID64" s="168"/>
      <c r="IE64" s="2" t="s">
        <v>2907</v>
      </c>
      <c r="IF64" s="2" t="s">
        <v>3065</v>
      </c>
      <c r="IG64" s="3" t="s">
        <v>2431</v>
      </c>
      <c r="IH64" s="3" t="s">
        <v>2431</v>
      </c>
      <c r="II64" s="3" t="s">
        <v>2431</v>
      </c>
      <c r="IJ64" s="3" t="s">
        <v>2431</v>
      </c>
      <c r="IK64" s="3" t="s">
        <v>2431</v>
      </c>
      <c r="IL64" s="3" t="s">
        <v>2431</v>
      </c>
      <c r="IM64" s="3" t="s">
        <v>2431</v>
      </c>
      <c r="IN64" s="3" t="s">
        <v>2431</v>
      </c>
      <c r="JH64" s="185" t="s">
        <v>2431</v>
      </c>
      <c r="JI64" s="173" t="e">
        <f>#REF!</f>
        <v>#REF!</v>
      </c>
      <c r="JJ64" s="173" t="e">
        <f>#REF!</f>
        <v>#REF!</v>
      </c>
      <c r="JK64" s="173" t="e">
        <f>#REF!</f>
        <v>#REF!</v>
      </c>
      <c r="JL64" s="173" t="e">
        <f>#REF!</f>
        <v>#REF!</v>
      </c>
      <c r="JM64" s="173" t="e">
        <f>#REF!</f>
        <v>#REF!</v>
      </c>
      <c r="JN64" s="173" t="e">
        <f>#REF!</f>
        <v>#REF!</v>
      </c>
      <c r="JO64" s="173" t="e">
        <f>#REF!</f>
        <v>#REF!</v>
      </c>
      <c r="JP64" s="173" t="e">
        <f>#REF!</f>
        <v>#REF!</v>
      </c>
      <c r="JQ64" s="170" t="e">
        <f>SUM(JM64:JP64)</f>
        <v>#REF!</v>
      </c>
      <c r="KB64" s="136"/>
      <c r="KC64" s="3"/>
      <c r="KD64" s="3"/>
      <c r="KE64" s="3"/>
      <c r="KF64" s="136"/>
      <c r="KG64" s="136"/>
      <c r="KH64" s="185" t="s">
        <v>2431</v>
      </c>
      <c r="KI64" s="187">
        <f t="shared" ref="KI64:KP64" si="88">COUNTIFS($BA$2:$BA$425,"ΚΥΡΛΑΚΗΣ ΜΑΡΙΟΣ",MB$2:MB$425,"άριστη")</f>
        <v>0</v>
      </c>
      <c r="KJ64" s="187">
        <f t="shared" si="88"/>
        <v>0</v>
      </c>
      <c r="KK64" s="187">
        <f t="shared" si="88"/>
        <v>0</v>
      </c>
      <c r="KL64" s="187">
        <f t="shared" si="88"/>
        <v>0</v>
      </c>
      <c r="KM64" s="187">
        <f t="shared" si="88"/>
        <v>0</v>
      </c>
      <c r="KN64" s="187">
        <f t="shared" si="88"/>
        <v>0</v>
      </c>
      <c r="KO64" s="187">
        <f t="shared" si="88"/>
        <v>0</v>
      </c>
      <c r="KP64" s="187">
        <f t="shared" si="88"/>
        <v>0</v>
      </c>
      <c r="KQ64" s="170">
        <f>SUM(KM64:KP64)</f>
        <v>0</v>
      </c>
      <c r="LE64" s="168"/>
      <c r="LF64" s="3"/>
      <c r="LG64" s="2"/>
      <c r="LH64" s="157"/>
      <c r="LI64" s="3"/>
      <c r="LJ64" s="3"/>
      <c r="LK64" s="3"/>
      <c r="LL64" s="3"/>
      <c r="LM64" s="2"/>
      <c r="LN64" s="93"/>
      <c r="LO64" s="3"/>
      <c r="LP64" s="3"/>
      <c r="LQ64" s="3"/>
      <c r="LR64" s="2"/>
      <c r="LS64" s="85"/>
      <c r="LT64" s="3"/>
      <c r="LU64" s="3"/>
      <c r="LV64" s="3"/>
      <c r="LW64" s="3"/>
      <c r="LX64" s="2"/>
      <c r="LY64" s="168"/>
      <c r="LZ64" s="2" t="s">
        <v>2907</v>
      </c>
      <c r="MA64" s="2" t="s">
        <v>3065</v>
      </c>
      <c r="MB64" s="3" t="s">
        <v>2431</v>
      </c>
      <c r="MC64" s="3" t="s">
        <v>2431</v>
      </c>
      <c r="MD64" s="3" t="s">
        <v>2431</v>
      </c>
      <c r="ME64" s="3" t="s">
        <v>2431</v>
      </c>
      <c r="MF64" s="3" t="s">
        <v>2431</v>
      </c>
      <c r="MG64" s="3" t="s">
        <v>2431</v>
      </c>
      <c r="MH64" s="3" t="s">
        <v>2431</v>
      </c>
      <c r="MI64" s="3" t="s">
        <v>2431</v>
      </c>
      <c r="MJ64" s="2"/>
      <c r="NL64" s="3"/>
      <c r="NM64" s="3"/>
      <c r="NN64" s="3"/>
      <c r="NO64" s="3"/>
      <c r="NP64" s="3"/>
      <c r="NQ64" s="3"/>
      <c r="NR64" s="3"/>
      <c r="NS64" s="3"/>
    </row>
    <row r="65" spans="5:383" ht="150.75" thickBot="1">
      <c r="AM65" s="273">
        <v>45785</v>
      </c>
      <c r="AN65" s="274" t="s">
        <v>3001</v>
      </c>
      <c r="AO65" s="274"/>
      <c r="AP65" s="274"/>
      <c r="AS65" s="273">
        <v>45813</v>
      </c>
      <c r="AT65" s="274" t="s">
        <v>3001</v>
      </c>
      <c r="AU65" s="274"/>
      <c r="AV65" s="274"/>
      <c r="DI65" s="81"/>
      <c r="DJ65" s="81"/>
      <c r="DK65" s="81"/>
      <c r="DL65" s="81"/>
      <c r="DM65" s="81"/>
      <c r="HJ65" s="168"/>
      <c r="HM65" s="157"/>
      <c r="HS65" s="93"/>
      <c r="HX65" s="85"/>
      <c r="ID65" s="168"/>
      <c r="IE65" s="2" t="s">
        <v>2907</v>
      </c>
      <c r="IF65" s="2" t="s">
        <v>3065</v>
      </c>
      <c r="IG65" s="3" t="s">
        <v>2431</v>
      </c>
      <c r="IH65" s="3" t="s">
        <v>2431</v>
      </c>
      <c r="II65" s="3" t="s">
        <v>2431</v>
      </c>
      <c r="IJ65" s="3" t="s">
        <v>2431</v>
      </c>
      <c r="IK65" s="3" t="s">
        <v>2431</v>
      </c>
      <c r="IL65" s="3" t="s">
        <v>2431</v>
      </c>
      <c r="IM65" s="3" t="s">
        <v>2431</v>
      </c>
      <c r="IN65" s="3" t="s">
        <v>2431</v>
      </c>
      <c r="JH65" s="136"/>
      <c r="JI65" s="136"/>
      <c r="KB65" s="136"/>
      <c r="KC65" s="3"/>
      <c r="KD65" s="3"/>
      <c r="KE65" s="3"/>
      <c r="KF65" s="136"/>
      <c r="KG65" s="136"/>
      <c r="KH65" s="136"/>
      <c r="KI65" s="136"/>
      <c r="LE65" s="168"/>
      <c r="LF65" s="3"/>
      <c r="LG65" s="2"/>
      <c r="LH65" s="157"/>
      <c r="LI65" s="3"/>
      <c r="LJ65" s="3"/>
      <c r="LK65" s="3"/>
      <c r="LL65" s="3"/>
      <c r="LM65" s="2"/>
      <c r="LN65" s="93"/>
      <c r="LO65" s="3"/>
      <c r="LP65" s="3"/>
      <c r="LQ65" s="3"/>
      <c r="LR65" s="2"/>
      <c r="LS65" s="85"/>
      <c r="LT65" s="3"/>
      <c r="LU65" s="3"/>
      <c r="LV65" s="3"/>
      <c r="LW65" s="3"/>
      <c r="LX65" s="2"/>
      <c r="LY65" s="168"/>
      <c r="LZ65" s="2" t="s">
        <v>2907</v>
      </c>
      <c r="MA65" s="2" t="s">
        <v>3065</v>
      </c>
      <c r="MB65" s="3" t="s">
        <v>2431</v>
      </c>
      <c r="MC65" s="3" t="s">
        <v>2431</v>
      </c>
      <c r="MD65" s="3" t="s">
        <v>2431</v>
      </c>
      <c r="ME65" s="3" t="s">
        <v>2431</v>
      </c>
      <c r="MF65" s="3" t="s">
        <v>2431</v>
      </c>
      <c r="MG65" s="3" t="s">
        <v>2431</v>
      </c>
      <c r="MH65" s="3" t="s">
        <v>2431</v>
      </c>
      <c r="MI65" s="3" t="s">
        <v>2431</v>
      </c>
      <c r="MJ65" s="2"/>
      <c r="NL65" s="3"/>
      <c r="NM65" s="3"/>
      <c r="NN65" s="3"/>
      <c r="NO65" s="3"/>
      <c r="NP65" s="3"/>
      <c r="NQ65" s="3"/>
      <c r="NR65" s="3"/>
      <c r="NS65" s="3"/>
    </row>
    <row r="66" spans="5:383" ht="150">
      <c r="AM66" s="273">
        <v>45787</v>
      </c>
      <c r="AN66" s="274" t="s">
        <v>3001</v>
      </c>
      <c r="AO66" s="274"/>
      <c r="AP66" s="274"/>
      <c r="AS66" s="273">
        <v>45815</v>
      </c>
      <c r="AT66" s="274" t="s">
        <v>3001</v>
      </c>
      <c r="AU66" s="274"/>
      <c r="AV66" s="274"/>
      <c r="DI66" s="81"/>
      <c r="DJ66" s="81"/>
      <c r="DK66" s="81"/>
      <c r="DL66" s="81"/>
      <c r="DM66" s="81"/>
      <c r="GM66" s="175" t="s">
        <v>1615</v>
      </c>
      <c r="GN66" s="171" t="s">
        <v>2354</v>
      </c>
      <c r="GO66" s="171" t="s">
        <v>2355</v>
      </c>
      <c r="GP66" s="171" t="s">
        <v>2356</v>
      </c>
      <c r="GQ66" s="172" t="s">
        <v>2357</v>
      </c>
      <c r="GR66" s="171" t="s">
        <v>2358</v>
      </c>
      <c r="GS66" s="171" t="s">
        <v>2359</v>
      </c>
      <c r="GT66" s="171" t="s">
        <v>2360</v>
      </c>
      <c r="GU66" s="172" t="s">
        <v>2361</v>
      </c>
      <c r="GV66" s="6" t="s">
        <v>2480</v>
      </c>
      <c r="HJ66" s="168"/>
      <c r="HM66" s="157"/>
      <c r="HS66" s="93"/>
      <c r="HX66" s="85"/>
      <c r="ID66" s="168"/>
      <c r="IE66" s="2" t="s">
        <v>2907</v>
      </c>
      <c r="IF66" s="2" t="s">
        <v>2457</v>
      </c>
      <c r="IG66" s="3" t="s">
        <v>2432</v>
      </c>
      <c r="IH66" s="3" t="s">
        <v>2435</v>
      </c>
      <c r="II66" s="3" t="s">
        <v>2435</v>
      </c>
      <c r="IJ66" s="3" t="s">
        <v>2435</v>
      </c>
      <c r="IK66" s="3" t="s">
        <v>2435</v>
      </c>
      <c r="IL66" s="3" t="s">
        <v>2435</v>
      </c>
      <c r="IM66" s="3" t="s">
        <v>2435</v>
      </c>
      <c r="IN66" s="3" t="s">
        <v>2435</v>
      </c>
      <c r="JH66" s="175" t="s">
        <v>1615</v>
      </c>
      <c r="JI66" s="171" t="s">
        <v>2354</v>
      </c>
      <c r="JJ66" s="171" t="s">
        <v>2355</v>
      </c>
      <c r="JK66" s="171" t="s">
        <v>2356</v>
      </c>
      <c r="JL66" s="172" t="s">
        <v>2357</v>
      </c>
      <c r="JM66" s="171" t="s">
        <v>2358</v>
      </c>
      <c r="JN66" s="171" t="s">
        <v>2359</v>
      </c>
      <c r="JO66" s="171" t="s">
        <v>2360</v>
      </c>
      <c r="JP66" s="172" t="s">
        <v>2361</v>
      </c>
      <c r="JQ66" s="6" t="s">
        <v>2480</v>
      </c>
      <c r="KB66" s="136"/>
      <c r="KC66" s="3"/>
      <c r="KD66" s="3"/>
      <c r="KE66" s="3"/>
      <c r="KF66" s="136"/>
      <c r="KG66" s="136"/>
      <c r="KH66" s="175" t="s">
        <v>1615</v>
      </c>
      <c r="KI66" s="171" t="s">
        <v>2354</v>
      </c>
      <c r="KJ66" s="171" t="s">
        <v>2355</v>
      </c>
      <c r="KK66" s="171" t="s">
        <v>2356</v>
      </c>
      <c r="KL66" s="172" t="s">
        <v>2357</v>
      </c>
      <c r="KM66" s="171" t="s">
        <v>2358</v>
      </c>
      <c r="KN66" s="171" t="s">
        <v>2359</v>
      </c>
      <c r="KO66" s="171" t="s">
        <v>2360</v>
      </c>
      <c r="KP66" s="172" t="s">
        <v>2361</v>
      </c>
      <c r="KQ66" s="6" t="s">
        <v>2480</v>
      </c>
      <c r="LE66" s="168"/>
      <c r="LF66" s="3"/>
      <c r="LG66" s="2"/>
      <c r="LH66" s="157"/>
      <c r="LI66" s="3"/>
      <c r="LJ66" s="3"/>
      <c r="LK66" s="3"/>
      <c r="LL66" s="3"/>
      <c r="LM66" s="2"/>
      <c r="LN66" s="93"/>
      <c r="LO66" s="3"/>
      <c r="LP66" s="3"/>
      <c r="LQ66" s="3"/>
      <c r="LR66" s="2"/>
      <c r="LS66" s="85"/>
      <c r="LT66" s="3"/>
      <c r="LU66" s="3"/>
      <c r="LV66" s="3"/>
      <c r="LW66" s="3"/>
      <c r="LX66" s="2"/>
      <c r="LY66" s="168"/>
      <c r="LZ66" s="2" t="s">
        <v>2907</v>
      </c>
      <c r="MA66" s="2" t="s">
        <v>2457</v>
      </c>
      <c r="MB66" s="3" t="s">
        <v>2432</v>
      </c>
      <c r="MC66" s="3" t="s">
        <v>2435</v>
      </c>
      <c r="MD66" s="3" t="s">
        <v>2435</v>
      </c>
      <c r="ME66" s="3" t="s">
        <v>2435</v>
      </c>
      <c r="MF66" s="3" t="s">
        <v>2435</v>
      </c>
      <c r="MG66" s="3" t="s">
        <v>2435</v>
      </c>
      <c r="MH66" s="3" t="s">
        <v>2435</v>
      </c>
      <c r="MI66" s="3" t="s">
        <v>2435</v>
      </c>
      <c r="MJ66" s="2"/>
      <c r="NL66" s="3"/>
      <c r="NM66" s="3"/>
      <c r="NN66" s="3"/>
      <c r="NO66" s="3"/>
      <c r="NP66" s="3"/>
      <c r="NQ66" s="3"/>
      <c r="NR66" s="3"/>
      <c r="NS66" s="3"/>
    </row>
    <row r="67" spans="5:383" ht="150">
      <c r="E67" s="304"/>
      <c r="AM67" s="275">
        <v>45792</v>
      </c>
      <c r="AN67" s="276" t="s">
        <v>3001</v>
      </c>
      <c r="AO67" s="276"/>
      <c r="AP67" s="276"/>
      <c r="AS67" s="275">
        <v>45820</v>
      </c>
      <c r="AT67" s="276" t="s">
        <v>3001</v>
      </c>
      <c r="AU67" s="276"/>
      <c r="AV67" s="276"/>
      <c r="DI67" s="81"/>
      <c r="DJ67" s="81"/>
      <c r="DK67" s="81"/>
      <c r="DL67" s="81"/>
      <c r="DM67" s="81"/>
      <c r="GM67" s="184" t="s">
        <v>2525</v>
      </c>
      <c r="GN67" s="173">
        <f t="shared" ref="GN67:GU67" si="89">COUNTIFS($BA$2:$BA$425,"ΜΑΡΚΑΚΗ ΤΡΥΠΑΚΗ ΠΕΛΑΓΙΑ",IG$2:IG$425,"κακή")</f>
        <v>0</v>
      </c>
      <c r="GO67" s="173">
        <f t="shared" si="89"/>
        <v>0</v>
      </c>
      <c r="GP67" s="173">
        <f t="shared" si="89"/>
        <v>0</v>
      </c>
      <c r="GQ67" s="173">
        <f t="shared" si="89"/>
        <v>0</v>
      </c>
      <c r="GR67" s="173">
        <f t="shared" si="89"/>
        <v>0</v>
      </c>
      <c r="GS67" s="173">
        <f t="shared" si="89"/>
        <v>0</v>
      </c>
      <c r="GT67" s="173">
        <f t="shared" si="89"/>
        <v>0</v>
      </c>
      <c r="GU67" s="173">
        <f t="shared" si="89"/>
        <v>0</v>
      </c>
      <c r="GV67" s="170">
        <f>SUM(GR67:GU67)</f>
        <v>0</v>
      </c>
      <c r="HJ67" s="168"/>
      <c r="HM67" s="157"/>
      <c r="HS67" s="93"/>
      <c r="HX67" s="85"/>
      <c r="ID67" s="168"/>
      <c r="IE67" s="2" t="s">
        <v>2907</v>
      </c>
      <c r="IF67" s="2" t="s">
        <v>2457</v>
      </c>
      <c r="IG67" s="3" t="s">
        <v>2433</v>
      </c>
      <c r="IH67" s="3" t="s">
        <v>2435</v>
      </c>
      <c r="II67" s="3" t="s">
        <v>2435</v>
      </c>
      <c r="IJ67" s="3" t="s">
        <v>2435</v>
      </c>
      <c r="IK67" s="3" t="s">
        <v>2432</v>
      </c>
      <c r="IL67" s="3" t="s">
        <v>2435</v>
      </c>
      <c r="IM67" s="3" t="s">
        <v>2435</v>
      </c>
      <c r="IN67" s="3" t="s">
        <v>2435</v>
      </c>
      <c r="JH67" s="184" t="s">
        <v>2525</v>
      </c>
      <c r="JI67" s="173" t="e">
        <f>#REF!</f>
        <v>#REF!</v>
      </c>
      <c r="JJ67" s="173" t="e">
        <f>#REF!</f>
        <v>#REF!</v>
      </c>
      <c r="JK67" s="173" t="e">
        <f>#REF!</f>
        <v>#REF!</v>
      </c>
      <c r="JL67" s="173" t="e">
        <f>#REF!</f>
        <v>#REF!</v>
      </c>
      <c r="JM67" s="173" t="e">
        <f>#REF!</f>
        <v>#REF!</v>
      </c>
      <c r="JN67" s="173" t="e">
        <f>#REF!</f>
        <v>#REF!</v>
      </c>
      <c r="JO67" s="173" t="e">
        <f>#REF!</f>
        <v>#REF!</v>
      </c>
      <c r="JP67" s="173" t="e">
        <f>#REF!</f>
        <v>#REF!</v>
      </c>
      <c r="JQ67" s="170" t="e">
        <f>SUM(JM67:JP67)</f>
        <v>#REF!</v>
      </c>
      <c r="KB67" s="136"/>
      <c r="KC67" s="3"/>
      <c r="KD67" s="3"/>
      <c r="KE67" s="3"/>
      <c r="KF67" s="136"/>
      <c r="KG67" s="136"/>
      <c r="KH67" s="184" t="s">
        <v>2525</v>
      </c>
      <c r="KI67" s="173">
        <f t="shared" ref="KI67:KP67" si="90">COUNTIFS($BA$2:$BA$425,"ΜΑΡΚΑΚΗ ΤΡΥΠΑΚΗ ΠΕΛΑΓΙΑ",MB$2:MB$425,"κακή")</f>
        <v>0</v>
      </c>
      <c r="KJ67" s="173">
        <f t="shared" si="90"/>
        <v>0</v>
      </c>
      <c r="KK67" s="173">
        <f t="shared" si="90"/>
        <v>0</v>
      </c>
      <c r="KL67" s="173">
        <f t="shared" si="90"/>
        <v>0</v>
      </c>
      <c r="KM67" s="173">
        <f t="shared" si="90"/>
        <v>0</v>
      </c>
      <c r="KN67" s="173">
        <f t="shared" si="90"/>
        <v>0</v>
      </c>
      <c r="KO67" s="173">
        <f t="shared" si="90"/>
        <v>0</v>
      </c>
      <c r="KP67" s="173">
        <f t="shared" si="90"/>
        <v>0</v>
      </c>
      <c r="KQ67" s="170">
        <f>SUM(KM67:KP67)</f>
        <v>0</v>
      </c>
      <c r="LE67" s="168"/>
      <c r="LF67" s="3"/>
      <c r="LG67" s="2"/>
      <c r="LH67" s="157"/>
      <c r="LI67" s="3"/>
      <c r="LJ67" s="3"/>
      <c r="LK67" s="3"/>
      <c r="LL67" s="3"/>
      <c r="LM67" s="2"/>
      <c r="LN67" s="93"/>
      <c r="LO67" s="3"/>
      <c r="LP67" s="3"/>
      <c r="LQ67" s="3"/>
      <c r="LR67" s="2"/>
      <c r="LS67" s="85"/>
      <c r="LT67" s="3"/>
      <c r="LU67" s="3"/>
      <c r="LV67" s="3"/>
      <c r="LW67" s="3"/>
      <c r="LX67" s="2"/>
      <c r="LY67" s="168"/>
      <c r="LZ67" s="2" t="s">
        <v>2907</v>
      </c>
      <c r="MA67" s="2" t="s">
        <v>2457</v>
      </c>
      <c r="MB67" s="3" t="s">
        <v>2433</v>
      </c>
      <c r="MC67" s="3" t="s">
        <v>2435</v>
      </c>
      <c r="MD67" s="3" t="s">
        <v>2435</v>
      </c>
      <c r="ME67" s="3" t="s">
        <v>2435</v>
      </c>
      <c r="MF67" s="3" t="s">
        <v>2432</v>
      </c>
      <c r="MG67" s="3" t="s">
        <v>2435</v>
      </c>
      <c r="MH67" s="3" t="s">
        <v>2435</v>
      </c>
      <c r="MI67" s="3" t="s">
        <v>2435</v>
      </c>
      <c r="MJ67" s="2"/>
      <c r="NL67" s="3"/>
      <c r="NM67" s="3"/>
      <c r="NN67" s="3"/>
      <c r="NO67" s="3"/>
      <c r="NP67" s="3"/>
      <c r="NQ67" s="3"/>
      <c r="NR67" s="3"/>
      <c r="NS67" s="3"/>
    </row>
    <row r="68" spans="5:383" ht="150">
      <c r="AM68" s="275">
        <v>45794</v>
      </c>
      <c r="AN68" s="276" t="s">
        <v>3001</v>
      </c>
      <c r="AO68" s="276"/>
      <c r="AP68" s="276"/>
      <c r="AS68" s="275">
        <v>45822</v>
      </c>
      <c r="AT68" s="276" t="s">
        <v>3001</v>
      </c>
      <c r="AU68" s="276"/>
      <c r="AV68" s="276"/>
      <c r="DI68" s="81"/>
      <c r="DJ68" s="81"/>
      <c r="DK68" s="81"/>
      <c r="DL68" s="81"/>
      <c r="DM68" s="81"/>
      <c r="GM68" s="184" t="s">
        <v>2435</v>
      </c>
      <c r="GN68" s="173">
        <f t="shared" ref="GN68:GU68" si="91">COUNTIFS($BA$2:$BA$425,"ΜΑΡΚΑΚΗ ΤΡΥΠΑΚΗ ΠΕΛΑΓΙΑ",IG$2:IG$425,"μέτρια")</f>
        <v>0</v>
      </c>
      <c r="GO68" s="173">
        <f t="shared" si="91"/>
        <v>0</v>
      </c>
      <c r="GP68" s="173">
        <f t="shared" si="91"/>
        <v>0</v>
      </c>
      <c r="GQ68" s="173">
        <f t="shared" si="91"/>
        <v>0</v>
      </c>
      <c r="GR68" s="173">
        <f t="shared" si="91"/>
        <v>0</v>
      </c>
      <c r="GS68" s="173">
        <f t="shared" si="91"/>
        <v>0</v>
      </c>
      <c r="GT68" s="173">
        <f t="shared" si="91"/>
        <v>0</v>
      </c>
      <c r="GU68" s="173">
        <f t="shared" si="91"/>
        <v>0</v>
      </c>
      <c r="GV68" s="170">
        <f>SUM(GR68:GU68)</f>
        <v>0</v>
      </c>
      <c r="HJ68" s="168"/>
      <c r="HM68" s="157"/>
      <c r="HS68" s="93"/>
      <c r="HX68" s="85"/>
      <c r="ID68" s="168"/>
      <c r="IE68" s="2" t="s">
        <v>2907</v>
      </c>
      <c r="IF68" s="2" t="s">
        <v>2457</v>
      </c>
      <c r="IG68" s="3" t="s">
        <v>2432</v>
      </c>
      <c r="IH68" s="3" t="s">
        <v>2435</v>
      </c>
      <c r="II68" s="3" t="s">
        <v>2435</v>
      </c>
      <c r="IJ68" s="3" t="s">
        <v>2434</v>
      </c>
      <c r="IK68" s="3" t="s">
        <v>2432</v>
      </c>
      <c r="IL68" s="3" t="s">
        <v>2435</v>
      </c>
      <c r="IM68" s="3" t="s">
        <v>2435</v>
      </c>
      <c r="IN68" s="3" t="s">
        <v>2435</v>
      </c>
      <c r="JH68" s="184" t="s">
        <v>2435</v>
      </c>
      <c r="JI68" s="173" t="e">
        <f>#REF!</f>
        <v>#REF!</v>
      </c>
      <c r="JJ68" s="173" t="e">
        <f>#REF!</f>
        <v>#REF!</v>
      </c>
      <c r="JK68" s="173" t="e">
        <f>#REF!</f>
        <v>#REF!</v>
      </c>
      <c r="JL68" s="173" t="e">
        <f>#REF!</f>
        <v>#REF!</v>
      </c>
      <c r="JM68" s="173" t="e">
        <f>#REF!</f>
        <v>#REF!</v>
      </c>
      <c r="JN68" s="173" t="e">
        <f>#REF!</f>
        <v>#REF!</v>
      </c>
      <c r="JO68" s="173" t="e">
        <f>#REF!</f>
        <v>#REF!</v>
      </c>
      <c r="JP68" s="173" t="e">
        <f>#REF!</f>
        <v>#REF!</v>
      </c>
      <c r="JQ68" s="170" t="e">
        <f>SUM(JM68:JP68)</f>
        <v>#REF!</v>
      </c>
      <c r="KB68" s="136"/>
      <c r="KC68" s="3"/>
      <c r="KD68" s="3"/>
      <c r="KE68" s="3"/>
      <c r="KF68" s="136"/>
      <c r="KG68" s="136"/>
      <c r="KH68" s="184" t="s">
        <v>2435</v>
      </c>
      <c r="KI68" s="173">
        <f t="shared" ref="KI68:KP68" si="92">COUNTIFS($BA$2:$BA$425,"ΜΑΡΚΑΚΗ ΤΡΥΠΑΚΗ ΠΕΛΑΓΙΑ",MB$2:MB$425,"μέτρια")</f>
        <v>0</v>
      </c>
      <c r="KJ68" s="173">
        <f t="shared" si="92"/>
        <v>0</v>
      </c>
      <c r="KK68" s="173">
        <f t="shared" si="92"/>
        <v>0</v>
      </c>
      <c r="KL68" s="173">
        <f t="shared" si="92"/>
        <v>0</v>
      </c>
      <c r="KM68" s="173">
        <f t="shared" si="92"/>
        <v>0</v>
      </c>
      <c r="KN68" s="173">
        <f t="shared" si="92"/>
        <v>0</v>
      </c>
      <c r="KO68" s="173">
        <f t="shared" si="92"/>
        <v>0</v>
      </c>
      <c r="KP68" s="173">
        <f t="shared" si="92"/>
        <v>0</v>
      </c>
      <c r="KQ68" s="170">
        <f>SUM(KM68:KP68)</f>
        <v>0</v>
      </c>
      <c r="LE68" s="168"/>
      <c r="LF68" s="3"/>
      <c r="LG68" s="2"/>
      <c r="LH68" s="157"/>
      <c r="LI68" s="3"/>
      <c r="LJ68" s="3"/>
      <c r="LK68" s="3"/>
      <c r="LL68" s="3"/>
      <c r="LM68" s="2"/>
      <c r="LN68" s="93"/>
      <c r="LO68" s="3"/>
      <c r="LP68" s="3"/>
      <c r="LQ68" s="3"/>
      <c r="LR68" s="2"/>
      <c r="LS68" s="85"/>
      <c r="LT68" s="3"/>
      <c r="LU68" s="3"/>
      <c r="LV68" s="3"/>
      <c r="LW68" s="3"/>
      <c r="LX68" s="2"/>
      <c r="LY68" s="168"/>
      <c r="LZ68" s="2" t="s">
        <v>2907</v>
      </c>
      <c r="MA68" s="2" t="s">
        <v>2457</v>
      </c>
      <c r="MB68" s="3" t="s">
        <v>2432</v>
      </c>
      <c r="MC68" s="3" t="s">
        <v>2435</v>
      </c>
      <c r="MD68" s="3" t="s">
        <v>2435</v>
      </c>
      <c r="ME68" s="3" t="s">
        <v>2434</v>
      </c>
      <c r="MF68" s="3" t="s">
        <v>2432</v>
      </c>
      <c r="MG68" s="3" t="s">
        <v>2435</v>
      </c>
      <c r="MH68" s="3" t="s">
        <v>2435</v>
      </c>
      <c r="MI68" s="3" t="s">
        <v>2435</v>
      </c>
      <c r="MJ68" s="2"/>
      <c r="NL68" s="3"/>
      <c r="NM68" s="3"/>
      <c r="NN68" s="3"/>
      <c r="NO68" s="3"/>
      <c r="NP68" s="3"/>
      <c r="NQ68" s="3"/>
      <c r="NR68" s="3"/>
      <c r="NS68" s="3"/>
    </row>
    <row r="69" spans="5:383" ht="150">
      <c r="AM69" s="273">
        <v>45799</v>
      </c>
      <c r="AN69" s="274" t="s">
        <v>3001</v>
      </c>
      <c r="AO69" s="274"/>
      <c r="AP69" s="274"/>
      <c r="AS69" s="273">
        <v>45827</v>
      </c>
      <c r="AT69" s="274" t="s">
        <v>3001</v>
      </c>
      <c r="AU69" s="274"/>
      <c r="AV69" s="274"/>
      <c r="DI69" s="81"/>
      <c r="DJ69" s="81"/>
      <c r="DK69" s="81"/>
      <c r="DL69" s="81"/>
      <c r="DM69" s="81"/>
      <c r="GM69" s="184" t="s">
        <v>2603</v>
      </c>
      <c r="GN69" s="173">
        <f t="shared" ref="GN69:GU69" si="93">COUNTIFS($BA$2:$BA$425,"ΜΑΡΚΑΚΗ ΤΡΥΠΑΚΗ ΠΕΛΑΓΙΑ",IG$2:IG$425,"καλή")</f>
        <v>0</v>
      </c>
      <c r="GO69" s="173">
        <f t="shared" si="93"/>
        <v>0</v>
      </c>
      <c r="GP69" s="173">
        <f t="shared" si="93"/>
        <v>0</v>
      </c>
      <c r="GQ69" s="173">
        <f t="shared" si="93"/>
        <v>0</v>
      </c>
      <c r="GR69" s="173">
        <f t="shared" si="93"/>
        <v>0</v>
      </c>
      <c r="GS69" s="173">
        <f t="shared" si="93"/>
        <v>0</v>
      </c>
      <c r="GT69" s="173">
        <f t="shared" si="93"/>
        <v>0</v>
      </c>
      <c r="GU69" s="173">
        <f t="shared" si="93"/>
        <v>0</v>
      </c>
      <c r="GV69" s="199">
        <f>SUM(GR69:GU69)</f>
        <v>0</v>
      </c>
      <c r="HJ69" s="168"/>
      <c r="HM69" s="157"/>
      <c r="HS69" s="93"/>
      <c r="HX69" s="85"/>
      <c r="ID69" s="168"/>
      <c r="IE69" s="2" t="s">
        <v>2907</v>
      </c>
      <c r="IF69" s="2" t="s">
        <v>3066</v>
      </c>
      <c r="IG69" s="3" t="s">
        <v>2431</v>
      </c>
      <c r="IH69" s="3" t="s">
        <v>2431</v>
      </c>
      <c r="II69" s="3" t="s">
        <v>2431</v>
      </c>
      <c r="IJ69" s="3" t="s">
        <v>2431</v>
      </c>
      <c r="IK69" s="3" t="s">
        <v>2431</v>
      </c>
      <c r="IL69" s="3" t="s">
        <v>2431</v>
      </c>
      <c r="IM69" s="3" t="s">
        <v>2431</v>
      </c>
      <c r="IN69" s="3" t="s">
        <v>2431</v>
      </c>
      <c r="JH69" s="184" t="s">
        <v>2603</v>
      </c>
      <c r="JI69" s="173" t="e">
        <f>#REF!</f>
        <v>#REF!</v>
      </c>
      <c r="JJ69" s="173" t="e">
        <f>#REF!</f>
        <v>#REF!</v>
      </c>
      <c r="JK69" s="173" t="e">
        <f>#REF!</f>
        <v>#REF!</v>
      </c>
      <c r="JL69" s="173" t="e">
        <f>#REF!</f>
        <v>#REF!</v>
      </c>
      <c r="JM69" s="173" t="e">
        <f>#REF!</f>
        <v>#REF!</v>
      </c>
      <c r="JN69" s="173" t="e">
        <f>#REF!</f>
        <v>#REF!</v>
      </c>
      <c r="JO69" s="173" t="e">
        <f>#REF!</f>
        <v>#REF!</v>
      </c>
      <c r="JP69" s="173" t="e">
        <f>#REF!</f>
        <v>#REF!</v>
      </c>
      <c r="JQ69" s="199" t="e">
        <f>SUM(JM69:JP69)</f>
        <v>#REF!</v>
      </c>
      <c r="KB69" s="136"/>
      <c r="KC69" s="3"/>
      <c r="KD69" s="3"/>
      <c r="KE69" s="3"/>
      <c r="KF69" s="136"/>
      <c r="KG69" s="136"/>
      <c r="KH69" s="184" t="s">
        <v>2603</v>
      </c>
      <c r="KI69" s="173">
        <f t="shared" ref="KI69:KP69" si="94">COUNTIFS($BA$2:$BA$425,"ΜΑΡΚΑΚΗ ΤΡΥΠΑΚΗ ΠΕΛΑΓΙΑ",MB$2:MB$425,"καλή")</f>
        <v>0</v>
      </c>
      <c r="KJ69" s="173">
        <f t="shared" si="94"/>
        <v>0</v>
      </c>
      <c r="KK69" s="173">
        <f t="shared" si="94"/>
        <v>0</v>
      </c>
      <c r="KL69" s="173">
        <f t="shared" si="94"/>
        <v>0</v>
      </c>
      <c r="KM69" s="173">
        <f t="shared" si="94"/>
        <v>0</v>
      </c>
      <c r="KN69" s="173">
        <f t="shared" si="94"/>
        <v>0</v>
      </c>
      <c r="KO69" s="173">
        <f t="shared" si="94"/>
        <v>0</v>
      </c>
      <c r="KP69" s="173">
        <f t="shared" si="94"/>
        <v>0</v>
      </c>
      <c r="KQ69" s="199">
        <f>SUM(KM69:KP69)</f>
        <v>0</v>
      </c>
      <c r="LE69" s="168"/>
      <c r="LF69" s="3"/>
      <c r="LG69" s="2"/>
      <c r="LH69" s="157"/>
      <c r="LI69" s="3"/>
      <c r="LJ69" s="3"/>
      <c r="LK69" s="3"/>
      <c r="LL69" s="3"/>
      <c r="LM69" s="2"/>
      <c r="LN69" s="93"/>
      <c r="LO69" s="3"/>
      <c r="LP69" s="3"/>
      <c r="LQ69" s="3"/>
      <c r="LR69" s="2"/>
      <c r="LS69" s="85"/>
      <c r="LT69" s="3"/>
      <c r="LU69" s="3"/>
      <c r="LV69" s="3"/>
      <c r="LW69" s="3"/>
      <c r="LX69" s="2"/>
      <c r="LY69" s="168"/>
      <c r="LZ69" s="2" t="s">
        <v>2907</v>
      </c>
      <c r="MA69" s="2" t="s">
        <v>3066</v>
      </c>
      <c r="MB69" s="3" t="s">
        <v>2431</v>
      </c>
      <c r="MC69" s="3" t="s">
        <v>2431</v>
      </c>
      <c r="MD69" s="3" t="s">
        <v>2431</v>
      </c>
      <c r="ME69" s="3" t="s">
        <v>2431</v>
      </c>
      <c r="MF69" s="3" t="s">
        <v>2431</v>
      </c>
      <c r="MG69" s="3" t="s">
        <v>2431</v>
      </c>
      <c r="MH69" s="3" t="s">
        <v>2431</v>
      </c>
      <c r="MI69" s="3" t="s">
        <v>2431</v>
      </c>
      <c r="MJ69" s="2"/>
      <c r="NL69" s="3"/>
      <c r="NM69" s="3"/>
      <c r="NN69" s="3"/>
      <c r="NO69" s="3"/>
      <c r="NP69" s="3"/>
      <c r="NQ69" s="3"/>
      <c r="NR69" s="3"/>
      <c r="NS69" s="3"/>
    </row>
    <row r="70" spans="5:383" ht="150">
      <c r="AM70" s="273">
        <v>45801</v>
      </c>
      <c r="AN70" s="274" t="s">
        <v>3001</v>
      </c>
      <c r="AO70" s="274"/>
      <c r="AP70" s="274"/>
      <c r="AS70" s="273">
        <v>45829</v>
      </c>
      <c r="AT70" s="274" t="s">
        <v>3001</v>
      </c>
      <c r="AU70" s="274"/>
      <c r="AV70" s="274"/>
      <c r="DI70" s="81"/>
      <c r="DJ70" s="81"/>
      <c r="DK70" s="81"/>
      <c r="DL70" s="81"/>
      <c r="DM70" s="81"/>
      <c r="GM70" s="184" t="s">
        <v>2639</v>
      </c>
      <c r="GN70" s="173">
        <f t="shared" ref="GN70:GU70" si="95">COUNTIFS($BA$2:$BA$425,"ΜΑΡΚΑΚΗ ΤΡΥΠΑΚΗ ΠΕΛΑΓΙΑ",IG$2:IG$425,"πολύ καλή")</f>
        <v>0</v>
      </c>
      <c r="GO70" s="173">
        <f t="shared" si="95"/>
        <v>0</v>
      </c>
      <c r="GP70" s="173">
        <f t="shared" si="95"/>
        <v>0</v>
      </c>
      <c r="GQ70" s="173">
        <f t="shared" si="95"/>
        <v>0</v>
      </c>
      <c r="GR70" s="173">
        <f t="shared" si="95"/>
        <v>0</v>
      </c>
      <c r="GS70" s="173">
        <f t="shared" si="95"/>
        <v>0</v>
      </c>
      <c r="GT70" s="173">
        <f t="shared" si="95"/>
        <v>0</v>
      </c>
      <c r="GU70" s="173">
        <f t="shared" si="95"/>
        <v>0</v>
      </c>
      <c r="GV70" s="199">
        <f>SUM(GR70:GU70)</f>
        <v>0</v>
      </c>
      <c r="HJ70" s="168"/>
      <c r="HM70" s="157"/>
      <c r="HS70" s="93"/>
      <c r="HX70" s="85"/>
      <c r="ID70" s="168"/>
      <c r="IE70" s="2" t="s">
        <v>2907</v>
      </c>
      <c r="IF70" s="2" t="s">
        <v>3066</v>
      </c>
      <c r="IG70" s="3" t="s">
        <v>2431</v>
      </c>
      <c r="IH70" s="3" t="s">
        <v>2431</v>
      </c>
      <c r="II70" s="3" t="s">
        <v>2431</v>
      </c>
      <c r="IJ70" s="3" t="s">
        <v>2431</v>
      </c>
      <c r="IK70" s="3" t="s">
        <v>2431</v>
      </c>
      <c r="IL70" s="3" t="s">
        <v>2431</v>
      </c>
      <c r="IM70" s="3" t="s">
        <v>2431</v>
      </c>
      <c r="IN70" s="3" t="s">
        <v>2431</v>
      </c>
      <c r="JH70" s="184" t="s">
        <v>2639</v>
      </c>
      <c r="JI70" s="173" t="e">
        <f>#REF!</f>
        <v>#REF!</v>
      </c>
      <c r="JJ70" s="173" t="e">
        <f>#REF!</f>
        <v>#REF!</v>
      </c>
      <c r="JK70" s="173" t="e">
        <f>#REF!</f>
        <v>#REF!</v>
      </c>
      <c r="JL70" s="173" t="e">
        <f>#REF!</f>
        <v>#REF!</v>
      </c>
      <c r="JM70" s="173" t="e">
        <f>#REF!</f>
        <v>#REF!</v>
      </c>
      <c r="JN70" s="173" t="e">
        <f>#REF!</f>
        <v>#REF!</v>
      </c>
      <c r="JO70" s="173" t="e">
        <f>#REF!</f>
        <v>#REF!</v>
      </c>
      <c r="JP70" s="173" t="e">
        <f>#REF!</f>
        <v>#REF!</v>
      </c>
      <c r="JQ70" s="199" t="e">
        <f>SUM(JM70:JP70)</f>
        <v>#REF!</v>
      </c>
      <c r="KB70" s="136"/>
      <c r="KC70" s="3"/>
      <c r="KD70" s="3"/>
      <c r="KE70" s="3"/>
      <c r="KF70" s="136"/>
      <c r="KG70" s="136"/>
      <c r="KH70" s="184" t="s">
        <v>2639</v>
      </c>
      <c r="KI70" s="173">
        <f t="shared" ref="KI70:KP70" si="96">COUNTIFS($BA$2:$BA$425,"ΜΑΡΚΑΚΗ ΤΡΥΠΑΚΗ ΠΕΛΑΓΙΑ",MB$2:MB$425,"πολύ καλή")</f>
        <v>0</v>
      </c>
      <c r="KJ70" s="173">
        <f t="shared" si="96"/>
        <v>0</v>
      </c>
      <c r="KK70" s="173">
        <f t="shared" si="96"/>
        <v>0</v>
      </c>
      <c r="KL70" s="173">
        <f t="shared" si="96"/>
        <v>0</v>
      </c>
      <c r="KM70" s="173">
        <f t="shared" si="96"/>
        <v>0</v>
      </c>
      <c r="KN70" s="173">
        <f t="shared" si="96"/>
        <v>0</v>
      </c>
      <c r="KO70" s="173">
        <f t="shared" si="96"/>
        <v>0</v>
      </c>
      <c r="KP70" s="173">
        <f t="shared" si="96"/>
        <v>0</v>
      </c>
      <c r="KQ70" s="199">
        <f>SUM(KM70:KP70)</f>
        <v>0</v>
      </c>
      <c r="LE70" s="168"/>
      <c r="LF70" s="3"/>
      <c r="LG70" s="2"/>
      <c r="LH70" s="157"/>
      <c r="LI70" s="3"/>
      <c r="LJ70" s="3"/>
      <c r="LK70" s="3"/>
      <c r="LL70" s="3"/>
      <c r="LM70" s="2"/>
      <c r="LN70" s="93"/>
      <c r="LO70" s="3"/>
      <c r="LP70" s="3"/>
      <c r="LQ70" s="3"/>
      <c r="LR70" s="2"/>
      <c r="LS70" s="85"/>
      <c r="LT70" s="3"/>
      <c r="LU70" s="3"/>
      <c r="LV70" s="3"/>
      <c r="LW70" s="3"/>
      <c r="LX70" s="2"/>
      <c r="LY70" s="168"/>
      <c r="LZ70" s="2" t="s">
        <v>2907</v>
      </c>
      <c r="MA70" s="2" t="s">
        <v>3066</v>
      </c>
      <c r="MB70" s="3" t="s">
        <v>2431</v>
      </c>
      <c r="MC70" s="3" t="s">
        <v>2431</v>
      </c>
      <c r="MD70" s="3" t="s">
        <v>2431</v>
      </c>
      <c r="ME70" s="3" t="s">
        <v>2431</v>
      </c>
      <c r="MF70" s="3" t="s">
        <v>2431</v>
      </c>
      <c r="MG70" s="3" t="s">
        <v>2431</v>
      </c>
      <c r="MH70" s="3" t="s">
        <v>2431</v>
      </c>
      <c r="MI70" s="3" t="s">
        <v>2431</v>
      </c>
      <c r="MJ70" s="2"/>
      <c r="NL70" s="3"/>
      <c r="NM70" s="3"/>
      <c r="NN70" s="3"/>
      <c r="NO70" s="3"/>
      <c r="NP70" s="3"/>
      <c r="NQ70" s="3"/>
      <c r="NR70" s="3"/>
      <c r="NS70" s="3"/>
    </row>
    <row r="71" spans="5:383" ht="150.75" thickBot="1">
      <c r="AM71" s="275">
        <v>45806</v>
      </c>
      <c r="AN71" s="276" t="s">
        <v>3001</v>
      </c>
      <c r="AO71" s="276"/>
      <c r="AP71" s="276"/>
      <c r="AS71" s="275">
        <v>45834</v>
      </c>
      <c r="AT71" s="276" t="s">
        <v>3001</v>
      </c>
      <c r="AU71" s="276"/>
      <c r="AV71" s="276"/>
      <c r="DI71" s="81"/>
      <c r="DJ71" s="81"/>
      <c r="DK71" s="81"/>
      <c r="DL71" s="81"/>
      <c r="DM71" s="81"/>
      <c r="GM71" s="185" t="s">
        <v>2431</v>
      </c>
      <c r="GN71" s="187">
        <f t="shared" ref="GN71:GU71" si="97">COUNTIFS($BA$2:$BA$425,"ΜΑΡΚΑΚΗ ΤΡΥΠΑΚΗ ΠΕΛΑΓΙΑ",IG$2:IG$425,"άριστη")</f>
        <v>0</v>
      </c>
      <c r="GO71" s="187">
        <f t="shared" si="97"/>
        <v>0</v>
      </c>
      <c r="GP71" s="187">
        <f t="shared" si="97"/>
        <v>0</v>
      </c>
      <c r="GQ71" s="187">
        <f t="shared" si="97"/>
        <v>0</v>
      </c>
      <c r="GR71" s="187">
        <f t="shared" si="97"/>
        <v>0</v>
      </c>
      <c r="GS71" s="187">
        <f t="shared" si="97"/>
        <v>0</v>
      </c>
      <c r="GT71" s="187">
        <f t="shared" si="97"/>
        <v>0</v>
      </c>
      <c r="GU71" s="187">
        <f t="shared" si="97"/>
        <v>0</v>
      </c>
      <c r="GV71" s="199">
        <f>SUM(GR71:GU71)</f>
        <v>0</v>
      </c>
      <c r="HJ71" s="168"/>
      <c r="HM71" s="157"/>
      <c r="HS71" s="93"/>
      <c r="HX71" s="85"/>
      <c r="ID71" s="168"/>
      <c r="IE71" s="2" t="s">
        <v>2907</v>
      </c>
      <c r="IF71" s="2" t="s">
        <v>3066</v>
      </c>
      <c r="IG71" s="3" t="s">
        <v>2431</v>
      </c>
      <c r="IH71" s="3" t="s">
        <v>2431</v>
      </c>
      <c r="II71" s="3" t="s">
        <v>2431</v>
      </c>
      <c r="IJ71" s="3" t="s">
        <v>2431</v>
      </c>
      <c r="IK71" s="3" t="s">
        <v>2431</v>
      </c>
      <c r="IL71" s="3" t="s">
        <v>2431</v>
      </c>
      <c r="IM71" s="3" t="s">
        <v>2431</v>
      </c>
      <c r="IN71" s="3" t="s">
        <v>2431</v>
      </c>
      <c r="JH71" s="185" t="s">
        <v>2431</v>
      </c>
      <c r="JI71" s="173" t="e">
        <f>#REF!</f>
        <v>#REF!</v>
      </c>
      <c r="JJ71" s="173" t="e">
        <f>#REF!</f>
        <v>#REF!</v>
      </c>
      <c r="JK71" s="173" t="e">
        <f>#REF!</f>
        <v>#REF!</v>
      </c>
      <c r="JL71" s="173" t="e">
        <f>#REF!</f>
        <v>#REF!</v>
      </c>
      <c r="JM71" s="173" t="e">
        <f>#REF!</f>
        <v>#REF!</v>
      </c>
      <c r="JN71" s="173" t="e">
        <f>#REF!</f>
        <v>#REF!</v>
      </c>
      <c r="JO71" s="173" t="e">
        <f>#REF!</f>
        <v>#REF!</v>
      </c>
      <c r="JP71" s="173" t="e">
        <f>#REF!</f>
        <v>#REF!</v>
      </c>
      <c r="JQ71" s="199" t="e">
        <f>SUM(JM71:JP71)</f>
        <v>#REF!</v>
      </c>
      <c r="KB71" s="136"/>
      <c r="KC71" s="3"/>
      <c r="KD71" s="3"/>
      <c r="KE71" s="3"/>
      <c r="KF71" s="136"/>
      <c r="KG71" s="136"/>
      <c r="KH71" s="185" t="s">
        <v>2431</v>
      </c>
      <c r="KI71" s="187">
        <f t="shared" ref="KI71:KP71" si="98">COUNTIFS($BA$2:$BA$425,"ΜΑΡΚΑΚΗ ΤΡΥΠΑΚΗ ΠΕΛΑΓΙΑ",MB$2:MB$425,"άριστη")</f>
        <v>0</v>
      </c>
      <c r="KJ71" s="187">
        <f t="shared" si="98"/>
        <v>0</v>
      </c>
      <c r="KK71" s="187">
        <f t="shared" si="98"/>
        <v>0</v>
      </c>
      <c r="KL71" s="187">
        <f t="shared" si="98"/>
        <v>0</v>
      </c>
      <c r="KM71" s="187">
        <f t="shared" si="98"/>
        <v>0</v>
      </c>
      <c r="KN71" s="187">
        <f t="shared" si="98"/>
        <v>0</v>
      </c>
      <c r="KO71" s="187">
        <f t="shared" si="98"/>
        <v>0</v>
      </c>
      <c r="KP71" s="187">
        <f t="shared" si="98"/>
        <v>0</v>
      </c>
      <c r="KQ71" s="199">
        <f>SUM(KM71:KP71)</f>
        <v>0</v>
      </c>
      <c r="LE71" s="168"/>
      <c r="LF71" s="3"/>
      <c r="LG71" s="2"/>
      <c r="LH71" s="157"/>
      <c r="LI71" s="3"/>
      <c r="LJ71" s="3"/>
      <c r="LK71" s="3"/>
      <c r="LL71" s="3"/>
      <c r="LM71" s="2"/>
      <c r="LN71" s="93"/>
      <c r="LO71" s="3"/>
      <c r="LP71" s="3"/>
      <c r="LQ71" s="3"/>
      <c r="LR71" s="2"/>
      <c r="LS71" s="85"/>
      <c r="LT71" s="3"/>
      <c r="LU71" s="3"/>
      <c r="LV71" s="3"/>
      <c r="LW71" s="3"/>
      <c r="LX71" s="2"/>
      <c r="LY71" s="168"/>
      <c r="LZ71" s="2" t="s">
        <v>2907</v>
      </c>
      <c r="MA71" s="2" t="s">
        <v>3066</v>
      </c>
      <c r="MB71" s="3" t="s">
        <v>2431</v>
      </c>
      <c r="MC71" s="3" t="s">
        <v>2431</v>
      </c>
      <c r="MD71" s="3" t="s">
        <v>2431</v>
      </c>
      <c r="ME71" s="3" t="s">
        <v>2431</v>
      </c>
      <c r="MF71" s="3" t="s">
        <v>2431</v>
      </c>
      <c r="MG71" s="3" t="s">
        <v>2431</v>
      </c>
      <c r="MH71" s="3" t="s">
        <v>2431</v>
      </c>
      <c r="MI71" s="3" t="s">
        <v>2431</v>
      </c>
      <c r="MJ71" s="2"/>
      <c r="NL71" s="3"/>
      <c r="NM71" s="3"/>
      <c r="NN71" s="3"/>
      <c r="NO71" s="3"/>
      <c r="NP71" s="3"/>
      <c r="NQ71" s="3"/>
      <c r="NR71" s="3"/>
      <c r="NS71" s="3"/>
    </row>
    <row r="72" spans="5:383" ht="150.75" thickBot="1">
      <c r="AM72" s="275">
        <v>45808</v>
      </c>
      <c r="AN72" s="276" t="s">
        <v>3001</v>
      </c>
      <c r="AO72" s="276"/>
      <c r="AP72" s="276"/>
      <c r="AS72" s="275">
        <v>45836</v>
      </c>
      <c r="AT72" s="276" t="s">
        <v>3001</v>
      </c>
      <c r="AU72" s="276"/>
      <c r="AV72" s="276"/>
      <c r="DI72" s="81"/>
      <c r="DJ72" s="81"/>
      <c r="DK72" s="81"/>
      <c r="DL72" s="81"/>
      <c r="DM72" s="81"/>
      <c r="HJ72" s="168"/>
      <c r="HM72" s="157"/>
      <c r="HS72" s="93"/>
      <c r="HX72" s="85"/>
      <c r="ID72" s="168"/>
      <c r="IE72" s="2" t="s">
        <v>2907</v>
      </c>
      <c r="IF72" s="2" t="s">
        <v>3031</v>
      </c>
      <c r="IG72" s="3" t="s">
        <v>2431</v>
      </c>
      <c r="IH72" s="3" t="s">
        <v>2431</v>
      </c>
      <c r="II72" s="3" t="s">
        <v>2431</v>
      </c>
      <c r="IJ72" s="3" t="s">
        <v>2431</v>
      </c>
      <c r="IK72" s="3" t="s">
        <v>2431</v>
      </c>
      <c r="IL72" s="3" t="s">
        <v>2431</v>
      </c>
      <c r="IM72" s="3" t="s">
        <v>2431</v>
      </c>
      <c r="IN72" s="3" t="s">
        <v>2431</v>
      </c>
      <c r="JH72" s="136"/>
      <c r="JI72" s="136"/>
      <c r="KB72" s="136"/>
      <c r="KC72" s="3"/>
      <c r="KD72" s="3"/>
      <c r="KE72" s="3"/>
      <c r="KF72" s="136"/>
      <c r="KG72" s="136"/>
      <c r="KH72" s="136"/>
      <c r="KI72" s="136"/>
      <c r="LE72" s="168"/>
      <c r="LF72" s="3"/>
      <c r="LG72" s="2"/>
      <c r="LH72" s="157"/>
      <c r="LI72" s="3"/>
      <c r="LJ72" s="3"/>
      <c r="LK72" s="3"/>
      <c r="LL72" s="3"/>
      <c r="LM72" s="2"/>
      <c r="LN72" s="93"/>
      <c r="LO72" s="3"/>
      <c r="LP72" s="3"/>
      <c r="LQ72" s="3"/>
      <c r="LR72" s="2"/>
      <c r="LS72" s="85"/>
      <c r="LT72" s="3"/>
      <c r="LU72" s="3"/>
      <c r="LV72" s="3"/>
      <c r="LW72" s="3"/>
      <c r="LX72" s="2"/>
      <c r="LY72" s="168"/>
      <c r="LZ72" s="2" t="s">
        <v>2907</v>
      </c>
      <c r="MA72" s="2" t="s">
        <v>3031</v>
      </c>
      <c r="MB72" s="3" t="s">
        <v>2431</v>
      </c>
      <c r="MC72" s="3" t="s">
        <v>2431</v>
      </c>
      <c r="MD72" s="3" t="s">
        <v>2431</v>
      </c>
      <c r="ME72" s="3" t="s">
        <v>2431</v>
      </c>
      <c r="MF72" s="3" t="s">
        <v>2431</v>
      </c>
      <c r="MG72" s="3" t="s">
        <v>2431</v>
      </c>
      <c r="MH72" s="3" t="s">
        <v>2431</v>
      </c>
      <c r="MI72" s="3" t="s">
        <v>2431</v>
      </c>
      <c r="MJ72" s="2"/>
      <c r="NL72" s="3"/>
      <c r="NM72" s="3"/>
      <c r="NN72" s="3"/>
      <c r="NO72" s="3"/>
      <c r="NP72" s="3"/>
      <c r="NQ72" s="3"/>
      <c r="NR72" s="3"/>
      <c r="NS72" s="3"/>
    </row>
    <row r="73" spans="5:383" ht="150">
      <c r="AS73" s="272"/>
      <c r="AT73" s="272"/>
      <c r="DI73" s="81"/>
      <c r="DJ73" s="81"/>
      <c r="DK73" s="81"/>
      <c r="DL73" s="81"/>
      <c r="DM73" s="81"/>
      <c r="GM73" s="175" t="s">
        <v>3065</v>
      </c>
      <c r="GN73" s="171" t="s">
        <v>2354</v>
      </c>
      <c r="GO73" s="171" t="s">
        <v>2355</v>
      </c>
      <c r="GP73" s="171" t="s">
        <v>2356</v>
      </c>
      <c r="GQ73" s="172" t="s">
        <v>2357</v>
      </c>
      <c r="GR73" s="171" t="s">
        <v>2358</v>
      </c>
      <c r="GS73" s="171" t="s">
        <v>2359</v>
      </c>
      <c r="GT73" s="171" t="s">
        <v>2360</v>
      </c>
      <c r="GU73" s="172" t="s">
        <v>2361</v>
      </c>
      <c r="GV73" s="6" t="s">
        <v>2480</v>
      </c>
      <c r="HJ73" s="168"/>
      <c r="HM73" s="157"/>
      <c r="HS73" s="93"/>
      <c r="HX73" s="85"/>
      <c r="ID73" s="168"/>
      <c r="IE73" s="2" t="s">
        <v>2907</v>
      </c>
      <c r="IF73" s="2" t="s">
        <v>3031</v>
      </c>
      <c r="IG73" s="3" t="s">
        <v>2431</v>
      </c>
      <c r="IH73" s="3" t="s">
        <v>2431</v>
      </c>
      <c r="II73" s="3" t="s">
        <v>2431</v>
      </c>
      <c r="IJ73" s="3" t="s">
        <v>2431</v>
      </c>
      <c r="IK73" s="3" t="s">
        <v>2431</v>
      </c>
      <c r="IL73" s="3" t="s">
        <v>2431</v>
      </c>
      <c r="IM73" s="3" t="s">
        <v>2431</v>
      </c>
      <c r="IN73" s="3" t="s">
        <v>2431</v>
      </c>
      <c r="JH73" s="175" t="s">
        <v>3065</v>
      </c>
      <c r="JI73" s="171" t="s">
        <v>2354</v>
      </c>
      <c r="JJ73" s="171" t="s">
        <v>2355</v>
      </c>
      <c r="JK73" s="171" t="s">
        <v>2356</v>
      </c>
      <c r="JL73" s="172" t="s">
        <v>2357</v>
      </c>
      <c r="JM73" s="171" t="s">
        <v>2358</v>
      </c>
      <c r="JN73" s="171" t="s">
        <v>2359</v>
      </c>
      <c r="JO73" s="171" t="s">
        <v>2360</v>
      </c>
      <c r="JP73" s="172" t="s">
        <v>2361</v>
      </c>
      <c r="JQ73" s="6" t="s">
        <v>2480</v>
      </c>
      <c r="KB73" s="136"/>
      <c r="KC73" s="3"/>
      <c r="KD73" s="3"/>
      <c r="KE73" s="3"/>
      <c r="KF73" s="136"/>
      <c r="KG73" s="136"/>
      <c r="KH73" s="175" t="s">
        <v>3065</v>
      </c>
      <c r="KI73" s="171" t="s">
        <v>2354</v>
      </c>
      <c r="KJ73" s="171" t="s">
        <v>2355</v>
      </c>
      <c r="KK73" s="171" t="s">
        <v>2356</v>
      </c>
      <c r="KL73" s="172" t="s">
        <v>2357</v>
      </c>
      <c r="KM73" s="171" t="s">
        <v>2358</v>
      </c>
      <c r="KN73" s="171" t="s">
        <v>2359</v>
      </c>
      <c r="KO73" s="171" t="s">
        <v>2360</v>
      </c>
      <c r="KP73" s="172" t="s">
        <v>2361</v>
      </c>
      <c r="KQ73" s="6" t="s">
        <v>2480</v>
      </c>
      <c r="LE73" s="168"/>
      <c r="LF73" s="3"/>
      <c r="LG73" s="2"/>
      <c r="LH73" s="157"/>
      <c r="LI73" s="3"/>
      <c r="LJ73" s="3"/>
      <c r="LK73" s="3"/>
      <c r="LL73" s="3"/>
      <c r="LM73" s="2"/>
      <c r="LN73" s="93"/>
      <c r="LO73" s="3"/>
      <c r="LP73" s="3"/>
      <c r="LQ73" s="3"/>
      <c r="LR73" s="2"/>
      <c r="LS73" s="85"/>
      <c r="LT73" s="3"/>
      <c r="LU73" s="3"/>
      <c r="LV73" s="3"/>
      <c r="LW73" s="3"/>
      <c r="LX73" s="2"/>
      <c r="LY73" s="168"/>
      <c r="LZ73" s="2" t="s">
        <v>2907</v>
      </c>
      <c r="MA73" s="2" t="s">
        <v>3031</v>
      </c>
      <c r="MB73" s="3" t="s">
        <v>2431</v>
      </c>
      <c r="MC73" s="3" t="s">
        <v>2431</v>
      </c>
      <c r="MD73" s="3" t="s">
        <v>2431</v>
      </c>
      <c r="ME73" s="3" t="s">
        <v>2431</v>
      </c>
      <c r="MF73" s="3" t="s">
        <v>2431</v>
      </c>
      <c r="MG73" s="3" t="s">
        <v>2431</v>
      </c>
      <c r="MH73" s="3" t="s">
        <v>2431</v>
      </c>
      <c r="MI73" s="3" t="s">
        <v>2431</v>
      </c>
      <c r="MJ73" s="2"/>
      <c r="NL73" s="3"/>
      <c r="NM73" s="3"/>
      <c r="NN73" s="3"/>
      <c r="NO73" s="3"/>
      <c r="NP73" s="3"/>
      <c r="NQ73" s="3"/>
      <c r="NR73" s="3"/>
      <c r="NS73" s="3"/>
    </row>
    <row r="74" spans="5:383" ht="150">
      <c r="AS74" s="272"/>
      <c r="AT74" s="272"/>
      <c r="DI74" s="81"/>
      <c r="DJ74" s="81"/>
      <c r="DK74" s="81"/>
      <c r="DL74" s="81"/>
      <c r="DM74" s="81"/>
      <c r="GM74" s="184" t="s">
        <v>2525</v>
      </c>
      <c r="GN74" s="173">
        <f t="shared" ref="GN74:GU74" si="99">COUNTIFS($BA$2:$BA$425,"ΜΕΛΕΣΣΑΝΑΚΗΣ ΔΗΜΗΤΡΗΣ",IG$2:IG$425,"κακή")</f>
        <v>0</v>
      </c>
      <c r="GO74" s="173">
        <f t="shared" si="99"/>
        <v>0</v>
      </c>
      <c r="GP74" s="173">
        <f t="shared" si="99"/>
        <v>0</v>
      </c>
      <c r="GQ74" s="173">
        <f t="shared" si="99"/>
        <v>0</v>
      </c>
      <c r="GR74" s="173">
        <f t="shared" si="99"/>
        <v>0</v>
      </c>
      <c r="GS74" s="173">
        <f t="shared" si="99"/>
        <v>0</v>
      </c>
      <c r="GT74" s="173">
        <f t="shared" si="99"/>
        <v>0</v>
      </c>
      <c r="GU74" s="173">
        <f t="shared" si="99"/>
        <v>0</v>
      </c>
      <c r="GV74" s="170">
        <f>SUM(GR74:GU74)</f>
        <v>0</v>
      </c>
      <c r="HJ74" s="168"/>
      <c r="HM74" s="157"/>
      <c r="HS74" s="93"/>
      <c r="HX74" s="85"/>
      <c r="ID74" s="168"/>
      <c r="IE74" s="2" t="s">
        <v>2907</v>
      </c>
      <c r="IF74" s="2" t="s">
        <v>3031</v>
      </c>
      <c r="IG74" s="3" t="s">
        <v>2431</v>
      </c>
      <c r="IH74" s="3" t="s">
        <v>2431</v>
      </c>
      <c r="II74" s="3" t="s">
        <v>2431</v>
      </c>
      <c r="IJ74" s="3" t="s">
        <v>2431</v>
      </c>
      <c r="IK74" s="3" t="s">
        <v>2431</v>
      </c>
      <c r="IL74" s="3" t="s">
        <v>2431</v>
      </c>
      <c r="IM74" s="3" t="s">
        <v>2431</v>
      </c>
      <c r="IN74" s="3" t="s">
        <v>2431</v>
      </c>
      <c r="JH74" s="184" t="s">
        <v>2525</v>
      </c>
      <c r="JI74" s="173" t="e">
        <f>#REF!</f>
        <v>#REF!</v>
      </c>
      <c r="JJ74" s="173" t="e">
        <f>#REF!</f>
        <v>#REF!</v>
      </c>
      <c r="JK74" s="173" t="e">
        <f>#REF!</f>
        <v>#REF!</v>
      </c>
      <c r="JL74" s="173" t="e">
        <f>#REF!</f>
        <v>#REF!</v>
      </c>
      <c r="JM74" s="173" t="e">
        <f>#REF!</f>
        <v>#REF!</v>
      </c>
      <c r="JN74" s="173" t="e">
        <f>#REF!</f>
        <v>#REF!</v>
      </c>
      <c r="JO74" s="173" t="e">
        <f>#REF!</f>
        <v>#REF!</v>
      </c>
      <c r="JP74" s="173" t="e">
        <f>#REF!</f>
        <v>#REF!</v>
      </c>
      <c r="JQ74" s="170" t="e">
        <f>SUM(JM74:JP74)</f>
        <v>#REF!</v>
      </c>
      <c r="KB74" s="136"/>
      <c r="KC74" s="3"/>
      <c r="KD74" s="3"/>
      <c r="KE74" s="3"/>
      <c r="KF74" s="136"/>
      <c r="KG74" s="136"/>
      <c r="KH74" s="184" t="s">
        <v>2525</v>
      </c>
      <c r="KI74" s="173">
        <f t="shared" ref="KI74:KP74" si="100">COUNTIFS($BA$2:$BA$425,"ΜΕΛΕΣΣΑΝΑΚΗΣ ΔΗΜΗΤΡΗΣ",MB$2:MB$425,"κακή")</f>
        <v>0</v>
      </c>
      <c r="KJ74" s="173">
        <f t="shared" si="100"/>
        <v>0</v>
      </c>
      <c r="KK74" s="173">
        <f t="shared" si="100"/>
        <v>0</v>
      </c>
      <c r="KL74" s="173">
        <f t="shared" si="100"/>
        <v>0</v>
      </c>
      <c r="KM74" s="173">
        <f t="shared" si="100"/>
        <v>0</v>
      </c>
      <c r="KN74" s="173">
        <f t="shared" si="100"/>
        <v>0</v>
      </c>
      <c r="KO74" s="173">
        <f t="shared" si="100"/>
        <v>0</v>
      </c>
      <c r="KP74" s="173">
        <f t="shared" si="100"/>
        <v>0</v>
      </c>
      <c r="KQ74" s="170">
        <f>SUM(KM74:KP74)</f>
        <v>0</v>
      </c>
      <c r="LE74" s="168"/>
      <c r="LF74" s="3"/>
      <c r="LG74" s="2"/>
      <c r="LH74" s="157"/>
      <c r="LI74" s="3"/>
      <c r="LJ74" s="3"/>
      <c r="LK74" s="3"/>
      <c r="LL74" s="3"/>
      <c r="LM74" s="2"/>
      <c r="LN74" s="93"/>
      <c r="LO74" s="3"/>
      <c r="LP74" s="3"/>
      <c r="LQ74" s="3"/>
      <c r="LR74" s="2"/>
      <c r="LS74" s="85"/>
      <c r="LT74" s="3"/>
      <c r="LU74" s="3"/>
      <c r="LV74" s="3"/>
      <c r="LW74" s="3"/>
      <c r="LX74" s="2"/>
      <c r="LY74" s="168"/>
      <c r="LZ74" s="2" t="s">
        <v>2907</v>
      </c>
      <c r="MA74" s="2" t="s">
        <v>3031</v>
      </c>
      <c r="MB74" s="3" t="s">
        <v>2431</v>
      </c>
      <c r="MC74" s="3" t="s">
        <v>2431</v>
      </c>
      <c r="MD74" s="3" t="s">
        <v>2431</v>
      </c>
      <c r="ME74" s="3" t="s">
        <v>2431</v>
      </c>
      <c r="MF74" s="3" t="s">
        <v>2431</v>
      </c>
      <c r="MG74" s="3" t="s">
        <v>2431</v>
      </c>
      <c r="MH74" s="3" t="s">
        <v>2431</v>
      </c>
      <c r="MI74" s="3" t="s">
        <v>2431</v>
      </c>
      <c r="MJ74" s="2"/>
      <c r="NL74" s="3"/>
      <c r="NM74" s="3"/>
      <c r="NN74" s="3"/>
      <c r="NO74" s="3"/>
      <c r="NP74" s="3"/>
      <c r="NQ74" s="3"/>
      <c r="NR74" s="3"/>
      <c r="NS74" s="3"/>
    </row>
    <row r="75" spans="5:383" ht="150">
      <c r="AM75" s="1305" t="s">
        <v>1992</v>
      </c>
      <c r="AN75" s="1305" t="s">
        <v>437</v>
      </c>
      <c r="AO75" s="1304" t="s">
        <v>1993</v>
      </c>
      <c r="AP75" s="1304" t="s">
        <v>1994</v>
      </c>
      <c r="AS75" s="1304" t="s">
        <v>1992</v>
      </c>
      <c r="AT75" s="1305" t="s">
        <v>437</v>
      </c>
      <c r="AU75" s="1304" t="s">
        <v>1993</v>
      </c>
      <c r="AV75" s="1304" t="s">
        <v>1994</v>
      </c>
      <c r="DI75" s="81"/>
      <c r="DJ75" s="81"/>
      <c r="DK75" s="81"/>
      <c r="DL75" s="81"/>
      <c r="DM75" s="81"/>
      <c r="GM75" s="184" t="s">
        <v>2435</v>
      </c>
      <c r="GN75" s="173">
        <f t="shared" ref="GN75:GU75" si="101">COUNTIFS($BA$2:$BA$425,"ΜΕΛΕΣΣΑΝΑΚΗΣ ΔΗΜΗΤΡΗΣ",IG$2:IG$425,"μέτρια")</f>
        <v>0</v>
      </c>
      <c r="GO75" s="173">
        <f t="shared" si="101"/>
        <v>0</v>
      </c>
      <c r="GP75" s="173">
        <f t="shared" si="101"/>
        <v>0</v>
      </c>
      <c r="GQ75" s="173">
        <f t="shared" si="101"/>
        <v>0</v>
      </c>
      <c r="GR75" s="173">
        <f t="shared" si="101"/>
        <v>0</v>
      </c>
      <c r="GS75" s="173">
        <f t="shared" si="101"/>
        <v>0</v>
      </c>
      <c r="GT75" s="173">
        <f t="shared" si="101"/>
        <v>0</v>
      </c>
      <c r="GU75" s="173">
        <f t="shared" si="101"/>
        <v>0</v>
      </c>
      <c r="GV75" s="170">
        <f>SUM(GR75:GU75)</f>
        <v>0</v>
      </c>
      <c r="HJ75" s="168"/>
      <c r="HM75" s="157"/>
      <c r="HS75" s="93"/>
      <c r="HX75" s="85"/>
      <c r="ID75" s="168"/>
      <c r="IE75" s="2" t="s">
        <v>2907</v>
      </c>
      <c r="IF75" s="2" t="s">
        <v>3060</v>
      </c>
      <c r="IG75" s="3" t="s">
        <v>2431</v>
      </c>
      <c r="IH75" s="3" t="s">
        <v>2431</v>
      </c>
      <c r="II75" s="3" t="s">
        <v>2431</v>
      </c>
      <c r="IJ75" s="3" t="s">
        <v>2431</v>
      </c>
      <c r="IK75" s="3" t="s">
        <v>2431</v>
      </c>
      <c r="IL75" s="3" t="s">
        <v>2431</v>
      </c>
      <c r="IM75" s="3" t="s">
        <v>2431</v>
      </c>
      <c r="IN75" s="3" t="s">
        <v>2431</v>
      </c>
      <c r="JH75" s="184" t="s">
        <v>2435</v>
      </c>
      <c r="JI75" s="173" t="e">
        <f>#REF!</f>
        <v>#REF!</v>
      </c>
      <c r="JJ75" s="173" t="e">
        <f>#REF!</f>
        <v>#REF!</v>
      </c>
      <c r="JK75" s="173" t="e">
        <f>#REF!</f>
        <v>#REF!</v>
      </c>
      <c r="JL75" s="173" t="e">
        <f>#REF!</f>
        <v>#REF!</v>
      </c>
      <c r="JM75" s="173" t="e">
        <f>#REF!</f>
        <v>#REF!</v>
      </c>
      <c r="JN75" s="173" t="e">
        <f>#REF!</f>
        <v>#REF!</v>
      </c>
      <c r="JO75" s="173" t="e">
        <f>#REF!</f>
        <v>#REF!</v>
      </c>
      <c r="JP75" s="173" t="e">
        <f>#REF!</f>
        <v>#REF!</v>
      </c>
      <c r="JQ75" s="170" t="e">
        <f>SUM(JM75:JP75)</f>
        <v>#REF!</v>
      </c>
      <c r="KB75" s="136"/>
      <c r="KC75" s="3"/>
      <c r="KD75" s="3"/>
      <c r="KE75" s="3"/>
      <c r="KF75" s="136"/>
      <c r="KG75" s="136"/>
      <c r="KH75" s="184" t="s">
        <v>2435</v>
      </c>
      <c r="KI75" s="173">
        <f t="shared" ref="KI75:KP75" si="102">COUNTIFS($BA$2:$BA$425,"ΜΕΛΕΣΣΑΝΑΚΗΣ ΔΗΜΗΤΡΗΣ",MB$2:MB$425,"μέτρια")</f>
        <v>0</v>
      </c>
      <c r="KJ75" s="173">
        <f t="shared" si="102"/>
        <v>0</v>
      </c>
      <c r="KK75" s="173">
        <f t="shared" si="102"/>
        <v>0</v>
      </c>
      <c r="KL75" s="173">
        <f t="shared" si="102"/>
        <v>0</v>
      </c>
      <c r="KM75" s="173">
        <f t="shared" si="102"/>
        <v>0</v>
      </c>
      <c r="KN75" s="173">
        <f t="shared" si="102"/>
        <v>0</v>
      </c>
      <c r="KO75" s="173">
        <f t="shared" si="102"/>
        <v>0</v>
      </c>
      <c r="KP75" s="173">
        <f t="shared" si="102"/>
        <v>0</v>
      </c>
      <c r="KQ75" s="170">
        <f>SUM(KM75:KP75)</f>
        <v>0</v>
      </c>
      <c r="LE75" s="168"/>
      <c r="LF75" s="3"/>
      <c r="LG75" s="2"/>
      <c r="LH75" s="157"/>
      <c r="LI75" s="3"/>
      <c r="LJ75" s="3"/>
      <c r="LK75" s="3"/>
      <c r="LL75" s="3"/>
      <c r="LM75" s="2"/>
      <c r="LN75" s="93"/>
      <c r="LO75" s="3"/>
      <c r="LP75" s="3"/>
      <c r="LQ75" s="3"/>
      <c r="LR75" s="2"/>
      <c r="LS75" s="85"/>
      <c r="LT75" s="3"/>
      <c r="LU75" s="3"/>
      <c r="LV75" s="3"/>
      <c r="LW75" s="3"/>
      <c r="LX75" s="2"/>
      <c r="LY75" s="168"/>
      <c r="LZ75" s="2" t="s">
        <v>2907</v>
      </c>
      <c r="MA75" s="2" t="s">
        <v>3060</v>
      </c>
      <c r="MB75" s="3" t="s">
        <v>2431</v>
      </c>
      <c r="MC75" s="3" t="s">
        <v>2431</v>
      </c>
      <c r="MD75" s="3" t="s">
        <v>2431</v>
      </c>
      <c r="ME75" s="3" t="s">
        <v>2431</v>
      </c>
      <c r="MF75" s="3" t="s">
        <v>2431</v>
      </c>
      <c r="MG75" s="3" t="s">
        <v>2431</v>
      </c>
      <c r="MH75" s="3" t="s">
        <v>2431</v>
      </c>
      <c r="MI75" s="3" t="s">
        <v>2431</v>
      </c>
      <c r="MJ75" s="2"/>
      <c r="NL75" s="3"/>
      <c r="NM75" s="3"/>
      <c r="NN75" s="3"/>
      <c r="NO75" s="3"/>
      <c r="NP75" s="3"/>
      <c r="NQ75" s="3"/>
      <c r="NR75" s="3"/>
      <c r="NS75" s="3"/>
    </row>
    <row r="76" spans="5:383" ht="150">
      <c r="AM76" s="1306"/>
      <c r="AN76" s="1306"/>
      <c r="AO76" s="1304"/>
      <c r="AP76" s="1304"/>
      <c r="AS76" s="1304"/>
      <c r="AT76" s="1306"/>
      <c r="AU76" s="1304"/>
      <c r="AV76" s="1304"/>
      <c r="DI76" s="81"/>
      <c r="DJ76" s="81"/>
      <c r="DK76" s="81"/>
      <c r="DL76" s="81"/>
      <c r="DM76" s="81"/>
      <c r="GM76" s="184" t="s">
        <v>2603</v>
      </c>
      <c r="GN76" s="173">
        <f t="shared" ref="GN76:GU76" si="103">COUNTIFS($BA$2:$BA$425,"ΜΕΛΕΣΣΑΝΑΚΗΣ ΔΗΜΗΤΡΗΣ",IG$2:IG$425,"καλή")</f>
        <v>0</v>
      </c>
      <c r="GO76" s="173">
        <f t="shared" si="103"/>
        <v>0</v>
      </c>
      <c r="GP76" s="173">
        <f t="shared" si="103"/>
        <v>0</v>
      </c>
      <c r="GQ76" s="173">
        <f t="shared" si="103"/>
        <v>0</v>
      </c>
      <c r="GR76" s="173">
        <f t="shared" si="103"/>
        <v>0</v>
      </c>
      <c r="GS76" s="173">
        <f t="shared" si="103"/>
        <v>0</v>
      </c>
      <c r="GT76" s="173">
        <f t="shared" si="103"/>
        <v>0</v>
      </c>
      <c r="GU76" s="173">
        <f t="shared" si="103"/>
        <v>0</v>
      </c>
      <c r="GV76" s="199">
        <f>SUM(GR76:GU76)</f>
        <v>0</v>
      </c>
      <c r="HJ76" s="168"/>
      <c r="HM76" s="157"/>
      <c r="HS76" s="93"/>
      <c r="HX76" s="85"/>
      <c r="ID76" s="168"/>
      <c r="IE76" s="2" t="s">
        <v>2907</v>
      </c>
      <c r="IF76" s="2" t="s">
        <v>3060</v>
      </c>
      <c r="IG76" s="3" t="s">
        <v>2431</v>
      </c>
      <c r="IH76" s="3" t="s">
        <v>2431</v>
      </c>
      <c r="II76" s="3" t="s">
        <v>2433</v>
      </c>
      <c r="IJ76" s="3" t="s">
        <v>2431</v>
      </c>
      <c r="IK76" s="3" t="s">
        <v>2433</v>
      </c>
      <c r="IL76" s="3" t="s">
        <v>2433</v>
      </c>
      <c r="IM76" s="3" t="s">
        <v>2433</v>
      </c>
      <c r="IN76" s="3" t="s">
        <v>2433</v>
      </c>
      <c r="JH76" s="184" t="s">
        <v>2603</v>
      </c>
      <c r="JI76" s="173" t="e">
        <f>#REF!</f>
        <v>#REF!</v>
      </c>
      <c r="JJ76" s="173" t="e">
        <f>#REF!</f>
        <v>#REF!</v>
      </c>
      <c r="JK76" s="173" t="e">
        <f>#REF!</f>
        <v>#REF!</v>
      </c>
      <c r="JL76" s="173" t="e">
        <f>#REF!</f>
        <v>#REF!</v>
      </c>
      <c r="JM76" s="173" t="e">
        <f>#REF!</f>
        <v>#REF!</v>
      </c>
      <c r="JN76" s="173" t="e">
        <f>#REF!</f>
        <v>#REF!</v>
      </c>
      <c r="JO76" s="173" t="e">
        <f>#REF!</f>
        <v>#REF!</v>
      </c>
      <c r="JP76" s="173" t="e">
        <f>#REF!</f>
        <v>#REF!</v>
      </c>
      <c r="JQ76" s="199" t="e">
        <f>SUM(JM76:JP76)</f>
        <v>#REF!</v>
      </c>
      <c r="KB76" s="136"/>
      <c r="KC76" s="3"/>
      <c r="KD76" s="3"/>
      <c r="KE76" s="3"/>
      <c r="KF76" s="136"/>
      <c r="KG76" s="136"/>
      <c r="KH76" s="184" t="s">
        <v>2603</v>
      </c>
      <c r="KI76" s="173">
        <f t="shared" ref="KI76:KP76" si="104">COUNTIFS($BA$2:$BA$425,"ΜΕΛΕΣΣΑΝΑΚΗΣ ΔΗΜΗΤΡΗΣ",MB$2:MB$425,"καλή")</f>
        <v>0</v>
      </c>
      <c r="KJ76" s="173">
        <f t="shared" si="104"/>
        <v>0</v>
      </c>
      <c r="KK76" s="173">
        <f t="shared" si="104"/>
        <v>0</v>
      </c>
      <c r="KL76" s="173">
        <f t="shared" si="104"/>
        <v>0</v>
      </c>
      <c r="KM76" s="173">
        <f t="shared" si="104"/>
        <v>0</v>
      </c>
      <c r="KN76" s="173">
        <f t="shared" si="104"/>
        <v>0</v>
      </c>
      <c r="KO76" s="173">
        <f t="shared" si="104"/>
        <v>0</v>
      </c>
      <c r="KP76" s="173">
        <f t="shared" si="104"/>
        <v>0</v>
      </c>
      <c r="KQ76" s="199">
        <f>SUM(KM76:KP76)</f>
        <v>0</v>
      </c>
      <c r="LE76" s="168"/>
      <c r="LF76" s="3"/>
      <c r="LG76" s="2"/>
      <c r="LH76" s="157"/>
      <c r="LI76" s="3"/>
      <c r="LJ76" s="3"/>
      <c r="LK76" s="3"/>
      <c r="LL76" s="3"/>
      <c r="LM76" s="2"/>
      <c r="LN76" s="93"/>
      <c r="LO76" s="3"/>
      <c r="LP76" s="3"/>
      <c r="LQ76" s="3"/>
      <c r="LR76" s="2"/>
      <c r="LS76" s="85"/>
      <c r="LT76" s="3"/>
      <c r="LU76" s="3"/>
      <c r="LV76" s="3"/>
      <c r="LW76" s="3"/>
      <c r="LX76" s="2"/>
      <c r="LY76" s="168"/>
      <c r="LZ76" s="2" t="s">
        <v>2907</v>
      </c>
      <c r="MA76" s="2" t="s">
        <v>3060</v>
      </c>
      <c r="MB76" s="3" t="s">
        <v>2431</v>
      </c>
      <c r="MC76" s="3" t="s">
        <v>2431</v>
      </c>
      <c r="MD76" s="3" t="s">
        <v>2433</v>
      </c>
      <c r="ME76" s="3" t="s">
        <v>2431</v>
      </c>
      <c r="MF76" s="3" t="s">
        <v>2433</v>
      </c>
      <c r="MG76" s="3" t="s">
        <v>2433</v>
      </c>
      <c r="MH76" s="3" t="s">
        <v>2433</v>
      </c>
      <c r="MI76" s="3" t="s">
        <v>2433</v>
      </c>
      <c r="MJ76" s="2"/>
      <c r="NL76" s="3"/>
      <c r="NM76" s="3"/>
      <c r="NN76" s="3"/>
      <c r="NO76" s="3"/>
      <c r="NP76" s="3"/>
      <c r="NQ76" s="3"/>
      <c r="NR76" s="3"/>
      <c r="NS76" s="3"/>
    </row>
    <row r="77" spans="5:383" ht="150">
      <c r="AM77" s="273">
        <v>45784</v>
      </c>
      <c r="AN77" s="274" t="s">
        <v>3031</v>
      </c>
      <c r="AO77" s="274"/>
      <c r="AP77" s="274"/>
      <c r="AS77" s="273">
        <v>45812</v>
      </c>
      <c r="AT77" s="274" t="s">
        <v>3031</v>
      </c>
      <c r="AU77" s="274"/>
      <c r="AV77" s="274"/>
      <c r="DI77" s="81"/>
      <c r="DJ77" s="81"/>
      <c r="DK77" s="81"/>
      <c r="DL77" s="81"/>
      <c r="DM77" s="81"/>
      <c r="GM77" s="184" t="s">
        <v>2639</v>
      </c>
      <c r="GN77" s="173">
        <f t="shared" ref="GN77:GU77" si="105">COUNTIFS($BA$2:$BA$425,"ΜΕΛΕΣΣΑΝΑΚΗΣ ΔΗΜΗΤΡΗΣ",IG$2:IG$425,"πολύ καλή")</f>
        <v>0</v>
      </c>
      <c r="GO77" s="173">
        <f t="shared" si="105"/>
        <v>0</v>
      </c>
      <c r="GP77" s="173">
        <f t="shared" si="105"/>
        <v>0</v>
      </c>
      <c r="GQ77" s="173">
        <f t="shared" si="105"/>
        <v>0</v>
      </c>
      <c r="GR77" s="173">
        <f t="shared" si="105"/>
        <v>0</v>
      </c>
      <c r="GS77" s="173">
        <f t="shared" si="105"/>
        <v>0</v>
      </c>
      <c r="GT77" s="173">
        <f t="shared" si="105"/>
        <v>0</v>
      </c>
      <c r="GU77" s="173">
        <f t="shared" si="105"/>
        <v>0</v>
      </c>
      <c r="GV77" s="199">
        <f>SUM(GR77:GU77)</f>
        <v>0</v>
      </c>
      <c r="HJ77" s="168"/>
      <c r="HM77" s="157"/>
      <c r="HS77" s="93"/>
      <c r="HX77" s="85"/>
      <c r="ID77" s="168"/>
      <c r="IE77" s="2" t="s">
        <v>2907</v>
      </c>
      <c r="IF77" s="2" t="s">
        <v>3060</v>
      </c>
      <c r="IG77" s="3" t="s">
        <v>2431</v>
      </c>
      <c r="IH77" s="3" t="s">
        <v>2431</v>
      </c>
      <c r="II77" s="3" t="s">
        <v>2431</v>
      </c>
      <c r="IJ77" s="3" t="s">
        <v>2431</v>
      </c>
      <c r="IK77" s="3" t="s">
        <v>2431</v>
      </c>
      <c r="IL77" s="3" t="s">
        <v>2431</v>
      </c>
      <c r="IM77" s="3" t="s">
        <v>2431</v>
      </c>
      <c r="IN77" s="3" t="s">
        <v>2431</v>
      </c>
      <c r="JH77" s="184" t="s">
        <v>2639</v>
      </c>
      <c r="JI77" s="173" t="e">
        <f>#REF!</f>
        <v>#REF!</v>
      </c>
      <c r="JJ77" s="173" t="e">
        <f>#REF!</f>
        <v>#REF!</v>
      </c>
      <c r="JK77" s="173" t="e">
        <f>#REF!</f>
        <v>#REF!</v>
      </c>
      <c r="JL77" s="173" t="e">
        <f>#REF!</f>
        <v>#REF!</v>
      </c>
      <c r="JM77" s="173" t="e">
        <f>#REF!</f>
        <v>#REF!</v>
      </c>
      <c r="JN77" s="173" t="e">
        <f>#REF!</f>
        <v>#REF!</v>
      </c>
      <c r="JO77" s="173" t="e">
        <f>#REF!</f>
        <v>#REF!</v>
      </c>
      <c r="JP77" s="173" t="e">
        <f>#REF!</f>
        <v>#REF!</v>
      </c>
      <c r="JQ77" s="199" t="e">
        <f>SUM(JM77:JP77)</f>
        <v>#REF!</v>
      </c>
      <c r="KB77" s="136"/>
      <c r="KC77" s="3"/>
      <c r="KD77" s="3"/>
      <c r="KE77" s="3"/>
      <c r="KF77" s="136"/>
      <c r="KG77" s="136"/>
      <c r="KH77" s="184" t="s">
        <v>2639</v>
      </c>
      <c r="KI77" s="173">
        <f t="shared" ref="KI77:KP77" si="106">COUNTIFS($BA$2:$BA$425,"ΜΕΛΕΣΣΑΝΑΚΗΣ ΔΗΜΗΤΡΗΣ",MB$2:MB$425,"πολύ καλή")</f>
        <v>0</v>
      </c>
      <c r="KJ77" s="173">
        <f t="shared" si="106"/>
        <v>0</v>
      </c>
      <c r="KK77" s="173">
        <f t="shared" si="106"/>
        <v>0</v>
      </c>
      <c r="KL77" s="173">
        <f t="shared" si="106"/>
        <v>0</v>
      </c>
      <c r="KM77" s="173">
        <f t="shared" si="106"/>
        <v>0</v>
      </c>
      <c r="KN77" s="173">
        <f t="shared" si="106"/>
        <v>0</v>
      </c>
      <c r="KO77" s="173">
        <f t="shared" si="106"/>
        <v>0</v>
      </c>
      <c r="KP77" s="173">
        <f t="shared" si="106"/>
        <v>0</v>
      </c>
      <c r="KQ77" s="199">
        <f>SUM(KM77:KP77)</f>
        <v>0</v>
      </c>
      <c r="LE77" s="168"/>
      <c r="LF77" s="3"/>
      <c r="LG77" s="2"/>
      <c r="LH77" s="157"/>
      <c r="LI77" s="3"/>
      <c r="LJ77" s="3"/>
      <c r="LK77" s="3"/>
      <c r="LL77" s="3"/>
      <c r="LM77" s="2"/>
      <c r="LN77" s="93"/>
      <c r="LO77" s="3"/>
      <c r="LP77" s="3"/>
      <c r="LQ77" s="3"/>
      <c r="LR77" s="2"/>
      <c r="LS77" s="85"/>
      <c r="LT77" s="3"/>
      <c r="LU77" s="3"/>
      <c r="LV77" s="3"/>
      <c r="LW77" s="3"/>
      <c r="LX77" s="2"/>
      <c r="LY77" s="168"/>
      <c r="LZ77" s="2" t="s">
        <v>2907</v>
      </c>
      <c r="MA77" s="2" t="s">
        <v>3060</v>
      </c>
      <c r="MB77" s="3" t="s">
        <v>2431</v>
      </c>
      <c r="MC77" s="3" t="s">
        <v>2431</v>
      </c>
      <c r="MD77" s="3" t="s">
        <v>2431</v>
      </c>
      <c r="ME77" s="3" t="s">
        <v>2431</v>
      </c>
      <c r="MF77" s="3" t="s">
        <v>2431</v>
      </c>
      <c r="MG77" s="3" t="s">
        <v>2431</v>
      </c>
      <c r="MH77" s="3" t="s">
        <v>2431</v>
      </c>
      <c r="MI77" s="3" t="s">
        <v>2431</v>
      </c>
      <c r="MJ77" s="2"/>
      <c r="NL77" s="3"/>
      <c r="NM77" s="3"/>
      <c r="NN77" s="3"/>
      <c r="NO77" s="3"/>
      <c r="NP77" s="3"/>
      <c r="NQ77" s="3"/>
      <c r="NR77" s="3"/>
      <c r="NS77" s="3"/>
    </row>
    <row r="78" spans="5:383" ht="150.75" thickBot="1">
      <c r="AM78" s="273">
        <v>45785</v>
      </c>
      <c r="AN78" s="274" t="s">
        <v>3031</v>
      </c>
      <c r="AO78" s="274"/>
      <c r="AP78" s="274"/>
      <c r="AS78" s="273">
        <v>45813</v>
      </c>
      <c r="AT78" s="274" t="s">
        <v>3031</v>
      </c>
      <c r="AU78" s="274"/>
      <c r="AV78" s="274"/>
      <c r="DI78" s="81"/>
      <c r="DJ78" s="81"/>
      <c r="DK78" s="81"/>
      <c r="DL78" s="81"/>
      <c r="DM78" s="81"/>
      <c r="GM78" s="185" t="s">
        <v>2431</v>
      </c>
      <c r="GN78" s="187">
        <f t="shared" ref="GN78:GU78" si="107">COUNTIFS($BA$2:$BA$425,"ΜΕΛΕΣΣΑΝΑΚΗΣ ΔΗΜΗΤΡΗΣ",IG$2:IG$425,"άριστη")</f>
        <v>0</v>
      </c>
      <c r="GO78" s="187">
        <f t="shared" si="107"/>
        <v>0</v>
      </c>
      <c r="GP78" s="187">
        <f t="shared" si="107"/>
        <v>0</v>
      </c>
      <c r="GQ78" s="187">
        <f t="shared" si="107"/>
        <v>0</v>
      </c>
      <c r="GR78" s="187">
        <f t="shared" si="107"/>
        <v>0</v>
      </c>
      <c r="GS78" s="187">
        <f t="shared" si="107"/>
        <v>0</v>
      </c>
      <c r="GT78" s="187">
        <f t="shared" si="107"/>
        <v>0</v>
      </c>
      <c r="GU78" s="187">
        <f t="shared" si="107"/>
        <v>0</v>
      </c>
      <c r="GV78" s="199">
        <f>SUM(GR78:GU78)</f>
        <v>0</v>
      </c>
      <c r="HJ78" s="168"/>
      <c r="HM78" s="157"/>
      <c r="HS78" s="93"/>
      <c r="HX78" s="85"/>
      <c r="ID78" s="168"/>
      <c r="IE78" s="2" t="s">
        <v>2925</v>
      </c>
      <c r="IF78" s="2" t="s">
        <v>1615</v>
      </c>
      <c r="IG78" s="3" t="s">
        <v>2431</v>
      </c>
      <c r="IH78" s="3" t="s">
        <v>2431</v>
      </c>
      <c r="II78" s="3" t="s">
        <v>2431</v>
      </c>
      <c r="IJ78" s="3" t="s">
        <v>2431</v>
      </c>
      <c r="IK78" s="3" t="s">
        <v>2431</v>
      </c>
      <c r="IL78" s="3" t="s">
        <v>2431</v>
      </c>
      <c r="IM78" s="3" t="s">
        <v>2431</v>
      </c>
      <c r="IN78" s="3" t="s">
        <v>2431</v>
      </c>
      <c r="JH78" s="185" t="s">
        <v>2431</v>
      </c>
      <c r="JI78" s="173" t="e">
        <f>#REF!</f>
        <v>#REF!</v>
      </c>
      <c r="JJ78" s="173" t="e">
        <f>#REF!</f>
        <v>#REF!</v>
      </c>
      <c r="JK78" s="173" t="e">
        <f>#REF!</f>
        <v>#REF!</v>
      </c>
      <c r="JL78" s="173" t="e">
        <f>#REF!</f>
        <v>#REF!</v>
      </c>
      <c r="JM78" s="173" t="e">
        <f>#REF!</f>
        <v>#REF!</v>
      </c>
      <c r="JN78" s="173" t="e">
        <f>#REF!</f>
        <v>#REF!</v>
      </c>
      <c r="JO78" s="173" t="e">
        <f>#REF!</f>
        <v>#REF!</v>
      </c>
      <c r="JP78" s="173" t="e">
        <f>#REF!</f>
        <v>#REF!</v>
      </c>
      <c r="JQ78" s="199" t="e">
        <f>SUM(JM78:JP78)</f>
        <v>#REF!</v>
      </c>
      <c r="KB78" s="136"/>
      <c r="KC78" s="3"/>
      <c r="KD78" s="3"/>
      <c r="KE78" s="3"/>
      <c r="KF78" s="136"/>
      <c r="KG78" s="136"/>
      <c r="KH78" s="185" t="s">
        <v>2431</v>
      </c>
      <c r="KI78" s="187">
        <f t="shared" ref="KI78:KP78" si="108">COUNTIFS($BA$2:$BA$425,"ΜΕΛΕΣΣΑΝΑΚΗΣ ΔΗΜΗΤΡΗΣ",MB$2:MB$425,"άριστη")</f>
        <v>0</v>
      </c>
      <c r="KJ78" s="187">
        <f t="shared" si="108"/>
        <v>0</v>
      </c>
      <c r="KK78" s="187">
        <f t="shared" si="108"/>
        <v>0</v>
      </c>
      <c r="KL78" s="187">
        <f t="shared" si="108"/>
        <v>0</v>
      </c>
      <c r="KM78" s="187">
        <f t="shared" si="108"/>
        <v>0</v>
      </c>
      <c r="KN78" s="187">
        <f t="shared" si="108"/>
        <v>0</v>
      </c>
      <c r="KO78" s="187">
        <f t="shared" si="108"/>
        <v>0</v>
      </c>
      <c r="KP78" s="187">
        <f t="shared" si="108"/>
        <v>0</v>
      </c>
      <c r="KQ78" s="199">
        <f>SUM(KM78:KP78)</f>
        <v>0</v>
      </c>
      <c r="LE78" s="168"/>
      <c r="LF78" s="3"/>
      <c r="LG78" s="2"/>
      <c r="LH78" s="157"/>
      <c r="LI78" s="3"/>
      <c r="LJ78" s="3"/>
      <c r="LK78" s="3"/>
      <c r="LL78" s="3"/>
      <c r="LM78" s="2"/>
      <c r="LN78" s="93"/>
      <c r="LO78" s="3"/>
      <c r="LP78" s="3"/>
      <c r="LQ78" s="3"/>
      <c r="LR78" s="2"/>
      <c r="LS78" s="85"/>
      <c r="LT78" s="3"/>
      <c r="LU78" s="3"/>
      <c r="LV78" s="3"/>
      <c r="LW78" s="3"/>
      <c r="LX78" s="2"/>
      <c r="LY78" s="168"/>
      <c r="LZ78" s="2" t="s">
        <v>2925</v>
      </c>
      <c r="MA78" s="2" t="s">
        <v>1615</v>
      </c>
      <c r="MB78" s="3" t="s">
        <v>2431</v>
      </c>
      <c r="MC78" s="3" t="s">
        <v>2431</v>
      </c>
      <c r="MD78" s="3" t="s">
        <v>2431</v>
      </c>
      <c r="ME78" s="3" t="s">
        <v>2431</v>
      </c>
      <c r="MF78" s="3" t="s">
        <v>2431</v>
      </c>
      <c r="MG78" s="3" t="s">
        <v>2431</v>
      </c>
      <c r="MH78" s="3" t="s">
        <v>2431</v>
      </c>
      <c r="MI78" s="3" t="s">
        <v>2431</v>
      </c>
      <c r="MJ78" s="2"/>
      <c r="NL78" s="3"/>
      <c r="NM78" s="3"/>
      <c r="NN78" s="3"/>
      <c r="NO78" s="3"/>
      <c r="NP78" s="3"/>
      <c r="NQ78" s="3"/>
      <c r="NR78" s="3"/>
      <c r="NS78" s="3"/>
    </row>
    <row r="79" spans="5:383" ht="150.75" thickBot="1">
      <c r="AM79" s="273">
        <v>45787</v>
      </c>
      <c r="AN79" s="274" t="s">
        <v>3031</v>
      </c>
      <c r="AO79" s="274"/>
      <c r="AP79" s="274"/>
      <c r="AS79" s="273">
        <v>45815</v>
      </c>
      <c r="AT79" s="274" t="s">
        <v>3031</v>
      </c>
      <c r="AU79" s="274"/>
      <c r="AV79" s="274"/>
      <c r="DI79" s="81"/>
      <c r="DJ79" s="81"/>
      <c r="DK79" s="81"/>
      <c r="DL79" s="81"/>
      <c r="DM79" s="81"/>
      <c r="HJ79" s="168"/>
      <c r="HM79" s="157"/>
      <c r="HS79" s="93"/>
      <c r="HX79" s="85"/>
      <c r="ID79" s="168"/>
      <c r="IE79" s="2" t="s">
        <v>2925</v>
      </c>
      <c r="IF79" s="2" t="s">
        <v>1615</v>
      </c>
      <c r="IG79" s="3" t="s">
        <v>2432</v>
      </c>
      <c r="IH79" s="3" t="s">
        <v>2432</v>
      </c>
      <c r="II79" s="3" t="s">
        <v>2432</v>
      </c>
      <c r="IJ79" s="3" t="s">
        <v>2432</v>
      </c>
      <c r="IK79" s="3" t="s">
        <v>2432</v>
      </c>
      <c r="IL79" s="3" t="s">
        <v>2432</v>
      </c>
      <c r="IM79" s="3" t="s">
        <v>2432</v>
      </c>
      <c r="IN79" s="3" t="s">
        <v>2432</v>
      </c>
      <c r="JH79" s="136"/>
      <c r="JI79" s="136"/>
      <c r="KB79" s="136"/>
      <c r="KC79" s="3"/>
      <c r="KD79" s="3"/>
      <c r="KE79" s="3"/>
      <c r="KF79" s="136"/>
      <c r="KG79" s="136"/>
      <c r="KH79" s="136"/>
      <c r="KI79" s="136"/>
      <c r="LE79" s="168"/>
      <c r="LF79" s="3"/>
      <c r="LG79" s="2"/>
      <c r="LH79" s="157"/>
      <c r="LI79" s="3"/>
      <c r="LJ79" s="3"/>
      <c r="LK79" s="3"/>
      <c r="LL79" s="3"/>
      <c r="LM79" s="2"/>
      <c r="LN79" s="93"/>
      <c r="LO79" s="3"/>
      <c r="LP79" s="3"/>
      <c r="LQ79" s="3"/>
      <c r="LR79" s="2"/>
      <c r="LS79" s="85"/>
      <c r="LT79" s="3"/>
      <c r="LU79" s="3"/>
      <c r="LV79" s="3"/>
      <c r="LW79" s="3"/>
      <c r="LX79" s="2"/>
      <c r="LY79" s="168"/>
      <c r="LZ79" s="2" t="s">
        <v>2925</v>
      </c>
      <c r="MA79" s="2" t="s">
        <v>1615</v>
      </c>
      <c r="MB79" s="3" t="s">
        <v>2432</v>
      </c>
      <c r="MC79" s="3" t="s">
        <v>2432</v>
      </c>
      <c r="MD79" s="3" t="s">
        <v>2432</v>
      </c>
      <c r="ME79" s="3" t="s">
        <v>2432</v>
      </c>
      <c r="MF79" s="3" t="s">
        <v>2432</v>
      </c>
      <c r="MG79" s="3" t="s">
        <v>2432</v>
      </c>
      <c r="MH79" s="3" t="s">
        <v>2432</v>
      </c>
      <c r="MI79" s="3" t="s">
        <v>2432</v>
      </c>
      <c r="MJ79" s="2"/>
      <c r="NL79" s="3"/>
      <c r="NM79" s="3"/>
      <c r="NN79" s="3"/>
      <c r="NO79" s="3"/>
      <c r="NP79" s="3"/>
      <c r="NQ79" s="3"/>
      <c r="NR79" s="3"/>
      <c r="NS79" s="3"/>
    </row>
    <row r="80" spans="5:383" ht="150">
      <c r="AM80" s="275">
        <v>45791</v>
      </c>
      <c r="AN80" s="276" t="s">
        <v>3031</v>
      </c>
      <c r="AO80" s="276"/>
      <c r="AP80" s="276"/>
      <c r="AS80" s="275">
        <v>45819</v>
      </c>
      <c r="AT80" s="276" t="s">
        <v>3031</v>
      </c>
      <c r="AU80" s="276"/>
      <c r="AV80" s="276"/>
      <c r="DI80" s="81"/>
      <c r="DJ80" s="81"/>
      <c r="DK80" s="81"/>
      <c r="DL80" s="81"/>
      <c r="DM80" s="81"/>
      <c r="GM80" s="175" t="s">
        <v>2436</v>
      </c>
      <c r="GN80" s="171" t="s">
        <v>2354</v>
      </c>
      <c r="GO80" s="171" t="s">
        <v>2355</v>
      </c>
      <c r="GP80" s="171" t="s">
        <v>2356</v>
      </c>
      <c r="GQ80" s="172" t="s">
        <v>2357</v>
      </c>
      <c r="GR80" s="171" t="s">
        <v>2358</v>
      </c>
      <c r="GS80" s="171" t="s">
        <v>2359</v>
      </c>
      <c r="GT80" s="171" t="s">
        <v>2360</v>
      </c>
      <c r="GU80" s="172" t="s">
        <v>2361</v>
      </c>
      <c r="GV80" s="6" t="s">
        <v>2480</v>
      </c>
      <c r="HJ80" s="168"/>
      <c r="HM80" s="157"/>
      <c r="HS80" s="93"/>
      <c r="HX80" s="85"/>
      <c r="ID80" s="168"/>
      <c r="IE80" s="2" t="s">
        <v>2925</v>
      </c>
      <c r="IF80" s="2" t="s">
        <v>3060</v>
      </c>
      <c r="IG80" s="3" t="s">
        <v>2433</v>
      </c>
      <c r="IH80" s="3" t="s">
        <v>2431</v>
      </c>
      <c r="II80" s="3" t="s">
        <v>2433</v>
      </c>
      <c r="IJ80" s="3" t="s">
        <v>2431</v>
      </c>
      <c r="IK80" s="3" t="s">
        <v>2431</v>
      </c>
      <c r="IL80" s="3" t="s">
        <v>2431</v>
      </c>
      <c r="IM80" s="3" t="s">
        <v>2433</v>
      </c>
      <c r="IN80" s="3" t="s">
        <v>2431</v>
      </c>
      <c r="JH80" s="175" t="s">
        <v>2436</v>
      </c>
      <c r="JI80" s="171" t="s">
        <v>2354</v>
      </c>
      <c r="JJ80" s="171" t="s">
        <v>2355</v>
      </c>
      <c r="JK80" s="171" t="s">
        <v>2356</v>
      </c>
      <c r="JL80" s="172" t="s">
        <v>2357</v>
      </c>
      <c r="JM80" s="171" t="s">
        <v>2358</v>
      </c>
      <c r="JN80" s="171" t="s">
        <v>2359</v>
      </c>
      <c r="JO80" s="171" t="s">
        <v>2360</v>
      </c>
      <c r="JP80" s="172" t="s">
        <v>2361</v>
      </c>
      <c r="JQ80" s="6" t="s">
        <v>2480</v>
      </c>
      <c r="KB80" s="136"/>
      <c r="KC80" s="3"/>
      <c r="KD80" s="3"/>
      <c r="KE80" s="3"/>
      <c r="KF80" s="136"/>
      <c r="KG80" s="136"/>
      <c r="KH80" s="175" t="s">
        <v>2436</v>
      </c>
      <c r="KI80" s="171" t="s">
        <v>2354</v>
      </c>
      <c r="KJ80" s="171" t="s">
        <v>2355</v>
      </c>
      <c r="KK80" s="171" t="s">
        <v>2356</v>
      </c>
      <c r="KL80" s="172" t="s">
        <v>2357</v>
      </c>
      <c r="KM80" s="171" t="s">
        <v>2358</v>
      </c>
      <c r="KN80" s="171" t="s">
        <v>2359</v>
      </c>
      <c r="KO80" s="171" t="s">
        <v>2360</v>
      </c>
      <c r="KP80" s="172" t="s">
        <v>2361</v>
      </c>
      <c r="KQ80" s="6" t="s">
        <v>2480</v>
      </c>
      <c r="LE80" s="168"/>
      <c r="LF80" s="3"/>
      <c r="LG80" s="2"/>
      <c r="LH80" s="157"/>
      <c r="LI80" s="3"/>
      <c r="LJ80" s="3"/>
      <c r="LK80" s="3"/>
      <c r="LL80" s="3"/>
      <c r="LM80" s="2"/>
      <c r="LN80" s="93"/>
      <c r="LO80" s="3"/>
      <c r="LP80" s="3"/>
      <c r="LQ80" s="3"/>
      <c r="LR80" s="2"/>
      <c r="LS80" s="85"/>
      <c r="LT80" s="3"/>
      <c r="LU80" s="3"/>
      <c r="LV80" s="3"/>
      <c r="LW80" s="3"/>
      <c r="LX80" s="2"/>
      <c r="LY80" s="168"/>
      <c r="LZ80" s="2" t="s">
        <v>2925</v>
      </c>
      <c r="MA80" s="2" t="s">
        <v>3060</v>
      </c>
      <c r="MB80" s="3" t="s">
        <v>2433</v>
      </c>
      <c r="MC80" s="3" t="s">
        <v>2431</v>
      </c>
      <c r="MD80" s="3" t="s">
        <v>2433</v>
      </c>
      <c r="ME80" s="3" t="s">
        <v>2431</v>
      </c>
      <c r="MF80" s="3" t="s">
        <v>2431</v>
      </c>
      <c r="MG80" s="3" t="s">
        <v>2431</v>
      </c>
      <c r="MH80" s="3" t="s">
        <v>2433</v>
      </c>
      <c r="MI80" s="3" t="s">
        <v>2431</v>
      </c>
      <c r="MJ80" s="2"/>
      <c r="NL80" s="3"/>
      <c r="NM80" s="3"/>
      <c r="NN80" s="3"/>
      <c r="NO80" s="3"/>
      <c r="NP80" s="3"/>
      <c r="NQ80" s="3"/>
      <c r="NR80" s="3"/>
      <c r="NS80" s="3"/>
    </row>
    <row r="81" spans="39:383" ht="150">
      <c r="AM81" s="275">
        <v>45792</v>
      </c>
      <c r="AN81" s="276" t="s">
        <v>3031</v>
      </c>
      <c r="AO81" s="276"/>
      <c r="AP81" s="276"/>
      <c r="AS81" s="275">
        <v>45820</v>
      </c>
      <c r="AT81" s="276" t="s">
        <v>3031</v>
      </c>
      <c r="AU81" s="276"/>
      <c r="AV81" s="276"/>
      <c r="DI81" s="81"/>
      <c r="DJ81" s="81"/>
      <c r="DK81" s="81"/>
      <c r="DL81" s="81"/>
      <c r="DM81" s="81"/>
      <c r="GM81" s="184" t="s">
        <v>2525</v>
      </c>
      <c r="GN81" s="173">
        <f t="shared" ref="GN81:GU81" si="109">COUNTIFS($BA$2:$BA$425,"ΜΠΙΤΖΟΥ ΘΕΟΔΟΣΙΑ",IG$2:IG$425,"κακή")</f>
        <v>0</v>
      </c>
      <c r="GO81" s="173">
        <f t="shared" si="109"/>
        <v>0</v>
      </c>
      <c r="GP81" s="173">
        <f t="shared" si="109"/>
        <v>0</v>
      </c>
      <c r="GQ81" s="173">
        <f t="shared" si="109"/>
        <v>0</v>
      </c>
      <c r="GR81" s="173">
        <f t="shared" si="109"/>
        <v>0</v>
      </c>
      <c r="GS81" s="173">
        <f t="shared" si="109"/>
        <v>0</v>
      </c>
      <c r="GT81" s="173">
        <f t="shared" si="109"/>
        <v>0</v>
      </c>
      <c r="GU81" s="173">
        <f t="shared" si="109"/>
        <v>0</v>
      </c>
      <c r="GV81" s="170">
        <f>SUM(GR81:GU81)</f>
        <v>0</v>
      </c>
      <c r="HJ81" s="168"/>
      <c r="HM81" s="157"/>
      <c r="HS81" s="93"/>
      <c r="HX81" s="85"/>
      <c r="ID81" s="168"/>
      <c r="IE81" s="2" t="s">
        <v>2925</v>
      </c>
      <c r="IF81" s="2" t="s">
        <v>3060</v>
      </c>
      <c r="IG81" s="3" t="s">
        <v>2432</v>
      </c>
      <c r="IH81" s="3" t="s">
        <v>2432</v>
      </c>
      <c r="II81" s="3" t="s">
        <v>2432</v>
      </c>
      <c r="IJ81" s="3" t="s">
        <v>2432</v>
      </c>
      <c r="IK81" s="3" t="s">
        <v>2432</v>
      </c>
      <c r="IL81" s="3" t="s">
        <v>2432</v>
      </c>
      <c r="IM81" s="3" t="s">
        <v>2432</v>
      </c>
      <c r="IN81" s="3" t="s">
        <v>2432</v>
      </c>
      <c r="JH81" s="184" t="s">
        <v>2525</v>
      </c>
      <c r="JI81" s="173" t="e">
        <f>#REF!</f>
        <v>#REF!</v>
      </c>
      <c r="JJ81" s="173" t="e">
        <f>#REF!</f>
        <v>#REF!</v>
      </c>
      <c r="JK81" s="173" t="e">
        <f>#REF!</f>
        <v>#REF!</v>
      </c>
      <c r="JL81" s="173" t="e">
        <f>#REF!</f>
        <v>#REF!</v>
      </c>
      <c r="JM81" s="173" t="e">
        <f>#REF!</f>
        <v>#REF!</v>
      </c>
      <c r="JN81" s="173" t="e">
        <f>#REF!</f>
        <v>#REF!</v>
      </c>
      <c r="JO81" s="173" t="e">
        <f>#REF!</f>
        <v>#REF!</v>
      </c>
      <c r="JP81" s="173" t="e">
        <f>#REF!</f>
        <v>#REF!</v>
      </c>
      <c r="JQ81" s="170" t="e">
        <f>SUM(JM81:JP81)</f>
        <v>#REF!</v>
      </c>
      <c r="KB81" s="136"/>
      <c r="KC81" s="3"/>
      <c r="KD81" s="3"/>
      <c r="KE81" s="3"/>
      <c r="KF81" s="136"/>
      <c r="KG81" s="136"/>
      <c r="KH81" s="184" t="s">
        <v>2525</v>
      </c>
      <c r="KI81" s="173">
        <f t="shared" ref="KI81:KP81" si="110">COUNTIFS($BA$2:$BA$425,"ΜΠΙΤΖΟΥ ΘΕΟΔΟΣΙΑ",MB$2:MB$425,"κακή")</f>
        <v>0</v>
      </c>
      <c r="KJ81" s="173">
        <f t="shared" si="110"/>
        <v>0</v>
      </c>
      <c r="KK81" s="173">
        <f t="shared" si="110"/>
        <v>0</v>
      </c>
      <c r="KL81" s="173">
        <f t="shared" si="110"/>
        <v>0</v>
      </c>
      <c r="KM81" s="173">
        <f t="shared" si="110"/>
        <v>0</v>
      </c>
      <c r="KN81" s="173">
        <f t="shared" si="110"/>
        <v>0</v>
      </c>
      <c r="KO81" s="173">
        <f t="shared" si="110"/>
        <v>0</v>
      </c>
      <c r="KP81" s="173">
        <f t="shared" si="110"/>
        <v>0</v>
      </c>
      <c r="KQ81" s="170">
        <f>SUM(KM81:KP81)</f>
        <v>0</v>
      </c>
      <c r="LE81" s="168"/>
      <c r="LF81" s="3"/>
      <c r="LG81" s="2"/>
      <c r="LH81" s="157"/>
      <c r="LI81" s="3"/>
      <c r="LJ81" s="3"/>
      <c r="LK81" s="3"/>
      <c r="LL81" s="3"/>
      <c r="LM81" s="2"/>
      <c r="LN81" s="93"/>
      <c r="LO81" s="3"/>
      <c r="LP81" s="3"/>
      <c r="LQ81" s="3"/>
      <c r="LR81" s="2"/>
      <c r="LS81" s="85"/>
      <c r="LT81" s="3"/>
      <c r="LU81" s="3"/>
      <c r="LV81" s="3"/>
      <c r="LW81" s="3"/>
      <c r="LX81" s="2"/>
      <c r="LY81" s="168"/>
      <c r="LZ81" s="2" t="s">
        <v>2925</v>
      </c>
      <c r="MA81" s="2" t="s">
        <v>3060</v>
      </c>
      <c r="MB81" s="3" t="s">
        <v>2432</v>
      </c>
      <c r="MC81" s="3" t="s">
        <v>2432</v>
      </c>
      <c r="MD81" s="3" t="s">
        <v>2432</v>
      </c>
      <c r="ME81" s="3" t="s">
        <v>2432</v>
      </c>
      <c r="MF81" s="3" t="s">
        <v>2432</v>
      </c>
      <c r="MG81" s="3" t="s">
        <v>2432</v>
      </c>
      <c r="MH81" s="3" t="s">
        <v>2432</v>
      </c>
      <c r="MI81" s="3" t="s">
        <v>2432</v>
      </c>
      <c r="MJ81" s="2"/>
      <c r="NL81" s="3"/>
      <c r="NM81" s="3"/>
      <c r="NN81" s="3"/>
      <c r="NO81" s="3"/>
      <c r="NP81" s="3"/>
      <c r="NQ81" s="3"/>
      <c r="NR81" s="3"/>
      <c r="NS81" s="3"/>
    </row>
    <row r="82" spans="39:383" ht="150">
      <c r="AM82" s="275">
        <v>45794</v>
      </c>
      <c r="AN82" s="276" t="s">
        <v>3031</v>
      </c>
      <c r="AO82" s="276"/>
      <c r="AP82" s="276"/>
      <c r="AS82" s="275">
        <v>45822</v>
      </c>
      <c r="AT82" s="276" t="s">
        <v>3031</v>
      </c>
      <c r="AU82" s="276"/>
      <c r="AV82" s="276"/>
      <c r="DI82" s="81"/>
      <c r="DJ82" s="81"/>
      <c r="DK82" s="81"/>
      <c r="DL82" s="81"/>
      <c r="DM82" s="81"/>
      <c r="GM82" s="184" t="s">
        <v>2435</v>
      </c>
      <c r="GN82" s="173">
        <f t="shared" ref="GN82:GU82" si="111">COUNTIFS($BA$2:$BA$425,"ΜΠΙΤΖΟΥ ΘΕΟΔΟΣΙΑ",IG$2:IG$425,"μέτρια")</f>
        <v>0</v>
      </c>
      <c r="GO82" s="173">
        <f t="shared" si="111"/>
        <v>0</v>
      </c>
      <c r="GP82" s="173">
        <f t="shared" si="111"/>
        <v>0</v>
      </c>
      <c r="GQ82" s="173">
        <f t="shared" si="111"/>
        <v>0</v>
      </c>
      <c r="GR82" s="173">
        <f t="shared" si="111"/>
        <v>0</v>
      </c>
      <c r="GS82" s="173">
        <f t="shared" si="111"/>
        <v>0</v>
      </c>
      <c r="GT82" s="173">
        <f t="shared" si="111"/>
        <v>0</v>
      </c>
      <c r="GU82" s="173">
        <f t="shared" si="111"/>
        <v>0</v>
      </c>
      <c r="GV82" s="170">
        <f>SUM(GR82:GU82)</f>
        <v>0</v>
      </c>
      <c r="HJ82" s="168"/>
      <c r="HM82" s="157"/>
      <c r="HS82" s="93"/>
      <c r="HX82" s="85"/>
      <c r="ID82" s="168"/>
      <c r="IE82" s="2" t="s">
        <v>2925</v>
      </c>
      <c r="IF82" s="2" t="s">
        <v>3001</v>
      </c>
      <c r="IG82" s="3" t="s">
        <v>2431</v>
      </c>
      <c r="IH82" s="3" t="s">
        <v>2431</v>
      </c>
      <c r="II82" s="3" t="s">
        <v>2431</v>
      </c>
      <c r="IJ82" s="3" t="s">
        <v>2431</v>
      </c>
      <c r="IK82" s="3" t="s">
        <v>2431</v>
      </c>
      <c r="IL82" s="3" t="s">
        <v>2431</v>
      </c>
      <c r="IM82" s="3" t="s">
        <v>2431</v>
      </c>
      <c r="IN82" s="3" t="s">
        <v>2431</v>
      </c>
      <c r="JH82" s="184" t="s">
        <v>2435</v>
      </c>
      <c r="JI82" s="173" t="e">
        <f>#REF!</f>
        <v>#REF!</v>
      </c>
      <c r="JJ82" s="173" t="e">
        <f>#REF!</f>
        <v>#REF!</v>
      </c>
      <c r="JK82" s="173" t="e">
        <f>#REF!</f>
        <v>#REF!</v>
      </c>
      <c r="JL82" s="173" t="e">
        <f>#REF!</f>
        <v>#REF!</v>
      </c>
      <c r="JM82" s="173" t="e">
        <f>#REF!</f>
        <v>#REF!</v>
      </c>
      <c r="JN82" s="173" t="e">
        <f>#REF!</f>
        <v>#REF!</v>
      </c>
      <c r="JO82" s="173" t="e">
        <f>#REF!</f>
        <v>#REF!</v>
      </c>
      <c r="JP82" s="173" t="e">
        <f>#REF!</f>
        <v>#REF!</v>
      </c>
      <c r="JQ82" s="170" t="e">
        <f>SUM(JM82:JP82)</f>
        <v>#REF!</v>
      </c>
      <c r="KB82" s="136"/>
      <c r="KC82" s="3"/>
      <c r="KD82" s="3"/>
      <c r="KE82" s="3"/>
      <c r="KF82" s="136"/>
      <c r="KG82" s="136"/>
      <c r="KH82" s="184" t="s">
        <v>2435</v>
      </c>
      <c r="KI82" s="173">
        <f t="shared" ref="KI82:KP82" si="112">COUNTIFS($BA$2:$BA$425,"ΜΠΙΤΖΟΥ ΘΕΟΔΟΣΙΑ",MB$2:MB$425,"μέτρια")</f>
        <v>0</v>
      </c>
      <c r="KJ82" s="173">
        <f t="shared" si="112"/>
        <v>0</v>
      </c>
      <c r="KK82" s="173">
        <f t="shared" si="112"/>
        <v>0</v>
      </c>
      <c r="KL82" s="173">
        <f t="shared" si="112"/>
        <v>0</v>
      </c>
      <c r="KM82" s="173">
        <f t="shared" si="112"/>
        <v>0</v>
      </c>
      <c r="KN82" s="173">
        <f t="shared" si="112"/>
        <v>0</v>
      </c>
      <c r="KO82" s="173">
        <f t="shared" si="112"/>
        <v>0</v>
      </c>
      <c r="KP82" s="173">
        <f t="shared" si="112"/>
        <v>0</v>
      </c>
      <c r="KQ82" s="170">
        <f>SUM(KM82:KP82)</f>
        <v>0</v>
      </c>
      <c r="LE82" s="168"/>
      <c r="LF82" s="3"/>
      <c r="LG82" s="2"/>
      <c r="LH82" s="157"/>
      <c r="LI82" s="3"/>
      <c r="LJ82" s="3"/>
      <c r="LK82" s="3"/>
      <c r="LL82" s="3"/>
      <c r="LM82" s="2"/>
      <c r="LN82" s="93"/>
      <c r="LO82" s="3"/>
      <c r="LP82" s="3"/>
      <c r="LQ82" s="3"/>
      <c r="LR82" s="2"/>
      <c r="LS82" s="85"/>
      <c r="LT82" s="3"/>
      <c r="LU82" s="3"/>
      <c r="LV82" s="3"/>
      <c r="LW82" s="3"/>
      <c r="LX82" s="2"/>
      <c r="LY82" s="168"/>
      <c r="LZ82" s="2" t="s">
        <v>2925</v>
      </c>
      <c r="MA82" s="2" t="s">
        <v>3001</v>
      </c>
      <c r="MB82" s="3" t="s">
        <v>2431</v>
      </c>
      <c r="MC82" s="3" t="s">
        <v>2431</v>
      </c>
      <c r="MD82" s="3" t="s">
        <v>2431</v>
      </c>
      <c r="ME82" s="3" t="s">
        <v>2431</v>
      </c>
      <c r="MF82" s="3" t="s">
        <v>2431</v>
      </c>
      <c r="MG82" s="3" t="s">
        <v>2431</v>
      </c>
      <c r="MH82" s="3" t="s">
        <v>2431</v>
      </c>
      <c r="MI82" s="3" t="s">
        <v>2431</v>
      </c>
      <c r="MJ82" s="2"/>
      <c r="NL82" s="3"/>
      <c r="NM82" s="3"/>
      <c r="NN82" s="3"/>
      <c r="NO82" s="3"/>
      <c r="NP82" s="3"/>
      <c r="NQ82" s="3"/>
      <c r="NR82" s="3"/>
      <c r="NS82" s="3"/>
    </row>
    <row r="83" spans="39:383" ht="150">
      <c r="AM83" s="273">
        <v>45798</v>
      </c>
      <c r="AN83" s="274" t="s">
        <v>3031</v>
      </c>
      <c r="AO83" s="274"/>
      <c r="AP83" s="274"/>
      <c r="AS83" s="273">
        <v>45826</v>
      </c>
      <c r="AT83" s="274" t="s">
        <v>3031</v>
      </c>
      <c r="AU83" s="274"/>
      <c r="AV83" s="274"/>
      <c r="DI83" s="81"/>
      <c r="DJ83" s="81"/>
      <c r="DK83" s="81"/>
      <c r="DL83" s="81"/>
      <c r="DM83" s="81"/>
      <c r="GM83" s="184" t="s">
        <v>2603</v>
      </c>
      <c r="GN83" s="173">
        <f t="shared" ref="GN83:GU83" si="113">COUNTIFS($BA$2:$BA$425,"ΜΠΙΤΖΟΥ ΘΕΟΔΟΣΙΑ",IG$2:IG$425,"καλή")</f>
        <v>0</v>
      </c>
      <c r="GO83" s="173">
        <f t="shared" si="113"/>
        <v>0</v>
      </c>
      <c r="GP83" s="173">
        <f t="shared" si="113"/>
        <v>0</v>
      </c>
      <c r="GQ83" s="173">
        <f t="shared" si="113"/>
        <v>0</v>
      </c>
      <c r="GR83" s="173">
        <f t="shared" si="113"/>
        <v>0</v>
      </c>
      <c r="GS83" s="173">
        <f t="shared" si="113"/>
        <v>0</v>
      </c>
      <c r="GT83" s="173">
        <f t="shared" si="113"/>
        <v>0</v>
      </c>
      <c r="GU83" s="173">
        <f t="shared" si="113"/>
        <v>0</v>
      </c>
      <c r="GV83" s="199">
        <f>SUM(GR83:GU83)</f>
        <v>0</v>
      </c>
      <c r="HJ83" s="168"/>
      <c r="HM83" s="157"/>
      <c r="HS83" s="93"/>
      <c r="HX83" s="85"/>
      <c r="ID83" s="168"/>
      <c r="IE83" s="2" t="s">
        <v>2925</v>
      </c>
      <c r="IF83" s="2" t="s">
        <v>3001</v>
      </c>
      <c r="IG83" s="3" t="s">
        <v>2432</v>
      </c>
      <c r="IH83" s="3" t="s">
        <v>2432</v>
      </c>
      <c r="II83" s="3" t="s">
        <v>2435</v>
      </c>
      <c r="IJ83" s="3" t="s">
        <v>2432</v>
      </c>
      <c r="IK83" s="3" t="s">
        <v>2432</v>
      </c>
      <c r="IL83" s="3" t="s">
        <v>2432</v>
      </c>
      <c r="IM83" s="3" t="s">
        <v>2432</v>
      </c>
      <c r="IN83" s="3" t="s">
        <v>2432</v>
      </c>
      <c r="JH83" s="184" t="s">
        <v>2603</v>
      </c>
      <c r="JI83" s="173" t="e">
        <f>#REF!</f>
        <v>#REF!</v>
      </c>
      <c r="JJ83" s="173" t="e">
        <f>#REF!</f>
        <v>#REF!</v>
      </c>
      <c r="JK83" s="173" t="e">
        <f>#REF!</f>
        <v>#REF!</v>
      </c>
      <c r="JL83" s="173" t="e">
        <f>#REF!</f>
        <v>#REF!</v>
      </c>
      <c r="JM83" s="173" t="e">
        <f>#REF!</f>
        <v>#REF!</v>
      </c>
      <c r="JN83" s="173" t="e">
        <f>#REF!</f>
        <v>#REF!</v>
      </c>
      <c r="JO83" s="173" t="e">
        <f>#REF!</f>
        <v>#REF!</v>
      </c>
      <c r="JP83" s="173" t="e">
        <f>#REF!</f>
        <v>#REF!</v>
      </c>
      <c r="JQ83" s="199" t="e">
        <f>SUM(JM83:JP83)</f>
        <v>#REF!</v>
      </c>
      <c r="KB83" s="136"/>
      <c r="KC83" s="3"/>
      <c r="KD83" s="3"/>
      <c r="KE83" s="3"/>
      <c r="KF83" s="136"/>
      <c r="KG83" s="136"/>
      <c r="KH83" s="184" t="s">
        <v>2603</v>
      </c>
      <c r="KI83" s="173">
        <f t="shared" ref="KI83:KP83" si="114">COUNTIFS($BA$2:$BA$425,"ΜΠΙΤΖΟΥ ΘΕΟΔΟΣΙΑ",MB$2:MB$425,"καλή")</f>
        <v>0</v>
      </c>
      <c r="KJ83" s="173">
        <f t="shared" si="114"/>
        <v>0</v>
      </c>
      <c r="KK83" s="173">
        <f t="shared" si="114"/>
        <v>0</v>
      </c>
      <c r="KL83" s="173">
        <f t="shared" si="114"/>
        <v>0</v>
      </c>
      <c r="KM83" s="173">
        <f t="shared" si="114"/>
        <v>0</v>
      </c>
      <c r="KN83" s="173">
        <f t="shared" si="114"/>
        <v>0</v>
      </c>
      <c r="KO83" s="173">
        <f t="shared" si="114"/>
        <v>0</v>
      </c>
      <c r="KP83" s="173">
        <f t="shared" si="114"/>
        <v>0</v>
      </c>
      <c r="KQ83" s="199">
        <f>SUM(KM83:KP83)</f>
        <v>0</v>
      </c>
      <c r="LE83" s="168"/>
      <c r="LF83" s="3"/>
      <c r="LG83" s="2"/>
      <c r="LH83" s="157"/>
      <c r="LI83" s="3"/>
      <c r="LJ83" s="3"/>
      <c r="LK83" s="3"/>
      <c r="LL83" s="3"/>
      <c r="LM83" s="2"/>
      <c r="LN83" s="93"/>
      <c r="LO83" s="3"/>
      <c r="LP83" s="3"/>
      <c r="LQ83" s="3"/>
      <c r="LR83" s="2"/>
      <c r="LS83" s="85"/>
      <c r="LT83" s="3"/>
      <c r="LU83" s="3"/>
      <c r="LV83" s="3"/>
      <c r="LW83" s="3"/>
      <c r="LX83" s="2"/>
      <c r="LY83" s="168"/>
      <c r="LZ83" s="2" t="s">
        <v>2925</v>
      </c>
      <c r="MA83" s="2" t="s">
        <v>3001</v>
      </c>
      <c r="MB83" s="3" t="s">
        <v>2432</v>
      </c>
      <c r="MC83" s="3" t="s">
        <v>2432</v>
      </c>
      <c r="MD83" s="3" t="s">
        <v>2435</v>
      </c>
      <c r="ME83" s="3" t="s">
        <v>2432</v>
      </c>
      <c r="MF83" s="3" t="s">
        <v>2432</v>
      </c>
      <c r="MG83" s="3" t="s">
        <v>2432</v>
      </c>
      <c r="MH83" s="3" t="s">
        <v>2432</v>
      </c>
      <c r="MI83" s="3" t="s">
        <v>2432</v>
      </c>
      <c r="MJ83" s="2"/>
      <c r="NL83" s="3"/>
      <c r="NM83" s="3"/>
      <c r="NN83" s="3"/>
      <c r="NO83" s="3"/>
      <c r="NP83" s="3"/>
      <c r="NQ83" s="3"/>
      <c r="NR83" s="3"/>
      <c r="NS83" s="3"/>
    </row>
    <row r="84" spans="39:383" ht="150">
      <c r="AM84" s="273">
        <v>45799</v>
      </c>
      <c r="AN84" s="274" t="s">
        <v>3031</v>
      </c>
      <c r="AO84" s="274"/>
      <c r="AP84" s="274"/>
      <c r="AS84" s="273">
        <v>45827</v>
      </c>
      <c r="AT84" s="274" t="s">
        <v>3031</v>
      </c>
      <c r="AU84" s="274"/>
      <c r="AV84" s="274"/>
      <c r="DI84" s="81"/>
      <c r="DJ84" s="81"/>
      <c r="DK84" s="81"/>
      <c r="DL84" s="81"/>
      <c r="DM84" s="81"/>
      <c r="GM84" s="184" t="s">
        <v>2639</v>
      </c>
      <c r="GN84" s="173">
        <f t="shared" ref="GN84:GU84" si="115">COUNTIFS($BA$2:$BA$425,"ΜΠΙΤΖΟΥ ΘΕΟΔΟΣΙΑ",IG$2:IG$425,"πολύ καλή")</f>
        <v>0</v>
      </c>
      <c r="GO84" s="173">
        <f t="shared" si="115"/>
        <v>0</v>
      </c>
      <c r="GP84" s="173">
        <f t="shared" si="115"/>
        <v>0</v>
      </c>
      <c r="GQ84" s="173">
        <f t="shared" si="115"/>
        <v>0</v>
      </c>
      <c r="GR84" s="173">
        <f t="shared" si="115"/>
        <v>0</v>
      </c>
      <c r="GS84" s="173">
        <f t="shared" si="115"/>
        <v>0</v>
      </c>
      <c r="GT84" s="173">
        <f t="shared" si="115"/>
        <v>0</v>
      </c>
      <c r="GU84" s="173">
        <f t="shared" si="115"/>
        <v>0</v>
      </c>
      <c r="GV84" s="199">
        <f>SUM(GR84:GU84)</f>
        <v>0</v>
      </c>
      <c r="HJ84" s="168"/>
      <c r="HM84" s="157"/>
      <c r="HS84" s="93"/>
      <c r="HX84" s="85"/>
      <c r="ID84" s="168"/>
      <c r="IE84" s="2" t="s">
        <v>2925</v>
      </c>
      <c r="IF84" s="2" t="s">
        <v>1611</v>
      </c>
      <c r="IG84" s="3" t="s">
        <v>2431</v>
      </c>
      <c r="IH84" s="3" t="s">
        <v>2431</v>
      </c>
      <c r="II84" s="3" t="s">
        <v>2431</v>
      </c>
      <c r="IJ84" s="3" t="s">
        <v>2431</v>
      </c>
      <c r="IK84" s="3" t="s">
        <v>2431</v>
      </c>
      <c r="IL84" s="3" t="s">
        <v>2431</v>
      </c>
      <c r="IM84" s="3" t="s">
        <v>2431</v>
      </c>
      <c r="IN84" s="3" t="s">
        <v>2431</v>
      </c>
      <c r="JH84" s="184" t="s">
        <v>2639</v>
      </c>
      <c r="JI84" s="173" t="e">
        <f>#REF!</f>
        <v>#REF!</v>
      </c>
      <c r="JJ84" s="173" t="e">
        <f>#REF!</f>
        <v>#REF!</v>
      </c>
      <c r="JK84" s="173" t="e">
        <f>#REF!</f>
        <v>#REF!</v>
      </c>
      <c r="JL84" s="173" t="e">
        <f>#REF!</f>
        <v>#REF!</v>
      </c>
      <c r="JM84" s="173" t="e">
        <f>#REF!</f>
        <v>#REF!</v>
      </c>
      <c r="JN84" s="173" t="e">
        <f>#REF!</f>
        <v>#REF!</v>
      </c>
      <c r="JO84" s="173" t="e">
        <f>#REF!</f>
        <v>#REF!</v>
      </c>
      <c r="JP84" s="173" t="e">
        <f>#REF!</f>
        <v>#REF!</v>
      </c>
      <c r="JQ84" s="199" t="e">
        <f>SUM(JM84:JP84)</f>
        <v>#REF!</v>
      </c>
      <c r="KB84" s="136"/>
      <c r="KC84" s="3"/>
      <c r="KD84" s="3"/>
      <c r="KE84" s="3"/>
      <c r="KF84" s="136"/>
      <c r="KG84" s="136"/>
      <c r="KH84" s="184" t="s">
        <v>2639</v>
      </c>
      <c r="KI84" s="173">
        <f t="shared" ref="KI84:KP84" si="116">COUNTIFS($BA$2:$BA$425,"ΜΠΙΤΖΟΥ ΘΕΟΔΟΣΙΑ",MB$2:MB$425,"πολύ καλή")</f>
        <v>0</v>
      </c>
      <c r="KJ84" s="173">
        <f t="shared" si="116"/>
        <v>0</v>
      </c>
      <c r="KK84" s="173">
        <f t="shared" si="116"/>
        <v>0</v>
      </c>
      <c r="KL84" s="173">
        <f t="shared" si="116"/>
        <v>0</v>
      </c>
      <c r="KM84" s="173">
        <f t="shared" si="116"/>
        <v>0</v>
      </c>
      <c r="KN84" s="173">
        <f t="shared" si="116"/>
        <v>0</v>
      </c>
      <c r="KO84" s="173">
        <f t="shared" si="116"/>
        <v>0</v>
      </c>
      <c r="KP84" s="173">
        <f t="shared" si="116"/>
        <v>0</v>
      </c>
      <c r="KQ84" s="199">
        <f>SUM(KM84:KP84)</f>
        <v>0</v>
      </c>
      <c r="LE84" s="168"/>
      <c r="LF84" s="3"/>
      <c r="LG84" s="2"/>
      <c r="LH84" s="157"/>
      <c r="LI84" s="3"/>
      <c r="LJ84" s="3"/>
      <c r="LK84" s="3"/>
      <c r="LL84" s="3"/>
      <c r="LM84" s="2"/>
      <c r="LN84" s="93"/>
      <c r="LO84" s="3"/>
      <c r="LP84" s="3"/>
      <c r="LQ84" s="3"/>
      <c r="LR84" s="2"/>
      <c r="LS84" s="85"/>
      <c r="LT84" s="3"/>
      <c r="LU84" s="3"/>
      <c r="LV84" s="3"/>
      <c r="LW84" s="3"/>
      <c r="LX84" s="2"/>
      <c r="LY84" s="168"/>
      <c r="LZ84" s="2" t="s">
        <v>2925</v>
      </c>
      <c r="MA84" s="2" t="s">
        <v>1611</v>
      </c>
      <c r="MB84" s="3" t="s">
        <v>2431</v>
      </c>
      <c r="MC84" s="3" t="s">
        <v>2431</v>
      </c>
      <c r="MD84" s="3" t="s">
        <v>2431</v>
      </c>
      <c r="ME84" s="3" t="s">
        <v>2431</v>
      </c>
      <c r="MF84" s="3" t="s">
        <v>2431</v>
      </c>
      <c r="MG84" s="3" t="s">
        <v>2431</v>
      </c>
      <c r="MH84" s="3" t="s">
        <v>2431</v>
      </c>
      <c r="MI84" s="3" t="s">
        <v>2431</v>
      </c>
      <c r="MJ84" s="2"/>
      <c r="NL84" s="3"/>
      <c r="NM84" s="3"/>
      <c r="NN84" s="3"/>
      <c r="NO84" s="3"/>
      <c r="NP84" s="3"/>
      <c r="NQ84" s="3"/>
      <c r="NR84" s="3"/>
      <c r="NS84" s="3"/>
    </row>
    <row r="85" spans="39:383" ht="150.75" thickBot="1">
      <c r="AM85" s="273">
        <v>45801</v>
      </c>
      <c r="AN85" s="274" t="s">
        <v>3031</v>
      </c>
      <c r="AO85" s="274"/>
      <c r="AP85" s="274"/>
      <c r="AS85" s="273">
        <v>45829</v>
      </c>
      <c r="AT85" s="274" t="s">
        <v>3031</v>
      </c>
      <c r="AU85" s="274"/>
      <c r="AV85" s="274"/>
      <c r="DI85" s="81"/>
      <c r="DJ85" s="81"/>
      <c r="DK85" s="81"/>
      <c r="DL85" s="81"/>
      <c r="DM85" s="81"/>
      <c r="GM85" s="185" t="s">
        <v>2431</v>
      </c>
      <c r="GN85" s="187">
        <f t="shared" ref="GN85:GU85" si="117">COUNTIFS($BA$2:$BA$425,"ΜΠΙΤΖΟΥ ΘΕΟΔΟΣΙΑ",IG$2:IG$425,"άριστη")</f>
        <v>0</v>
      </c>
      <c r="GO85" s="187">
        <f t="shared" si="117"/>
        <v>0</v>
      </c>
      <c r="GP85" s="187">
        <f t="shared" si="117"/>
        <v>0</v>
      </c>
      <c r="GQ85" s="187">
        <f t="shared" si="117"/>
        <v>0</v>
      </c>
      <c r="GR85" s="187">
        <f t="shared" si="117"/>
        <v>0</v>
      </c>
      <c r="GS85" s="187">
        <f t="shared" si="117"/>
        <v>0</v>
      </c>
      <c r="GT85" s="187">
        <f t="shared" si="117"/>
        <v>0</v>
      </c>
      <c r="GU85" s="187">
        <f t="shared" si="117"/>
        <v>0</v>
      </c>
      <c r="GV85" s="199">
        <f>SUM(GR85:GU85)</f>
        <v>0</v>
      </c>
      <c r="HJ85" s="168"/>
      <c r="HM85" s="157"/>
      <c r="HS85" s="93"/>
      <c r="HX85" s="85"/>
      <c r="ID85" s="168"/>
      <c r="IE85" s="2" t="s">
        <v>2925</v>
      </c>
      <c r="IF85" s="2" t="s">
        <v>1611</v>
      </c>
      <c r="IG85" s="3" t="s">
        <v>2432</v>
      </c>
      <c r="IH85" s="3" t="s">
        <v>2432</v>
      </c>
      <c r="II85" s="3" t="s">
        <v>2432</v>
      </c>
      <c r="IJ85" s="3" t="s">
        <v>2432</v>
      </c>
      <c r="IK85" s="3" t="s">
        <v>2432</v>
      </c>
      <c r="IL85" s="3" t="s">
        <v>2432</v>
      </c>
      <c r="IM85" s="3" t="s">
        <v>2432</v>
      </c>
      <c r="IN85" s="3" t="s">
        <v>2432</v>
      </c>
      <c r="JH85" s="185" t="s">
        <v>2431</v>
      </c>
      <c r="JI85" s="173" t="e">
        <f>#REF!</f>
        <v>#REF!</v>
      </c>
      <c r="JJ85" s="173" t="e">
        <f>#REF!</f>
        <v>#REF!</v>
      </c>
      <c r="JK85" s="173" t="e">
        <f>#REF!</f>
        <v>#REF!</v>
      </c>
      <c r="JL85" s="173" t="e">
        <f>#REF!</f>
        <v>#REF!</v>
      </c>
      <c r="JM85" s="173" t="e">
        <f>#REF!</f>
        <v>#REF!</v>
      </c>
      <c r="JN85" s="173" t="e">
        <f>#REF!</f>
        <v>#REF!</v>
      </c>
      <c r="JO85" s="173" t="e">
        <f>#REF!</f>
        <v>#REF!</v>
      </c>
      <c r="JP85" s="173" t="e">
        <f>#REF!</f>
        <v>#REF!</v>
      </c>
      <c r="JQ85" s="199" t="e">
        <f>SUM(JM85:JP85)</f>
        <v>#REF!</v>
      </c>
      <c r="KB85" s="136"/>
      <c r="KC85" s="3"/>
      <c r="KD85" s="3"/>
      <c r="KE85" s="3"/>
      <c r="KF85" s="136"/>
      <c r="KG85" s="136"/>
      <c r="KH85" s="185" t="s">
        <v>2431</v>
      </c>
      <c r="KI85" s="187">
        <f t="shared" ref="KI85:KP85" si="118">COUNTIFS($BA$2:$BA$425,"ΜΠΙΤΖΟΥ ΘΕΟΔΟΣΙΑ",MB$2:MB$425,"άριστη")</f>
        <v>0</v>
      </c>
      <c r="KJ85" s="187">
        <f t="shared" si="118"/>
        <v>0</v>
      </c>
      <c r="KK85" s="187">
        <f t="shared" si="118"/>
        <v>0</v>
      </c>
      <c r="KL85" s="187">
        <f t="shared" si="118"/>
        <v>0</v>
      </c>
      <c r="KM85" s="187">
        <f t="shared" si="118"/>
        <v>0</v>
      </c>
      <c r="KN85" s="187">
        <f t="shared" si="118"/>
        <v>0</v>
      </c>
      <c r="KO85" s="187">
        <f t="shared" si="118"/>
        <v>0</v>
      </c>
      <c r="KP85" s="187">
        <f t="shared" si="118"/>
        <v>0</v>
      </c>
      <c r="KQ85" s="199">
        <f>SUM(KM85:KP85)</f>
        <v>0</v>
      </c>
      <c r="LE85" s="168"/>
      <c r="LF85" s="3"/>
      <c r="LG85" s="2"/>
      <c r="LH85" s="157"/>
      <c r="LI85" s="3"/>
      <c r="LJ85" s="3"/>
      <c r="LK85" s="3"/>
      <c r="LL85" s="3"/>
      <c r="LM85" s="2"/>
      <c r="LN85" s="93"/>
      <c r="LO85" s="3"/>
      <c r="LP85" s="3"/>
      <c r="LQ85" s="3"/>
      <c r="LR85" s="2"/>
      <c r="LS85" s="85"/>
      <c r="LT85" s="3"/>
      <c r="LU85" s="3"/>
      <c r="LV85" s="3"/>
      <c r="LW85" s="3"/>
      <c r="LX85" s="2"/>
      <c r="LY85" s="168"/>
      <c r="LZ85" s="2" t="s">
        <v>2925</v>
      </c>
      <c r="MA85" s="2" t="s">
        <v>1611</v>
      </c>
      <c r="MB85" s="3" t="s">
        <v>2432</v>
      </c>
      <c r="MC85" s="3" t="s">
        <v>2432</v>
      </c>
      <c r="MD85" s="3" t="s">
        <v>2432</v>
      </c>
      <c r="ME85" s="3" t="s">
        <v>2432</v>
      </c>
      <c r="MF85" s="3" t="s">
        <v>2432</v>
      </c>
      <c r="MG85" s="3" t="s">
        <v>2432</v>
      </c>
      <c r="MH85" s="3" t="s">
        <v>2432</v>
      </c>
      <c r="MI85" s="3" t="s">
        <v>2432</v>
      </c>
      <c r="MJ85" s="2"/>
      <c r="NL85" s="3"/>
      <c r="NM85" s="3"/>
      <c r="NN85" s="3"/>
      <c r="NO85" s="3"/>
      <c r="NP85" s="3"/>
      <c r="NQ85" s="3"/>
      <c r="NR85" s="3"/>
      <c r="NS85" s="3"/>
    </row>
    <row r="86" spans="39:383" ht="150.75" thickBot="1">
      <c r="AM86" s="275">
        <v>45805</v>
      </c>
      <c r="AN86" s="276" t="s">
        <v>3031</v>
      </c>
      <c r="AO86" s="276"/>
      <c r="AP86" s="276"/>
      <c r="AS86" s="275">
        <v>45833</v>
      </c>
      <c r="AT86" s="276" t="s">
        <v>3031</v>
      </c>
      <c r="AU86" s="276"/>
      <c r="AV86" s="276"/>
      <c r="DI86" s="81"/>
      <c r="DJ86" s="81"/>
      <c r="DK86" s="81"/>
      <c r="DL86" s="81"/>
      <c r="DM86" s="81"/>
      <c r="HJ86" s="168"/>
      <c r="HM86" s="157"/>
      <c r="HS86" s="93"/>
      <c r="HX86" s="85"/>
      <c r="ID86" s="168"/>
      <c r="IE86" s="2" t="s">
        <v>2925</v>
      </c>
      <c r="IF86" s="2" t="s">
        <v>3067</v>
      </c>
      <c r="IG86" s="3" t="s">
        <v>2431</v>
      </c>
      <c r="IH86" s="3" t="s">
        <v>2431</v>
      </c>
      <c r="II86" s="3" t="s">
        <v>2433</v>
      </c>
      <c r="IJ86" s="3" t="s">
        <v>2431</v>
      </c>
      <c r="IK86" s="3" t="s">
        <v>2431</v>
      </c>
      <c r="IL86" s="3" t="s">
        <v>2431</v>
      </c>
      <c r="IM86" s="3" t="s">
        <v>2431</v>
      </c>
      <c r="IN86" s="3" t="s">
        <v>2433</v>
      </c>
      <c r="JH86" s="136"/>
      <c r="JI86" s="136"/>
      <c r="KB86" s="136"/>
      <c r="KC86" s="3"/>
      <c r="KD86" s="3"/>
      <c r="KE86" s="3"/>
      <c r="KF86" s="136"/>
      <c r="KG86" s="136"/>
      <c r="KH86" s="136"/>
      <c r="KI86" s="136"/>
      <c r="LE86" s="168"/>
      <c r="LF86" s="3"/>
      <c r="LG86" s="2"/>
      <c r="LH86" s="157"/>
      <c r="LI86" s="3"/>
      <c r="LJ86" s="3"/>
      <c r="LK86" s="3"/>
      <c r="LL86" s="3"/>
      <c r="LM86" s="2"/>
      <c r="LN86" s="93"/>
      <c r="LO86" s="3"/>
      <c r="LP86" s="3"/>
      <c r="LQ86" s="3"/>
      <c r="LR86" s="2"/>
      <c r="LS86" s="85"/>
      <c r="LT86" s="3"/>
      <c r="LU86" s="3"/>
      <c r="LV86" s="3"/>
      <c r="LW86" s="3"/>
      <c r="LX86" s="2"/>
      <c r="LY86" s="168"/>
      <c r="LZ86" s="2" t="s">
        <v>2925</v>
      </c>
      <c r="MA86" s="2" t="s">
        <v>3067</v>
      </c>
      <c r="MB86" s="3" t="s">
        <v>2431</v>
      </c>
      <c r="MC86" s="3" t="s">
        <v>2431</v>
      </c>
      <c r="MD86" s="3" t="s">
        <v>2433</v>
      </c>
      <c r="ME86" s="3" t="s">
        <v>2431</v>
      </c>
      <c r="MF86" s="3" t="s">
        <v>2431</v>
      </c>
      <c r="MG86" s="3" t="s">
        <v>2431</v>
      </c>
      <c r="MH86" s="3" t="s">
        <v>2431</v>
      </c>
      <c r="MI86" s="3" t="s">
        <v>2433</v>
      </c>
      <c r="MJ86" s="2"/>
      <c r="NL86" s="3"/>
      <c r="NM86" s="3"/>
      <c r="NN86" s="3"/>
      <c r="NO86" s="3"/>
      <c r="NP86" s="3"/>
      <c r="NQ86" s="3"/>
      <c r="NR86" s="3"/>
      <c r="NS86" s="3"/>
    </row>
    <row r="87" spans="39:383" ht="150">
      <c r="AM87" s="275">
        <v>45806</v>
      </c>
      <c r="AN87" s="276" t="s">
        <v>3031</v>
      </c>
      <c r="AO87" s="276"/>
      <c r="AP87" s="276"/>
      <c r="AS87" s="275">
        <v>45835</v>
      </c>
      <c r="AT87" s="276" t="s">
        <v>3031</v>
      </c>
      <c r="AU87" s="276"/>
      <c r="AV87" s="276"/>
      <c r="DI87" s="81"/>
      <c r="DJ87" s="81"/>
      <c r="DK87" s="81"/>
      <c r="DL87" s="81"/>
      <c r="DM87" s="81"/>
      <c r="GM87" s="175" t="s">
        <v>3060</v>
      </c>
      <c r="GN87" s="171" t="s">
        <v>2354</v>
      </c>
      <c r="GO87" s="171" t="s">
        <v>2355</v>
      </c>
      <c r="GP87" s="171" t="s">
        <v>2356</v>
      </c>
      <c r="GQ87" s="172" t="s">
        <v>2357</v>
      </c>
      <c r="GR87" s="171" t="s">
        <v>2358</v>
      </c>
      <c r="GS87" s="171" t="s">
        <v>2359</v>
      </c>
      <c r="GT87" s="171" t="s">
        <v>2360</v>
      </c>
      <c r="GU87" s="172" t="s">
        <v>2361</v>
      </c>
      <c r="GV87" s="6" t="s">
        <v>2480</v>
      </c>
      <c r="HJ87" s="168"/>
      <c r="HM87" s="157"/>
      <c r="HS87" s="93"/>
      <c r="HX87" s="85"/>
      <c r="ID87" s="168"/>
      <c r="IE87" s="2" t="s">
        <v>2925</v>
      </c>
      <c r="IF87" s="2" t="s">
        <v>3067</v>
      </c>
      <c r="IG87" s="3" t="s">
        <v>2432</v>
      </c>
      <c r="IH87" s="3" t="s">
        <v>2432</v>
      </c>
      <c r="II87" s="3" t="s">
        <v>2432</v>
      </c>
      <c r="IJ87" s="3" t="s">
        <v>2432</v>
      </c>
      <c r="IK87" s="3" t="s">
        <v>2432</v>
      </c>
      <c r="IL87" s="3" t="s">
        <v>2432</v>
      </c>
      <c r="IM87" s="3" t="s">
        <v>2432</v>
      </c>
      <c r="IN87" s="3" t="s">
        <v>2432</v>
      </c>
      <c r="JH87" s="175" t="s">
        <v>3060</v>
      </c>
      <c r="JI87" s="171" t="s">
        <v>2354</v>
      </c>
      <c r="JJ87" s="171" t="s">
        <v>2355</v>
      </c>
      <c r="JK87" s="171" t="s">
        <v>2356</v>
      </c>
      <c r="JL87" s="172" t="s">
        <v>2357</v>
      </c>
      <c r="JM87" s="171" t="s">
        <v>2358</v>
      </c>
      <c r="JN87" s="171" t="s">
        <v>2359</v>
      </c>
      <c r="JO87" s="171" t="s">
        <v>2360</v>
      </c>
      <c r="JP87" s="172" t="s">
        <v>2361</v>
      </c>
      <c r="JQ87" s="6" t="s">
        <v>2480</v>
      </c>
      <c r="KB87" s="136"/>
      <c r="KC87" s="3"/>
      <c r="KD87" s="3"/>
      <c r="KE87" s="3"/>
      <c r="KF87" s="136"/>
      <c r="KG87" s="136"/>
      <c r="KH87" s="175" t="s">
        <v>3060</v>
      </c>
      <c r="KI87" s="171" t="s">
        <v>2354</v>
      </c>
      <c r="KJ87" s="171" t="s">
        <v>2355</v>
      </c>
      <c r="KK87" s="171" t="s">
        <v>2356</v>
      </c>
      <c r="KL87" s="172" t="s">
        <v>2357</v>
      </c>
      <c r="KM87" s="171" t="s">
        <v>2358</v>
      </c>
      <c r="KN87" s="171" t="s">
        <v>2359</v>
      </c>
      <c r="KO87" s="171" t="s">
        <v>2360</v>
      </c>
      <c r="KP87" s="172" t="s">
        <v>2361</v>
      </c>
      <c r="KQ87" s="6" t="s">
        <v>2480</v>
      </c>
      <c r="LE87" s="168"/>
      <c r="LF87" s="3"/>
      <c r="LG87" s="2"/>
      <c r="LH87" s="157"/>
      <c r="LI87" s="3"/>
      <c r="LJ87" s="3"/>
      <c r="LK87" s="3"/>
      <c r="LL87" s="3"/>
      <c r="LM87" s="2"/>
      <c r="LN87" s="93"/>
      <c r="LO87" s="3"/>
      <c r="LP87" s="3"/>
      <c r="LQ87" s="3"/>
      <c r="LR87" s="2"/>
      <c r="LS87" s="85"/>
      <c r="LT87" s="3"/>
      <c r="LU87" s="3"/>
      <c r="LV87" s="3"/>
      <c r="LW87" s="3"/>
      <c r="LX87" s="2"/>
      <c r="LY87" s="168"/>
      <c r="LZ87" s="2" t="s">
        <v>2925</v>
      </c>
      <c r="MA87" s="2" t="s">
        <v>3067</v>
      </c>
      <c r="MB87" s="3" t="s">
        <v>2432</v>
      </c>
      <c r="MC87" s="3" t="s">
        <v>2432</v>
      </c>
      <c r="MD87" s="3" t="s">
        <v>2432</v>
      </c>
      <c r="ME87" s="3" t="s">
        <v>2432</v>
      </c>
      <c r="MF87" s="3" t="s">
        <v>2432</v>
      </c>
      <c r="MG87" s="3" t="s">
        <v>2432</v>
      </c>
      <c r="MH87" s="3" t="s">
        <v>2432</v>
      </c>
      <c r="MI87" s="3" t="s">
        <v>2432</v>
      </c>
      <c r="MJ87" s="2"/>
      <c r="NL87" s="3"/>
      <c r="NM87" s="3"/>
      <c r="NN87" s="3"/>
      <c r="NO87" s="3"/>
      <c r="NP87" s="3"/>
      <c r="NQ87" s="3"/>
      <c r="NR87" s="3"/>
      <c r="NS87" s="3"/>
    </row>
    <row r="88" spans="39:383" ht="180">
      <c r="AM88" s="275">
        <v>45808</v>
      </c>
      <c r="AN88" s="276" t="s">
        <v>3031</v>
      </c>
      <c r="AO88" s="276"/>
      <c r="AP88" s="276"/>
      <c r="AS88" s="275">
        <v>45836</v>
      </c>
      <c r="AT88" s="276" t="s">
        <v>3031</v>
      </c>
      <c r="AU88" s="276"/>
      <c r="AV88" s="276"/>
      <c r="DI88" s="81"/>
      <c r="DJ88" s="81"/>
      <c r="DK88" s="81"/>
      <c r="DL88" s="81"/>
      <c r="DM88" s="81"/>
      <c r="GM88" s="184" t="s">
        <v>2525</v>
      </c>
      <c r="GN88" s="173">
        <f t="shared" ref="GN88:GU88" si="119">COUNTIFS($BA$2:$BA$425,"ΜΠΟΥΧΑΛΑΚΗΣ ΕΜΜΑΝΟΥΗΛ",IG$2:IG$425,"κακή")</f>
        <v>0</v>
      </c>
      <c r="GO88" s="173">
        <f t="shared" si="119"/>
        <v>0</v>
      </c>
      <c r="GP88" s="173">
        <f t="shared" si="119"/>
        <v>0</v>
      </c>
      <c r="GQ88" s="173">
        <f t="shared" si="119"/>
        <v>0</v>
      </c>
      <c r="GR88" s="173">
        <f t="shared" si="119"/>
        <v>0</v>
      </c>
      <c r="GS88" s="173">
        <f t="shared" si="119"/>
        <v>0</v>
      </c>
      <c r="GT88" s="173">
        <f t="shared" si="119"/>
        <v>0</v>
      </c>
      <c r="GU88" s="173">
        <f t="shared" si="119"/>
        <v>0</v>
      </c>
      <c r="GV88" s="170">
        <f>SUM(GR88:GU88)</f>
        <v>0</v>
      </c>
      <c r="HJ88" s="168"/>
      <c r="HM88" s="157"/>
      <c r="HS88" s="93"/>
      <c r="HX88" s="85"/>
      <c r="ID88" s="168"/>
      <c r="IE88" s="2" t="s">
        <v>2430</v>
      </c>
      <c r="IF88" s="2" t="s">
        <v>2436</v>
      </c>
      <c r="IG88" s="3" t="s">
        <v>2433</v>
      </c>
      <c r="IH88" s="3" t="s">
        <v>2433</v>
      </c>
      <c r="II88" s="3" t="s">
        <v>2432</v>
      </c>
      <c r="IJ88" s="3" t="s">
        <v>2431</v>
      </c>
      <c r="IK88" s="3" t="s">
        <v>2433</v>
      </c>
      <c r="IL88" s="3" t="s">
        <v>2433</v>
      </c>
      <c r="IM88" s="3" t="s">
        <v>2433</v>
      </c>
      <c r="IN88" s="3" t="s">
        <v>2433</v>
      </c>
      <c r="JH88" s="184" t="s">
        <v>2525</v>
      </c>
      <c r="JI88" s="173" t="e">
        <f>#REF!</f>
        <v>#REF!</v>
      </c>
      <c r="JJ88" s="173" t="e">
        <f>#REF!</f>
        <v>#REF!</v>
      </c>
      <c r="JK88" s="173" t="e">
        <f>#REF!</f>
        <v>#REF!</v>
      </c>
      <c r="JL88" s="173" t="e">
        <f>#REF!</f>
        <v>#REF!</v>
      </c>
      <c r="JM88" s="173" t="e">
        <f>#REF!</f>
        <v>#REF!</v>
      </c>
      <c r="JN88" s="173" t="e">
        <f>#REF!</f>
        <v>#REF!</v>
      </c>
      <c r="JO88" s="173" t="e">
        <f>#REF!</f>
        <v>#REF!</v>
      </c>
      <c r="JP88" s="173" t="e">
        <f>#REF!</f>
        <v>#REF!</v>
      </c>
      <c r="JQ88" s="170" t="e">
        <f>SUM(JM88:JP88)</f>
        <v>#REF!</v>
      </c>
      <c r="KB88" s="136"/>
      <c r="KC88" s="3"/>
      <c r="KD88" s="3"/>
      <c r="KE88" s="3"/>
      <c r="KF88" s="136"/>
      <c r="KG88" s="136"/>
      <c r="KH88" s="184" t="s">
        <v>2525</v>
      </c>
      <c r="KI88" s="173">
        <f t="shared" ref="KI88:KP88" si="120">COUNTIFS($BA$2:$BA$425,"ΜΠΟΥΧΑΛΑΚΗΣ ΕΜΜΑΝΟΥΗΛ",MB$2:MB$425,"κακή")</f>
        <v>0</v>
      </c>
      <c r="KJ88" s="173">
        <f t="shared" si="120"/>
        <v>0</v>
      </c>
      <c r="KK88" s="173">
        <f t="shared" si="120"/>
        <v>0</v>
      </c>
      <c r="KL88" s="173">
        <f t="shared" si="120"/>
        <v>0</v>
      </c>
      <c r="KM88" s="173">
        <f t="shared" si="120"/>
        <v>0</v>
      </c>
      <c r="KN88" s="173">
        <f t="shared" si="120"/>
        <v>0</v>
      </c>
      <c r="KO88" s="173">
        <f t="shared" si="120"/>
        <v>0</v>
      </c>
      <c r="KP88" s="173">
        <f t="shared" si="120"/>
        <v>0</v>
      </c>
      <c r="KQ88" s="170">
        <f>SUM(KM88:KP88)</f>
        <v>0</v>
      </c>
      <c r="LE88" s="168"/>
      <c r="LF88" s="3"/>
      <c r="LG88" s="2"/>
      <c r="LH88" s="157"/>
      <c r="LI88" s="3"/>
      <c r="LJ88" s="3"/>
      <c r="LK88" s="3"/>
      <c r="LL88" s="3"/>
      <c r="LM88" s="2"/>
      <c r="LN88" s="93"/>
      <c r="LO88" s="3"/>
      <c r="LP88" s="3"/>
      <c r="LQ88" s="3"/>
      <c r="LR88" s="2"/>
      <c r="LS88" s="85"/>
      <c r="LT88" s="3"/>
      <c r="LU88" s="3"/>
      <c r="LV88" s="3"/>
      <c r="LW88" s="3"/>
      <c r="LX88" s="2"/>
      <c r="LY88" s="168"/>
      <c r="LZ88" s="2" t="s">
        <v>2430</v>
      </c>
      <c r="MA88" s="2" t="s">
        <v>2436</v>
      </c>
      <c r="MB88" s="3" t="s">
        <v>2433</v>
      </c>
      <c r="MC88" s="3" t="s">
        <v>2433</v>
      </c>
      <c r="MD88" s="3" t="s">
        <v>2432</v>
      </c>
      <c r="ME88" s="3" t="s">
        <v>2431</v>
      </c>
      <c r="MF88" s="3" t="s">
        <v>2433</v>
      </c>
      <c r="MG88" s="3" t="s">
        <v>2433</v>
      </c>
      <c r="MH88" s="3" t="s">
        <v>2433</v>
      </c>
      <c r="MI88" s="3" t="s">
        <v>2433</v>
      </c>
      <c r="MJ88" s="2"/>
      <c r="NL88" s="3"/>
      <c r="NM88" s="3"/>
      <c r="NN88" s="3"/>
      <c r="NO88" s="3"/>
      <c r="NP88" s="3"/>
      <c r="NQ88" s="3"/>
      <c r="NR88" s="3"/>
      <c r="NS88" s="3"/>
    </row>
    <row r="89" spans="39:383" ht="180">
      <c r="AS89" s="272"/>
      <c r="AT89" s="272"/>
      <c r="DI89" s="81"/>
      <c r="DJ89" s="81"/>
      <c r="DK89" s="81"/>
      <c r="DL89" s="81"/>
      <c r="DM89" s="81"/>
      <c r="GM89" s="184" t="s">
        <v>2435</v>
      </c>
      <c r="GN89" s="173">
        <f t="shared" ref="GN89:GU89" si="121">COUNTIFS($BA$2:$BA$425,"ΜΠΟΥΧΑΛΑΚΗΣ ΕΜΜΑΝΟΥΗΛ",IG$2:IG$425,"μέτρια")</f>
        <v>0</v>
      </c>
      <c r="GO89" s="173">
        <f t="shared" si="121"/>
        <v>0</v>
      </c>
      <c r="GP89" s="173">
        <f t="shared" si="121"/>
        <v>0</v>
      </c>
      <c r="GQ89" s="173">
        <f t="shared" si="121"/>
        <v>0</v>
      </c>
      <c r="GR89" s="173">
        <f t="shared" si="121"/>
        <v>0</v>
      </c>
      <c r="GS89" s="173">
        <f t="shared" si="121"/>
        <v>0</v>
      </c>
      <c r="GT89" s="173">
        <f t="shared" si="121"/>
        <v>0</v>
      </c>
      <c r="GU89" s="173">
        <f t="shared" si="121"/>
        <v>0</v>
      </c>
      <c r="GV89" s="170">
        <f>SUM(GR89:GU89)</f>
        <v>0</v>
      </c>
      <c r="HJ89" s="168"/>
      <c r="HM89" s="157"/>
      <c r="HS89" s="93"/>
      <c r="HX89" s="85"/>
      <c r="ID89" s="168"/>
      <c r="IE89" s="2" t="s">
        <v>2430</v>
      </c>
      <c r="IF89" s="2" t="s">
        <v>2779</v>
      </c>
      <c r="IG89" s="3" t="s">
        <v>2435</v>
      </c>
      <c r="IH89" s="3" t="s">
        <v>2435</v>
      </c>
      <c r="II89" s="3" t="s">
        <v>2435</v>
      </c>
      <c r="IJ89" s="3" t="s">
        <v>2435</v>
      </c>
      <c r="IK89" s="3" t="s">
        <v>2435</v>
      </c>
      <c r="IL89" s="3" t="s">
        <v>2435</v>
      </c>
      <c r="IM89" s="3" t="s">
        <v>2435</v>
      </c>
      <c r="IN89" s="3" t="s">
        <v>2434</v>
      </c>
      <c r="JH89" s="184" t="s">
        <v>2435</v>
      </c>
      <c r="JI89" s="173" t="e">
        <f>#REF!</f>
        <v>#REF!</v>
      </c>
      <c r="JJ89" s="173" t="e">
        <f>#REF!</f>
        <v>#REF!</v>
      </c>
      <c r="JK89" s="173" t="e">
        <f>#REF!</f>
        <v>#REF!</v>
      </c>
      <c r="JL89" s="173" t="e">
        <f>#REF!</f>
        <v>#REF!</v>
      </c>
      <c r="JM89" s="173" t="e">
        <f>#REF!</f>
        <v>#REF!</v>
      </c>
      <c r="JN89" s="173" t="e">
        <f>#REF!</f>
        <v>#REF!</v>
      </c>
      <c r="JO89" s="173" t="e">
        <f>#REF!</f>
        <v>#REF!</v>
      </c>
      <c r="JP89" s="173" t="e">
        <f>#REF!</f>
        <v>#REF!</v>
      </c>
      <c r="JQ89" s="170" t="e">
        <f>SUM(JM89:JP89)</f>
        <v>#REF!</v>
      </c>
      <c r="KB89" s="136"/>
      <c r="KC89" s="3"/>
      <c r="KD89" s="3"/>
      <c r="KE89" s="3"/>
      <c r="KF89" s="136"/>
      <c r="KG89" s="136"/>
      <c r="KH89" s="184" t="s">
        <v>2435</v>
      </c>
      <c r="KI89" s="173">
        <f t="shared" ref="KI89:KP89" si="122">COUNTIFS($BA$2:$BA$425,"ΜΠΟΥΧΑΛΑΚΗΣ ΕΜΜΑΝΟΥΗΛ",MB$2:MB$425,"μέτρια")</f>
        <v>0</v>
      </c>
      <c r="KJ89" s="173">
        <f t="shared" si="122"/>
        <v>0</v>
      </c>
      <c r="KK89" s="173">
        <f t="shared" si="122"/>
        <v>0</v>
      </c>
      <c r="KL89" s="173">
        <f t="shared" si="122"/>
        <v>0</v>
      </c>
      <c r="KM89" s="173">
        <f t="shared" si="122"/>
        <v>0</v>
      </c>
      <c r="KN89" s="173">
        <f t="shared" si="122"/>
        <v>0</v>
      </c>
      <c r="KO89" s="173">
        <f t="shared" si="122"/>
        <v>0</v>
      </c>
      <c r="KP89" s="173">
        <f t="shared" si="122"/>
        <v>0</v>
      </c>
      <c r="KQ89" s="170">
        <f>SUM(KM89:KP89)</f>
        <v>0</v>
      </c>
      <c r="LE89" s="168"/>
      <c r="LF89" s="3"/>
      <c r="LG89" s="2"/>
      <c r="LH89" s="157"/>
      <c r="LI89" s="3"/>
      <c r="LJ89" s="3"/>
      <c r="LK89" s="3"/>
      <c r="LL89" s="3"/>
      <c r="LM89" s="2"/>
      <c r="LN89" s="93"/>
      <c r="LO89" s="3"/>
      <c r="LP89" s="3"/>
      <c r="LQ89" s="3"/>
      <c r="LR89" s="2"/>
      <c r="LS89" s="85"/>
      <c r="LT89" s="3"/>
      <c r="LU89" s="3"/>
      <c r="LV89" s="3"/>
      <c r="LW89" s="3"/>
      <c r="LX89" s="2"/>
      <c r="LY89" s="168"/>
      <c r="LZ89" s="2" t="s">
        <v>2430</v>
      </c>
      <c r="MA89" s="2" t="s">
        <v>2779</v>
      </c>
      <c r="MB89" s="3" t="s">
        <v>2435</v>
      </c>
      <c r="MC89" s="3" t="s">
        <v>2435</v>
      </c>
      <c r="MD89" s="3" t="s">
        <v>2435</v>
      </c>
      <c r="ME89" s="3" t="s">
        <v>2435</v>
      </c>
      <c r="MF89" s="3" t="s">
        <v>2435</v>
      </c>
      <c r="MG89" s="3" t="s">
        <v>2435</v>
      </c>
      <c r="MH89" s="3" t="s">
        <v>2435</v>
      </c>
      <c r="MI89" s="3" t="s">
        <v>2434</v>
      </c>
      <c r="MJ89" s="2"/>
      <c r="NL89" s="3"/>
      <c r="NM89" s="3"/>
      <c r="NN89" s="3"/>
      <c r="NO89" s="3"/>
      <c r="NP89" s="3"/>
      <c r="NQ89" s="3"/>
      <c r="NR89" s="3"/>
      <c r="NS89" s="3"/>
    </row>
    <row r="90" spans="39:383" ht="180">
      <c r="AS90" s="272"/>
      <c r="AT90" s="272"/>
      <c r="DI90" s="81"/>
      <c r="DJ90" s="81"/>
      <c r="DK90" s="81"/>
      <c r="DL90" s="81"/>
      <c r="DM90" s="81"/>
      <c r="GM90" s="184" t="s">
        <v>2603</v>
      </c>
      <c r="GN90" s="173">
        <f t="shared" ref="GN90:GU90" si="123">COUNTIFS($BA$2:$BA$425,"ΜΠΟΥΧΑΛΑΚΗΣ ΕΜΜΑΝΟΥΗΛ",IG$2:IG$425,"καλή")</f>
        <v>0</v>
      </c>
      <c r="GO90" s="173">
        <f t="shared" si="123"/>
        <v>0</v>
      </c>
      <c r="GP90" s="173">
        <f t="shared" si="123"/>
        <v>0</v>
      </c>
      <c r="GQ90" s="173">
        <f t="shared" si="123"/>
        <v>0</v>
      </c>
      <c r="GR90" s="173">
        <f t="shared" si="123"/>
        <v>0</v>
      </c>
      <c r="GS90" s="173">
        <f t="shared" si="123"/>
        <v>0</v>
      </c>
      <c r="GT90" s="173">
        <f t="shared" si="123"/>
        <v>0</v>
      </c>
      <c r="GU90" s="173">
        <f t="shared" si="123"/>
        <v>0</v>
      </c>
      <c r="GV90" s="199">
        <f>SUM(GR90:GU90)</f>
        <v>0</v>
      </c>
      <c r="HJ90" s="168"/>
      <c r="HM90" s="157"/>
      <c r="HS90" s="93"/>
      <c r="HX90" s="85"/>
      <c r="ID90" s="168"/>
      <c r="IE90" s="2" t="s">
        <v>2777</v>
      </c>
      <c r="IF90" s="2" t="s">
        <v>2436</v>
      </c>
      <c r="IG90" s="3" t="s">
        <v>2432</v>
      </c>
      <c r="IH90" s="3" t="s">
        <v>2432</v>
      </c>
      <c r="II90" s="3" t="s">
        <v>2432</v>
      </c>
      <c r="IJ90" s="3" t="s">
        <v>2432</v>
      </c>
      <c r="IK90" s="3" t="s">
        <v>2432</v>
      </c>
      <c r="IL90" s="3" t="s">
        <v>2432</v>
      </c>
      <c r="IM90" s="3" t="s">
        <v>2432</v>
      </c>
      <c r="IN90" s="3" t="s">
        <v>2432</v>
      </c>
      <c r="IO90" s="2" t="s">
        <v>3068</v>
      </c>
      <c r="JH90" s="184" t="s">
        <v>2603</v>
      </c>
      <c r="JI90" s="173" t="e">
        <f>#REF!</f>
        <v>#REF!</v>
      </c>
      <c r="JJ90" s="173" t="e">
        <f>#REF!</f>
        <v>#REF!</v>
      </c>
      <c r="JK90" s="173" t="e">
        <f>#REF!</f>
        <v>#REF!</v>
      </c>
      <c r="JL90" s="173" t="e">
        <f>#REF!</f>
        <v>#REF!</v>
      </c>
      <c r="JM90" s="173" t="e">
        <f>#REF!</f>
        <v>#REF!</v>
      </c>
      <c r="JN90" s="173" t="e">
        <f>#REF!</f>
        <v>#REF!</v>
      </c>
      <c r="JO90" s="173" t="e">
        <f>#REF!</f>
        <v>#REF!</v>
      </c>
      <c r="JP90" s="173" t="e">
        <f>#REF!</f>
        <v>#REF!</v>
      </c>
      <c r="JQ90" s="199" t="e">
        <f>SUM(JM90:JP90)</f>
        <v>#REF!</v>
      </c>
      <c r="KB90" s="136"/>
      <c r="KC90" s="3"/>
      <c r="KD90" s="3"/>
      <c r="KE90" s="3"/>
      <c r="KF90" s="136"/>
      <c r="KG90" s="136"/>
      <c r="KH90" s="184" t="s">
        <v>2603</v>
      </c>
      <c r="KI90" s="173">
        <f t="shared" ref="KI90:KP90" si="124">COUNTIFS($BA$2:$BA$425,"ΜΠΟΥΧΑΛΑΚΗΣ ΕΜΜΑΝΟΥΗΛ",MB$2:MB$425,"καλή")</f>
        <v>0</v>
      </c>
      <c r="KJ90" s="173">
        <f t="shared" si="124"/>
        <v>0</v>
      </c>
      <c r="KK90" s="173">
        <f t="shared" si="124"/>
        <v>0</v>
      </c>
      <c r="KL90" s="173">
        <f t="shared" si="124"/>
        <v>0</v>
      </c>
      <c r="KM90" s="173">
        <f t="shared" si="124"/>
        <v>0</v>
      </c>
      <c r="KN90" s="173">
        <f t="shared" si="124"/>
        <v>0</v>
      </c>
      <c r="KO90" s="173">
        <f t="shared" si="124"/>
        <v>0</v>
      </c>
      <c r="KP90" s="173">
        <f t="shared" si="124"/>
        <v>0</v>
      </c>
      <c r="KQ90" s="199">
        <f>SUM(KM90:KP90)</f>
        <v>0</v>
      </c>
      <c r="LE90" s="168"/>
      <c r="LF90" s="3"/>
      <c r="LG90" s="2"/>
      <c r="LH90" s="157"/>
      <c r="LI90" s="3"/>
      <c r="LJ90" s="3"/>
      <c r="LK90" s="3"/>
      <c r="LL90" s="3"/>
      <c r="LM90" s="2"/>
      <c r="LN90" s="93"/>
      <c r="LO90" s="3"/>
      <c r="LP90" s="3"/>
      <c r="LQ90" s="3"/>
      <c r="LR90" s="2"/>
      <c r="LS90" s="85"/>
      <c r="LT90" s="3"/>
      <c r="LU90" s="3"/>
      <c r="LV90" s="3"/>
      <c r="LW90" s="3"/>
      <c r="LX90" s="2"/>
      <c r="LY90" s="168"/>
      <c r="LZ90" s="2" t="s">
        <v>2777</v>
      </c>
      <c r="MA90" s="2" t="s">
        <v>2436</v>
      </c>
      <c r="MB90" s="3" t="s">
        <v>2432</v>
      </c>
      <c r="MC90" s="3" t="s">
        <v>2432</v>
      </c>
      <c r="MD90" s="3" t="s">
        <v>2432</v>
      </c>
      <c r="ME90" s="3" t="s">
        <v>2432</v>
      </c>
      <c r="MF90" s="3" t="s">
        <v>2432</v>
      </c>
      <c r="MG90" s="3" t="s">
        <v>2432</v>
      </c>
      <c r="MH90" s="3" t="s">
        <v>2432</v>
      </c>
      <c r="MI90" s="3" t="s">
        <v>2432</v>
      </c>
      <c r="MJ90" s="2" t="s">
        <v>3068</v>
      </c>
      <c r="NL90" s="3"/>
      <c r="NM90" s="3"/>
      <c r="NN90" s="3"/>
      <c r="NO90" s="3"/>
      <c r="NP90" s="3"/>
      <c r="NQ90" s="3"/>
      <c r="NR90" s="3"/>
      <c r="NS90" s="3"/>
    </row>
    <row r="91" spans="39:383" ht="180">
      <c r="AM91" s="1305" t="s">
        <v>1992</v>
      </c>
      <c r="AN91" s="1305" t="s">
        <v>437</v>
      </c>
      <c r="AO91" s="1304" t="s">
        <v>1993</v>
      </c>
      <c r="AP91" s="1304" t="s">
        <v>1994</v>
      </c>
      <c r="AS91" s="1304" t="s">
        <v>1992</v>
      </c>
      <c r="AT91" s="1305" t="s">
        <v>437</v>
      </c>
      <c r="AU91" s="1304" t="s">
        <v>1993</v>
      </c>
      <c r="AV91" s="1304" t="s">
        <v>1994</v>
      </c>
      <c r="DI91" s="81"/>
      <c r="DJ91" s="81"/>
      <c r="DK91" s="81"/>
      <c r="DL91" s="81"/>
      <c r="DM91" s="81"/>
      <c r="GM91" s="184" t="s">
        <v>2639</v>
      </c>
      <c r="GN91" s="173">
        <f t="shared" ref="GN91:GU91" si="125">COUNTIFS($BA$2:$BA$425,"ΜΠΟΥΧΑΛΑΚΗΣ ΕΜΜΑΝΟΥΗΛ",IG$2:IG$425,"πολύ καλή")</f>
        <v>0</v>
      </c>
      <c r="GO91" s="173">
        <f t="shared" si="125"/>
        <v>0</v>
      </c>
      <c r="GP91" s="173">
        <f t="shared" si="125"/>
        <v>0</v>
      </c>
      <c r="GQ91" s="173">
        <f t="shared" si="125"/>
        <v>0</v>
      </c>
      <c r="GR91" s="173">
        <f t="shared" si="125"/>
        <v>0</v>
      </c>
      <c r="GS91" s="173">
        <f t="shared" si="125"/>
        <v>0</v>
      </c>
      <c r="GT91" s="173">
        <f t="shared" si="125"/>
        <v>0</v>
      </c>
      <c r="GU91" s="173">
        <f t="shared" si="125"/>
        <v>0</v>
      </c>
      <c r="GV91" s="199">
        <f>SUM(GR91:GU91)</f>
        <v>0</v>
      </c>
      <c r="HJ91" s="168"/>
      <c r="HM91" s="157"/>
      <c r="HS91" s="93"/>
      <c r="HX91" s="85"/>
      <c r="ID91" s="168"/>
      <c r="IE91" s="2" t="s">
        <v>2777</v>
      </c>
      <c r="IF91" s="2" t="s">
        <v>2436</v>
      </c>
      <c r="IG91" s="3" t="s">
        <v>2431</v>
      </c>
      <c r="IH91" s="3" t="s">
        <v>2431</v>
      </c>
      <c r="II91" s="3" t="s">
        <v>2431</v>
      </c>
      <c r="IJ91" s="3" t="s">
        <v>2431</v>
      </c>
      <c r="IK91" s="3" t="s">
        <v>2431</v>
      </c>
      <c r="IL91" s="3" t="s">
        <v>2431</v>
      </c>
      <c r="IM91" s="3" t="s">
        <v>2431</v>
      </c>
      <c r="IN91" s="3" t="s">
        <v>2431</v>
      </c>
      <c r="JH91" s="184" t="s">
        <v>2639</v>
      </c>
      <c r="JI91" s="173" t="e">
        <f>#REF!</f>
        <v>#REF!</v>
      </c>
      <c r="JJ91" s="173" t="e">
        <f>#REF!</f>
        <v>#REF!</v>
      </c>
      <c r="JK91" s="173" t="e">
        <f>#REF!</f>
        <v>#REF!</v>
      </c>
      <c r="JL91" s="173" t="e">
        <f>#REF!</f>
        <v>#REF!</v>
      </c>
      <c r="JM91" s="173" t="e">
        <f>#REF!</f>
        <v>#REF!</v>
      </c>
      <c r="JN91" s="173" t="e">
        <f>#REF!</f>
        <v>#REF!</v>
      </c>
      <c r="JO91" s="173" t="e">
        <f>#REF!</f>
        <v>#REF!</v>
      </c>
      <c r="JP91" s="173" t="e">
        <f>#REF!</f>
        <v>#REF!</v>
      </c>
      <c r="JQ91" s="199" t="e">
        <f>SUM(JM91:JP91)</f>
        <v>#REF!</v>
      </c>
      <c r="KB91" s="136"/>
      <c r="KC91" s="3"/>
      <c r="KD91" s="3"/>
      <c r="KE91" s="3"/>
      <c r="KF91" s="136"/>
      <c r="KG91" s="136"/>
      <c r="KH91" s="184" t="s">
        <v>2639</v>
      </c>
      <c r="KI91" s="173">
        <f t="shared" ref="KI91:KP91" si="126">COUNTIFS($BA$2:$BA$425,"ΜΠΟΥΧΑΛΑΚΗΣ ΕΜΜΑΝΟΥΗΛ",MB$2:MB$425,"πολύ καλή")</f>
        <v>0</v>
      </c>
      <c r="KJ91" s="173">
        <f t="shared" si="126"/>
        <v>0</v>
      </c>
      <c r="KK91" s="173">
        <f t="shared" si="126"/>
        <v>0</v>
      </c>
      <c r="KL91" s="173">
        <f t="shared" si="126"/>
        <v>0</v>
      </c>
      <c r="KM91" s="173">
        <f t="shared" si="126"/>
        <v>0</v>
      </c>
      <c r="KN91" s="173">
        <f t="shared" si="126"/>
        <v>0</v>
      </c>
      <c r="KO91" s="173">
        <f t="shared" si="126"/>
        <v>0</v>
      </c>
      <c r="KP91" s="173">
        <f t="shared" si="126"/>
        <v>0</v>
      </c>
      <c r="KQ91" s="199">
        <f>SUM(KM91:KP91)</f>
        <v>0</v>
      </c>
      <c r="LE91" s="168"/>
      <c r="LF91" s="3"/>
      <c r="LG91" s="2"/>
      <c r="LH91" s="157"/>
      <c r="LI91" s="3"/>
      <c r="LJ91" s="3"/>
      <c r="LK91" s="3"/>
      <c r="LL91" s="3"/>
      <c r="LM91" s="2"/>
      <c r="LN91" s="93"/>
      <c r="LO91" s="3"/>
      <c r="LP91" s="3"/>
      <c r="LQ91" s="3"/>
      <c r="LR91" s="2"/>
      <c r="LS91" s="85"/>
      <c r="LT91" s="3"/>
      <c r="LU91" s="3"/>
      <c r="LV91" s="3"/>
      <c r="LW91" s="3"/>
      <c r="LX91" s="2"/>
      <c r="LY91" s="168"/>
      <c r="LZ91" s="2" t="s">
        <v>2777</v>
      </c>
      <c r="MA91" s="2" t="s">
        <v>2436</v>
      </c>
      <c r="MB91" s="3" t="s">
        <v>2431</v>
      </c>
      <c r="MC91" s="3" t="s">
        <v>2431</v>
      </c>
      <c r="MD91" s="3" t="s">
        <v>2431</v>
      </c>
      <c r="ME91" s="3" t="s">
        <v>2431</v>
      </c>
      <c r="MF91" s="3" t="s">
        <v>2431</v>
      </c>
      <c r="MG91" s="3" t="s">
        <v>2431</v>
      </c>
      <c r="MH91" s="3" t="s">
        <v>2431</v>
      </c>
      <c r="MI91" s="3" t="s">
        <v>2431</v>
      </c>
      <c r="MJ91" s="2"/>
      <c r="NL91" s="3"/>
      <c r="NM91" s="3"/>
      <c r="NN91" s="3"/>
      <c r="NO91" s="3"/>
      <c r="NP91" s="3"/>
      <c r="NQ91" s="3"/>
      <c r="NR91" s="3"/>
      <c r="NS91" s="3"/>
    </row>
    <row r="92" spans="39:383" ht="180.75" thickBot="1">
      <c r="AM92" s="1306"/>
      <c r="AN92" s="1306"/>
      <c r="AO92" s="1304"/>
      <c r="AP92" s="1304"/>
      <c r="AS92" s="1304"/>
      <c r="AT92" s="1306"/>
      <c r="AU92" s="1304"/>
      <c r="AV92" s="1304"/>
      <c r="DI92" s="81"/>
      <c r="DJ92" s="81"/>
      <c r="DK92" s="81"/>
      <c r="DL92" s="81"/>
      <c r="DM92" s="81"/>
      <c r="GM92" s="185" t="s">
        <v>2431</v>
      </c>
      <c r="GN92" s="187">
        <f t="shared" ref="GN92:GU92" si="127">COUNTIFS($BA$2:$BA$425,"ΜΠΟΥΧΑΛΑΚΗΣ ΕΜΜΑΝΟΥΗΛ",IG$2:IG$425,"άριστη")</f>
        <v>0</v>
      </c>
      <c r="GO92" s="187">
        <f t="shared" si="127"/>
        <v>0</v>
      </c>
      <c r="GP92" s="187">
        <f t="shared" si="127"/>
        <v>0</v>
      </c>
      <c r="GQ92" s="187">
        <f t="shared" si="127"/>
        <v>0</v>
      </c>
      <c r="GR92" s="187">
        <f t="shared" si="127"/>
        <v>0</v>
      </c>
      <c r="GS92" s="187">
        <f t="shared" si="127"/>
        <v>0</v>
      </c>
      <c r="GT92" s="187">
        <f t="shared" si="127"/>
        <v>0</v>
      </c>
      <c r="GU92" s="187">
        <f t="shared" si="127"/>
        <v>0</v>
      </c>
      <c r="GV92" s="199">
        <f>SUM(GR92:GU92)</f>
        <v>0</v>
      </c>
      <c r="HJ92" s="168"/>
      <c r="HM92" s="157"/>
      <c r="HS92" s="93"/>
      <c r="HX92" s="85"/>
      <c r="ID92" s="168"/>
      <c r="IE92" s="2" t="s">
        <v>2777</v>
      </c>
      <c r="IF92" s="2" t="s">
        <v>2710</v>
      </c>
      <c r="IG92" s="3" t="s">
        <v>2435</v>
      </c>
      <c r="IH92" s="3" t="s">
        <v>2434</v>
      </c>
      <c r="II92" s="3" t="s">
        <v>2434</v>
      </c>
      <c r="IJ92" s="3" t="s">
        <v>2435</v>
      </c>
      <c r="IK92" s="3" t="s">
        <v>2434</v>
      </c>
      <c r="IL92" s="3" t="s">
        <v>2435</v>
      </c>
      <c r="IM92" s="3" t="s">
        <v>2435</v>
      </c>
      <c r="IN92" s="3" t="s">
        <v>2434</v>
      </c>
      <c r="IO92" s="2" t="s">
        <v>3069</v>
      </c>
      <c r="JH92" s="185" t="s">
        <v>2431</v>
      </c>
      <c r="JI92" s="173" t="e">
        <f>#REF!</f>
        <v>#REF!</v>
      </c>
      <c r="JJ92" s="173" t="e">
        <f>#REF!</f>
        <v>#REF!</v>
      </c>
      <c r="JK92" s="173" t="e">
        <f>#REF!</f>
        <v>#REF!</v>
      </c>
      <c r="JL92" s="173" t="e">
        <f>#REF!</f>
        <v>#REF!</v>
      </c>
      <c r="JM92" s="173" t="e">
        <f>#REF!</f>
        <v>#REF!</v>
      </c>
      <c r="JN92" s="173" t="e">
        <f>#REF!</f>
        <v>#REF!</v>
      </c>
      <c r="JO92" s="173" t="e">
        <f>#REF!</f>
        <v>#REF!</v>
      </c>
      <c r="JP92" s="173" t="e">
        <f>#REF!</f>
        <v>#REF!</v>
      </c>
      <c r="JQ92" s="199" t="e">
        <f>SUM(JM92:JP92)</f>
        <v>#REF!</v>
      </c>
      <c r="KB92" s="136"/>
      <c r="KC92" s="3"/>
      <c r="KD92" s="3"/>
      <c r="KE92" s="3"/>
      <c r="KF92" s="136"/>
      <c r="KG92" s="136"/>
      <c r="KH92" s="185" t="s">
        <v>2431</v>
      </c>
      <c r="KI92" s="187">
        <f t="shared" ref="KI92:KP92" si="128">COUNTIFS($BA$2:$BA$425,"ΜΠΟΥΧΑΛΑΚΗΣ ΕΜΜΑΝΟΥΗΛ",MB$2:MB$425,"άριστη")</f>
        <v>0</v>
      </c>
      <c r="KJ92" s="187">
        <f t="shared" si="128"/>
        <v>0</v>
      </c>
      <c r="KK92" s="187">
        <f t="shared" si="128"/>
        <v>0</v>
      </c>
      <c r="KL92" s="187">
        <f t="shared" si="128"/>
        <v>0</v>
      </c>
      <c r="KM92" s="187">
        <f t="shared" si="128"/>
        <v>0</v>
      </c>
      <c r="KN92" s="187">
        <f t="shared" si="128"/>
        <v>0</v>
      </c>
      <c r="KO92" s="187">
        <f t="shared" si="128"/>
        <v>0</v>
      </c>
      <c r="KP92" s="187">
        <f t="shared" si="128"/>
        <v>0</v>
      </c>
      <c r="KQ92" s="199">
        <f>SUM(KM92:KP92)</f>
        <v>0</v>
      </c>
      <c r="LE92" s="168"/>
      <c r="LF92" s="3"/>
      <c r="LG92" s="2"/>
      <c r="LH92" s="157"/>
      <c r="LI92" s="3"/>
      <c r="LJ92" s="3"/>
      <c r="LK92" s="3"/>
      <c r="LL92" s="3"/>
      <c r="LM92" s="2"/>
      <c r="LN92" s="93"/>
      <c r="LO92" s="3"/>
      <c r="LP92" s="3"/>
      <c r="LQ92" s="3"/>
      <c r="LR92" s="2"/>
      <c r="LS92" s="85"/>
      <c r="LT92" s="3"/>
      <c r="LU92" s="3"/>
      <c r="LV92" s="3"/>
      <c r="LW92" s="3"/>
      <c r="LX92" s="2"/>
      <c r="LY92" s="168"/>
      <c r="LZ92" s="2" t="s">
        <v>2777</v>
      </c>
      <c r="MA92" s="2" t="s">
        <v>2710</v>
      </c>
      <c r="MB92" s="3" t="s">
        <v>2435</v>
      </c>
      <c r="MC92" s="3" t="s">
        <v>2434</v>
      </c>
      <c r="MD92" s="3" t="s">
        <v>2434</v>
      </c>
      <c r="ME92" s="3" t="s">
        <v>2435</v>
      </c>
      <c r="MF92" s="3" t="s">
        <v>2434</v>
      </c>
      <c r="MG92" s="3" t="s">
        <v>2435</v>
      </c>
      <c r="MH92" s="3" t="s">
        <v>2435</v>
      </c>
      <c r="MI92" s="3" t="s">
        <v>2434</v>
      </c>
      <c r="MJ92" s="2" t="s">
        <v>3069</v>
      </c>
      <c r="NL92" s="3"/>
      <c r="NM92" s="3"/>
      <c r="NN92" s="3"/>
      <c r="NO92" s="3"/>
      <c r="NP92" s="3"/>
      <c r="NQ92" s="3"/>
      <c r="NR92" s="3"/>
      <c r="NS92" s="3"/>
    </row>
    <row r="93" spans="39:383" ht="180">
      <c r="AM93" s="273">
        <v>45785</v>
      </c>
      <c r="AN93" s="274" t="s">
        <v>3070</v>
      </c>
      <c r="AO93" s="274"/>
      <c r="AP93" s="274"/>
      <c r="AS93" s="273">
        <v>45813</v>
      </c>
      <c r="AT93" s="274" t="s">
        <v>3070</v>
      </c>
      <c r="AU93" s="274"/>
      <c r="AV93" s="274"/>
      <c r="DI93" s="81"/>
      <c r="DJ93" s="81"/>
      <c r="DK93" s="81"/>
      <c r="DL93" s="81"/>
      <c r="DM93" s="81"/>
      <c r="GM93" s="186"/>
      <c r="GN93" s="170"/>
      <c r="GO93" s="170"/>
      <c r="GP93" s="170"/>
      <c r="GQ93" s="170"/>
      <c r="GR93" s="170"/>
      <c r="GS93" s="170"/>
      <c r="GT93" s="170"/>
      <c r="GU93" s="170"/>
      <c r="HJ93" s="168"/>
      <c r="HM93" s="157"/>
      <c r="HS93" s="93"/>
      <c r="HX93" s="85"/>
      <c r="ID93" s="168"/>
      <c r="IE93" s="2" t="s">
        <v>2777</v>
      </c>
      <c r="IF93" s="2" t="s">
        <v>2710</v>
      </c>
      <c r="IG93" s="3" t="s">
        <v>2433</v>
      </c>
      <c r="IH93" s="3" t="s">
        <v>2433</v>
      </c>
      <c r="II93" s="3" t="s">
        <v>2433</v>
      </c>
      <c r="IJ93" s="3" t="s">
        <v>2433</v>
      </c>
      <c r="IK93" s="3" t="s">
        <v>2433</v>
      </c>
      <c r="IL93" s="3" t="s">
        <v>2433</v>
      </c>
      <c r="IM93" s="3" t="s">
        <v>2433</v>
      </c>
      <c r="IN93" s="3" t="s">
        <v>2433</v>
      </c>
      <c r="JH93" s="186"/>
      <c r="JI93" s="170"/>
      <c r="JJ93" s="170"/>
      <c r="JK93" s="170"/>
      <c r="JL93" s="170"/>
      <c r="JM93" s="170"/>
      <c r="JN93" s="170"/>
      <c r="JO93" s="170"/>
      <c r="JP93" s="170"/>
      <c r="KB93" s="136"/>
      <c r="KC93" s="3"/>
      <c r="KD93" s="3"/>
      <c r="KE93" s="3"/>
      <c r="KF93" s="136"/>
      <c r="KG93" s="136"/>
      <c r="KH93" s="186"/>
      <c r="KI93" s="170"/>
      <c r="KJ93" s="170"/>
      <c r="KK93" s="170"/>
      <c r="KL93" s="170"/>
      <c r="KM93" s="170"/>
      <c r="KN93" s="170"/>
      <c r="KO93" s="170"/>
      <c r="KP93" s="170"/>
      <c r="LE93" s="168"/>
      <c r="LF93" s="3"/>
      <c r="LG93" s="2"/>
      <c r="LH93" s="157"/>
      <c r="LI93" s="3"/>
      <c r="LJ93" s="3"/>
      <c r="LK93" s="3"/>
      <c r="LL93" s="3"/>
      <c r="LM93" s="2"/>
      <c r="LN93" s="93"/>
      <c r="LO93" s="3"/>
      <c r="LP93" s="3"/>
      <c r="LQ93" s="3"/>
      <c r="LR93" s="2"/>
      <c r="LS93" s="85"/>
      <c r="LT93" s="3"/>
      <c r="LU93" s="3"/>
      <c r="LV93" s="3"/>
      <c r="LW93" s="3"/>
      <c r="LX93" s="2"/>
      <c r="LY93" s="168"/>
      <c r="LZ93" s="2" t="s">
        <v>2777</v>
      </c>
      <c r="MA93" s="2" t="s">
        <v>2710</v>
      </c>
      <c r="MB93" s="3" t="s">
        <v>2433</v>
      </c>
      <c r="MC93" s="3" t="s">
        <v>2433</v>
      </c>
      <c r="MD93" s="3" t="s">
        <v>2433</v>
      </c>
      <c r="ME93" s="3" t="s">
        <v>2433</v>
      </c>
      <c r="MF93" s="3" t="s">
        <v>2433</v>
      </c>
      <c r="MG93" s="3" t="s">
        <v>2433</v>
      </c>
      <c r="MH93" s="3" t="s">
        <v>2433</v>
      </c>
      <c r="MI93" s="3" t="s">
        <v>2433</v>
      </c>
      <c r="MJ93" s="2"/>
      <c r="NL93" s="3"/>
      <c r="NM93" s="3"/>
      <c r="NN93" s="3"/>
      <c r="NO93" s="3"/>
      <c r="NP93" s="3"/>
      <c r="NQ93" s="3"/>
      <c r="NR93" s="3"/>
      <c r="NS93" s="3"/>
    </row>
    <row r="94" spans="39:383" ht="180.75" thickBot="1">
      <c r="AM94" s="273">
        <v>45786</v>
      </c>
      <c r="AN94" s="274" t="s">
        <v>3070</v>
      </c>
      <c r="AO94" s="274"/>
      <c r="AP94" s="274"/>
      <c r="AS94" s="273">
        <v>45814</v>
      </c>
      <c r="AT94" s="274" t="s">
        <v>3070</v>
      </c>
      <c r="AU94" s="274"/>
      <c r="AV94" s="274"/>
      <c r="DI94" s="81"/>
      <c r="DJ94" s="81"/>
      <c r="DK94" s="81"/>
      <c r="DL94" s="81"/>
      <c r="DM94" s="81"/>
      <c r="GM94" s="186"/>
      <c r="GN94" s="170"/>
      <c r="GO94" s="170"/>
      <c r="GP94" s="170"/>
      <c r="GQ94" s="170"/>
      <c r="GR94" s="170"/>
      <c r="GS94" s="170"/>
      <c r="GT94" s="170"/>
      <c r="GU94" s="170"/>
      <c r="HJ94" s="168"/>
      <c r="HM94" s="157"/>
      <c r="HS94" s="93"/>
      <c r="HX94" s="85"/>
      <c r="ID94" s="168"/>
      <c r="IE94" s="2" t="s">
        <v>2777</v>
      </c>
      <c r="IF94" s="2" t="s">
        <v>2983</v>
      </c>
      <c r="IG94" s="3" t="s">
        <v>2434</v>
      </c>
      <c r="IH94" s="3" t="s">
        <v>2432</v>
      </c>
      <c r="II94" s="3" t="s">
        <v>2435</v>
      </c>
      <c r="IJ94" s="3" t="s">
        <v>2432</v>
      </c>
      <c r="IK94" s="3" t="s">
        <v>2435</v>
      </c>
      <c r="IL94" s="3" t="s">
        <v>2435</v>
      </c>
      <c r="IM94" s="3" t="s">
        <v>2435</v>
      </c>
      <c r="IN94" s="3" t="s">
        <v>2432</v>
      </c>
      <c r="IO94" s="2" t="s">
        <v>3071</v>
      </c>
      <c r="JH94" s="186"/>
      <c r="JI94" s="170"/>
      <c r="JJ94" s="170"/>
      <c r="JK94" s="170"/>
      <c r="JL94" s="170"/>
      <c r="JM94" s="170"/>
      <c r="JN94" s="170"/>
      <c r="JO94" s="170"/>
      <c r="JP94" s="170"/>
      <c r="KB94" s="136"/>
      <c r="KC94" s="3"/>
      <c r="KD94" s="3"/>
      <c r="KE94" s="3"/>
      <c r="KF94" s="136"/>
      <c r="KG94" s="136"/>
      <c r="KH94" s="186"/>
      <c r="KI94" s="170"/>
      <c r="KJ94" s="170"/>
      <c r="KK94" s="170"/>
      <c r="KL94" s="170"/>
      <c r="KM94" s="170"/>
      <c r="KN94" s="170"/>
      <c r="KO94" s="170"/>
      <c r="KP94" s="170"/>
      <c r="LE94" s="168"/>
      <c r="LF94" s="3"/>
      <c r="LG94" s="2"/>
      <c r="LH94" s="157"/>
      <c r="LI94" s="3"/>
      <c r="LJ94" s="3"/>
      <c r="LK94" s="3"/>
      <c r="LL94" s="3"/>
      <c r="LM94" s="2"/>
      <c r="LN94" s="93"/>
      <c r="LO94" s="3"/>
      <c r="LP94" s="3"/>
      <c r="LQ94" s="3"/>
      <c r="LR94" s="2"/>
      <c r="LS94" s="85"/>
      <c r="LT94" s="3"/>
      <c r="LU94" s="3"/>
      <c r="LV94" s="3"/>
      <c r="LW94" s="3"/>
      <c r="LX94" s="2"/>
      <c r="LY94" s="168"/>
      <c r="LZ94" s="2" t="s">
        <v>2777</v>
      </c>
      <c r="MA94" s="2" t="s">
        <v>2983</v>
      </c>
      <c r="MB94" s="3" t="s">
        <v>2434</v>
      </c>
      <c r="MC94" s="3" t="s">
        <v>2432</v>
      </c>
      <c r="MD94" s="3" t="s">
        <v>2435</v>
      </c>
      <c r="ME94" s="3" t="s">
        <v>2432</v>
      </c>
      <c r="MF94" s="3" t="s">
        <v>2435</v>
      </c>
      <c r="MG94" s="3" t="s">
        <v>2435</v>
      </c>
      <c r="MH94" s="3" t="s">
        <v>2435</v>
      </c>
      <c r="MI94" s="3" t="s">
        <v>2432</v>
      </c>
      <c r="MJ94" s="2" t="s">
        <v>3071</v>
      </c>
      <c r="NL94" s="3"/>
      <c r="NM94" s="3"/>
      <c r="NN94" s="3"/>
      <c r="NO94" s="3"/>
      <c r="NP94" s="3"/>
      <c r="NQ94" s="3"/>
      <c r="NR94" s="3"/>
      <c r="NS94" s="3"/>
    </row>
    <row r="95" spans="39:383" ht="180">
      <c r="AM95" s="273">
        <v>45787</v>
      </c>
      <c r="AN95" s="274" t="s">
        <v>3070</v>
      </c>
      <c r="AO95" s="274"/>
      <c r="AP95" s="274"/>
      <c r="AS95" s="273">
        <v>45815</v>
      </c>
      <c r="AT95" s="274" t="s">
        <v>3070</v>
      </c>
      <c r="AU95" s="274"/>
      <c r="AV95" s="274"/>
      <c r="DI95" s="81"/>
      <c r="DJ95" s="81"/>
      <c r="DK95" s="81"/>
      <c r="DL95" s="81"/>
      <c r="DM95" s="81"/>
      <c r="GM95" s="175" t="s">
        <v>3046</v>
      </c>
      <c r="GN95" s="171" t="s">
        <v>2354</v>
      </c>
      <c r="GO95" s="171" t="s">
        <v>2355</v>
      </c>
      <c r="GP95" s="171" t="s">
        <v>2356</v>
      </c>
      <c r="GQ95" s="172" t="s">
        <v>2357</v>
      </c>
      <c r="GR95" s="171" t="s">
        <v>2358</v>
      </c>
      <c r="GS95" s="171" t="s">
        <v>2359</v>
      </c>
      <c r="GT95" s="171" t="s">
        <v>2360</v>
      </c>
      <c r="GU95" s="172" t="s">
        <v>2361</v>
      </c>
      <c r="GV95" s="6" t="s">
        <v>2480</v>
      </c>
      <c r="HJ95" s="168"/>
      <c r="HM95" s="157"/>
      <c r="HS95" s="93"/>
      <c r="HX95" s="85"/>
      <c r="ID95" s="168"/>
      <c r="IE95" s="2" t="s">
        <v>2777</v>
      </c>
      <c r="IF95" s="2" t="s">
        <v>2983</v>
      </c>
      <c r="IG95" s="3" t="s">
        <v>2431</v>
      </c>
      <c r="IH95" s="3" t="s">
        <v>2431</v>
      </c>
      <c r="II95" s="3" t="s">
        <v>2431</v>
      </c>
      <c r="IJ95" s="3" t="s">
        <v>2431</v>
      </c>
      <c r="IK95" s="3" t="s">
        <v>2431</v>
      </c>
      <c r="IL95" s="3" t="s">
        <v>2431</v>
      </c>
      <c r="IM95" s="3" t="s">
        <v>2431</v>
      </c>
      <c r="IN95" s="3" t="s">
        <v>2431</v>
      </c>
      <c r="JH95" s="175" t="s">
        <v>3046</v>
      </c>
      <c r="JI95" s="171" t="s">
        <v>2354</v>
      </c>
      <c r="JJ95" s="171" t="s">
        <v>2355</v>
      </c>
      <c r="JK95" s="171" t="s">
        <v>2356</v>
      </c>
      <c r="JL95" s="172" t="s">
        <v>2357</v>
      </c>
      <c r="JM95" s="171" t="s">
        <v>2358</v>
      </c>
      <c r="JN95" s="171" t="s">
        <v>2359</v>
      </c>
      <c r="JO95" s="171" t="s">
        <v>2360</v>
      </c>
      <c r="JP95" s="172" t="s">
        <v>2361</v>
      </c>
      <c r="JQ95" s="6" t="s">
        <v>2480</v>
      </c>
      <c r="KB95" s="136"/>
      <c r="KC95" s="3"/>
      <c r="KD95" s="3"/>
      <c r="KE95" s="3"/>
      <c r="KF95" s="136"/>
      <c r="KG95" s="136"/>
      <c r="KH95" s="175" t="s">
        <v>3046</v>
      </c>
      <c r="KI95" s="171" t="s">
        <v>2354</v>
      </c>
      <c r="KJ95" s="171" t="s">
        <v>2355</v>
      </c>
      <c r="KK95" s="171" t="s">
        <v>2356</v>
      </c>
      <c r="KL95" s="172" t="s">
        <v>2357</v>
      </c>
      <c r="KM95" s="171" t="s">
        <v>2358</v>
      </c>
      <c r="KN95" s="171" t="s">
        <v>2359</v>
      </c>
      <c r="KO95" s="171" t="s">
        <v>2360</v>
      </c>
      <c r="KP95" s="172" t="s">
        <v>2361</v>
      </c>
      <c r="KQ95" s="6" t="s">
        <v>2480</v>
      </c>
      <c r="LE95" s="168"/>
      <c r="LF95" s="3"/>
      <c r="LG95" s="2"/>
      <c r="LH95" s="157"/>
      <c r="LI95" s="3"/>
      <c r="LJ95" s="3"/>
      <c r="LK95" s="3"/>
      <c r="LL95" s="3"/>
      <c r="LM95" s="2"/>
      <c r="LN95" s="93"/>
      <c r="LO95" s="3"/>
      <c r="LP95" s="3"/>
      <c r="LQ95" s="3"/>
      <c r="LR95" s="2"/>
      <c r="LS95" s="85"/>
      <c r="LT95" s="3"/>
      <c r="LU95" s="3"/>
      <c r="LV95" s="3"/>
      <c r="LW95" s="3"/>
      <c r="LX95" s="2"/>
      <c r="LY95" s="168"/>
      <c r="LZ95" s="2" t="s">
        <v>2777</v>
      </c>
      <c r="MA95" s="2" t="s">
        <v>2983</v>
      </c>
      <c r="MB95" s="3" t="s">
        <v>2431</v>
      </c>
      <c r="MC95" s="3" t="s">
        <v>2431</v>
      </c>
      <c r="MD95" s="3" t="s">
        <v>2431</v>
      </c>
      <c r="ME95" s="3" t="s">
        <v>2431</v>
      </c>
      <c r="MF95" s="3" t="s">
        <v>2431</v>
      </c>
      <c r="MG95" s="3" t="s">
        <v>2431</v>
      </c>
      <c r="MH95" s="3" t="s">
        <v>2431</v>
      </c>
      <c r="MI95" s="3" t="s">
        <v>2431</v>
      </c>
      <c r="MJ95" s="2"/>
      <c r="NL95" s="3"/>
      <c r="NM95" s="3"/>
      <c r="NN95" s="3"/>
      <c r="NO95" s="3"/>
      <c r="NP95" s="3"/>
      <c r="NQ95" s="3"/>
      <c r="NR95" s="3"/>
      <c r="NS95" s="3"/>
    </row>
    <row r="96" spans="39:383" ht="150">
      <c r="AM96" s="275">
        <v>45792</v>
      </c>
      <c r="AN96" s="276" t="s">
        <v>3070</v>
      </c>
      <c r="AO96" s="276"/>
      <c r="AP96" s="276"/>
      <c r="AS96" s="275">
        <v>45820</v>
      </c>
      <c r="AT96" s="276" t="s">
        <v>3070</v>
      </c>
      <c r="AU96" s="276"/>
      <c r="AV96" s="276"/>
      <c r="DI96" s="81"/>
      <c r="DJ96" s="81"/>
      <c r="DK96" s="81"/>
      <c r="DL96" s="81"/>
      <c r="DM96" s="81"/>
      <c r="GM96" s="184" t="s">
        <v>2525</v>
      </c>
      <c r="GN96" s="173">
        <f t="shared" ref="GN96:GU96" si="129">COUNTIFS($BA$2:$BA$425,"ΜΩΥΣΑΚΗΣ ΓΙΑΝΝΗΣ",IG$2:IG$425,"κακή")</f>
        <v>0</v>
      </c>
      <c r="GO96" s="173">
        <f t="shared" si="129"/>
        <v>0</v>
      </c>
      <c r="GP96" s="173">
        <f t="shared" si="129"/>
        <v>0</v>
      </c>
      <c r="GQ96" s="173">
        <f t="shared" si="129"/>
        <v>0</v>
      </c>
      <c r="GR96" s="173">
        <f t="shared" si="129"/>
        <v>0</v>
      </c>
      <c r="GS96" s="173">
        <f t="shared" si="129"/>
        <v>0</v>
      </c>
      <c r="GT96" s="173">
        <f t="shared" si="129"/>
        <v>0</v>
      </c>
      <c r="GU96" s="173">
        <f t="shared" si="129"/>
        <v>0</v>
      </c>
      <c r="GV96" s="170">
        <f>SUM(GR96:GU96)</f>
        <v>0</v>
      </c>
      <c r="HJ96" s="168"/>
      <c r="HM96" s="157"/>
      <c r="HS96" s="93"/>
      <c r="HX96" s="85"/>
      <c r="ID96" s="168"/>
      <c r="IE96" s="2" t="s">
        <v>2867</v>
      </c>
      <c r="IF96" s="2" t="s">
        <v>3046</v>
      </c>
      <c r="IG96" s="3" t="s">
        <v>2431</v>
      </c>
      <c r="IH96" s="3" t="s">
        <v>2431</v>
      </c>
      <c r="II96" s="3" t="s">
        <v>2431</v>
      </c>
      <c r="IJ96" s="3" t="s">
        <v>2431</v>
      </c>
      <c r="IK96" s="3" t="s">
        <v>2431</v>
      </c>
      <c r="IL96" s="3" t="s">
        <v>2431</v>
      </c>
      <c r="IM96" s="3" t="s">
        <v>2431</v>
      </c>
      <c r="IN96" s="3" t="s">
        <v>2431</v>
      </c>
      <c r="JH96" s="184" t="s">
        <v>2525</v>
      </c>
      <c r="JI96" s="173" t="e">
        <f>#REF!</f>
        <v>#REF!</v>
      </c>
      <c r="JJ96" s="173" t="e">
        <f>#REF!</f>
        <v>#REF!</v>
      </c>
      <c r="JK96" s="173" t="e">
        <f>#REF!</f>
        <v>#REF!</v>
      </c>
      <c r="JL96" s="173" t="e">
        <f>#REF!</f>
        <v>#REF!</v>
      </c>
      <c r="JM96" s="173" t="e">
        <f>#REF!</f>
        <v>#REF!</v>
      </c>
      <c r="JN96" s="173" t="e">
        <f>#REF!</f>
        <v>#REF!</v>
      </c>
      <c r="JO96" s="173" t="e">
        <f>#REF!</f>
        <v>#REF!</v>
      </c>
      <c r="JP96" s="173" t="e">
        <f>#REF!</f>
        <v>#REF!</v>
      </c>
      <c r="JQ96" s="170" t="e">
        <f>SUM(JM96:JP96)</f>
        <v>#REF!</v>
      </c>
      <c r="KB96" s="136"/>
      <c r="KC96" s="3"/>
      <c r="KD96" s="3"/>
      <c r="KE96" s="3"/>
      <c r="KF96" s="136"/>
      <c r="KG96" s="136"/>
      <c r="KH96" s="184" t="s">
        <v>2525</v>
      </c>
      <c r="KI96" s="173">
        <f t="shared" ref="KI96:KP96" si="130">COUNTIFS($BA$2:$BA$425,"ΜΩΥΣΑΚΗΣ ΓΙΑΝΝΗΣ",MB$2:MB$425,"κακή")</f>
        <v>0</v>
      </c>
      <c r="KJ96" s="173">
        <f t="shared" si="130"/>
        <v>0</v>
      </c>
      <c r="KK96" s="173">
        <f t="shared" si="130"/>
        <v>0</v>
      </c>
      <c r="KL96" s="173">
        <f t="shared" si="130"/>
        <v>0</v>
      </c>
      <c r="KM96" s="173">
        <f t="shared" si="130"/>
        <v>0</v>
      </c>
      <c r="KN96" s="173">
        <f t="shared" si="130"/>
        <v>0</v>
      </c>
      <c r="KO96" s="173">
        <f t="shared" si="130"/>
        <v>0</v>
      </c>
      <c r="KP96" s="173">
        <f t="shared" si="130"/>
        <v>0</v>
      </c>
      <c r="KQ96" s="170">
        <f>SUM(KM96:KP96)</f>
        <v>0</v>
      </c>
      <c r="LE96" s="168"/>
      <c r="LF96" s="3"/>
      <c r="LG96" s="2"/>
      <c r="LH96" s="157"/>
      <c r="LI96" s="3"/>
      <c r="LJ96" s="3"/>
      <c r="LK96" s="3"/>
      <c r="LL96" s="3"/>
      <c r="LM96" s="2"/>
      <c r="LN96" s="93"/>
      <c r="LO96" s="3"/>
      <c r="LP96" s="3"/>
      <c r="LQ96" s="3"/>
      <c r="LR96" s="2"/>
      <c r="LS96" s="85"/>
      <c r="LT96" s="3"/>
      <c r="LU96" s="3"/>
      <c r="LV96" s="3"/>
      <c r="LW96" s="3"/>
      <c r="LX96" s="2"/>
      <c r="LY96" s="168"/>
      <c r="LZ96" s="2" t="s">
        <v>2867</v>
      </c>
      <c r="MA96" s="2" t="s">
        <v>3046</v>
      </c>
      <c r="MB96" s="3" t="s">
        <v>2431</v>
      </c>
      <c r="MC96" s="3" t="s">
        <v>2431</v>
      </c>
      <c r="MD96" s="3" t="s">
        <v>2431</v>
      </c>
      <c r="ME96" s="3" t="s">
        <v>2431</v>
      </c>
      <c r="MF96" s="3" t="s">
        <v>2431</v>
      </c>
      <c r="MG96" s="3" t="s">
        <v>2431</v>
      </c>
      <c r="MH96" s="3" t="s">
        <v>2431</v>
      </c>
      <c r="MI96" s="3" t="s">
        <v>2431</v>
      </c>
      <c r="MJ96" s="2"/>
      <c r="NL96" s="3"/>
      <c r="NM96" s="3"/>
      <c r="NN96" s="3"/>
      <c r="NO96" s="3"/>
      <c r="NP96" s="3"/>
      <c r="NQ96" s="3"/>
      <c r="NR96" s="3"/>
      <c r="NS96" s="3"/>
    </row>
    <row r="97" spans="39:383" ht="150">
      <c r="AM97" s="275">
        <v>45793</v>
      </c>
      <c r="AN97" s="276" t="s">
        <v>3070</v>
      </c>
      <c r="AO97" s="276"/>
      <c r="AP97" s="276"/>
      <c r="AS97" s="275">
        <v>45821</v>
      </c>
      <c r="AT97" s="276" t="s">
        <v>3070</v>
      </c>
      <c r="AU97" s="276"/>
      <c r="AV97" s="276"/>
      <c r="DI97" s="81"/>
      <c r="DJ97" s="81"/>
      <c r="DK97" s="81"/>
      <c r="DL97" s="81"/>
      <c r="DM97" s="81"/>
      <c r="GM97" s="184" t="s">
        <v>2435</v>
      </c>
      <c r="GN97" s="173">
        <f t="shared" ref="GN97:GU97" si="131">COUNTIFS($BA$2:$BA$425,"ΜΩΥΣΑΚΗΣ ΓΙΑΝΝΗΣ",IG$2:IG$425,"μέτρια")</f>
        <v>0</v>
      </c>
      <c r="GO97" s="173">
        <f t="shared" si="131"/>
        <v>0</v>
      </c>
      <c r="GP97" s="173">
        <f t="shared" si="131"/>
        <v>0</v>
      </c>
      <c r="GQ97" s="173">
        <f t="shared" si="131"/>
        <v>0</v>
      </c>
      <c r="GR97" s="173">
        <f t="shared" si="131"/>
        <v>0</v>
      </c>
      <c r="GS97" s="173">
        <f t="shared" si="131"/>
        <v>0</v>
      </c>
      <c r="GT97" s="173">
        <f t="shared" si="131"/>
        <v>0</v>
      </c>
      <c r="GU97" s="173">
        <f t="shared" si="131"/>
        <v>0</v>
      </c>
      <c r="GV97" s="170">
        <f>SUM(GR97:GU97)</f>
        <v>0</v>
      </c>
      <c r="HJ97" s="168"/>
      <c r="HM97" s="157"/>
      <c r="HS97" s="93"/>
      <c r="HX97" s="85"/>
      <c r="ID97" s="168"/>
      <c r="IE97" s="2" t="s">
        <v>2867</v>
      </c>
      <c r="IF97" s="2" t="s">
        <v>1685</v>
      </c>
      <c r="IG97" s="3" t="s">
        <v>2431</v>
      </c>
      <c r="IH97" s="3" t="s">
        <v>2431</v>
      </c>
      <c r="II97" s="3" t="s">
        <v>2431</v>
      </c>
      <c r="IJ97" s="3" t="s">
        <v>2431</v>
      </c>
      <c r="IK97" s="3" t="s">
        <v>2431</v>
      </c>
      <c r="IL97" s="3" t="s">
        <v>2431</v>
      </c>
      <c r="IM97" s="3" t="s">
        <v>2431</v>
      </c>
      <c r="IN97" s="3" t="s">
        <v>2431</v>
      </c>
      <c r="JH97" s="184" t="s">
        <v>2435</v>
      </c>
      <c r="JI97" s="173" t="e">
        <f>#REF!</f>
        <v>#REF!</v>
      </c>
      <c r="JJ97" s="173" t="e">
        <f>#REF!</f>
        <v>#REF!</v>
      </c>
      <c r="JK97" s="173" t="e">
        <f>#REF!</f>
        <v>#REF!</v>
      </c>
      <c r="JL97" s="173" t="e">
        <f>#REF!</f>
        <v>#REF!</v>
      </c>
      <c r="JM97" s="173" t="e">
        <f>#REF!</f>
        <v>#REF!</v>
      </c>
      <c r="JN97" s="173" t="e">
        <f>#REF!</f>
        <v>#REF!</v>
      </c>
      <c r="JO97" s="173" t="e">
        <f>#REF!</f>
        <v>#REF!</v>
      </c>
      <c r="JP97" s="173" t="e">
        <f>#REF!</f>
        <v>#REF!</v>
      </c>
      <c r="JQ97" s="170" t="e">
        <f>SUM(JM97:JP97)</f>
        <v>#REF!</v>
      </c>
      <c r="KB97" s="136"/>
      <c r="KC97" s="3"/>
      <c r="KD97" s="3"/>
      <c r="KE97" s="3"/>
      <c r="KF97" s="136"/>
      <c r="KG97" s="136"/>
      <c r="KH97" s="184" t="s">
        <v>2435</v>
      </c>
      <c r="KI97" s="173">
        <f t="shared" ref="KI97:KP97" si="132">COUNTIFS($BA$2:$BA$425,"ΜΩΥΣΑΚΗΣ ΓΙΑΝΝΗΣ",MB$2:MB$425,"μέτρια")</f>
        <v>0</v>
      </c>
      <c r="KJ97" s="173">
        <f t="shared" si="132"/>
        <v>0</v>
      </c>
      <c r="KK97" s="173">
        <f t="shared" si="132"/>
        <v>0</v>
      </c>
      <c r="KL97" s="173">
        <f t="shared" si="132"/>
        <v>0</v>
      </c>
      <c r="KM97" s="173">
        <f t="shared" si="132"/>
        <v>0</v>
      </c>
      <c r="KN97" s="173">
        <f t="shared" si="132"/>
        <v>0</v>
      </c>
      <c r="KO97" s="173">
        <f t="shared" si="132"/>
        <v>0</v>
      </c>
      <c r="KP97" s="173">
        <f t="shared" si="132"/>
        <v>0</v>
      </c>
      <c r="KQ97" s="170">
        <f>SUM(KM97:KP97)</f>
        <v>0</v>
      </c>
      <c r="LE97" s="168"/>
      <c r="LF97" s="3"/>
      <c r="LG97" s="2"/>
      <c r="LH97" s="157"/>
      <c r="LI97" s="3"/>
      <c r="LJ97" s="3"/>
      <c r="LK97" s="3"/>
      <c r="LL97" s="3"/>
      <c r="LM97" s="2"/>
      <c r="LN97" s="93"/>
      <c r="LO97" s="3"/>
      <c r="LP97" s="3"/>
      <c r="LQ97" s="3"/>
      <c r="LR97" s="2"/>
      <c r="LS97" s="85"/>
      <c r="LT97" s="3"/>
      <c r="LU97" s="3"/>
      <c r="LV97" s="3"/>
      <c r="LW97" s="3"/>
      <c r="LX97" s="2"/>
      <c r="LY97" s="168"/>
      <c r="LZ97" s="2" t="s">
        <v>2867</v>
      </c>
      <c r="MA97" s="2" t="s">
        <v>1685</v>
      </c>
      <c r="MB97" s="3" t="s">
        <v>2431</v>
      </c>
      <c r="MC97" s="3" t="s">
        <v>2431</v>
      </c>
      <c r="MD97" s="3" t="s">
        <v>2431</v>
      </c>
      <c r="ME97" s="3" t="s">
        <v>2431</v>
      </c>
      <c r="MF97" s="3" t="s">
        <v>2431</v>
      </c>
      <c r="MG97" s="3" t="s">
        <v>2431</v>
      </c>
      <c r="MH97" s="3" t="s">
        <v>2431</v>
      </c>
      <c r="MI97" s="3" t="s">
        <v>2431</v>
      </c>
      <c r="MJ97" s="2"/>
      <c r="NL97" s="3"/>
      <c r="NM97" s="3"/>
      <c r="NN97" s="3"/>
      <c r="NO97" s="3"/>
      <c r="NP97" s="3"/>
      <c r="NQ97" s="3"/>
      <c r="NR97" s="3"/>
      <c r="NS97" s="3"/>
    </row>
    <row r="98" spans="39:383" ht="150">
      <c r="AM98" s="275">
        <v>45794</v>
      </c>
      <c r="AN98" s="276" t="s">
        <v>3070</v>
      </c>
      <c r="AO98" s="276"/>
      <c r="AP98" s="276"/>
      <c r="AS98" s="275">
        <v>45822</v>
      </c>
      <c r="AT98" s="276" t="s">
        <v>3070</v>
      </c>
      <c r="AU98" s="276"/>
      <c r="AV98" s="276"/>
      <c r="DI98" s="81"/>
      <c r="DJ98" s="81"/>
      <c r="DK98" s="81"/>
      <c r="DL98" s="81"/>
      <c r="DM98" s="81"/>
      <c r="GM98" s="184" t="s">
        <v>2603</v>
      </c>
      <c r="GN98" s="173">
        <f t="shared" ref="GN98:GU98" si="133">COUNTIFS($BA$2:$BA$425,"ΜΩΥΣΑΚΗΣ ΓΙΑΝΝΗΣ",IG$2:IG$425,"καλή")</f>
        <v>0</v>
      </c>
      <c r="GO98" s="173">
        <f t="shared" si="133"/>
        <v>0</v>
      </c>
      <c r="GP98" s="173">
        <f t="shared" si="133"/>
        <v>0</v>
      </c>
      <c r="GQ98" s="173">
        <f t="shared" si="133"/>
        <v>0</v>
      </c>
      <c r="GR98" s="173">
        <f t="shared" si="133"/>
        <v>0</v>
      </c>
      <c r="GS98" s="173">
        <f t="shared" si="133"/>
        <v>0</v>
      </c>
      <c r="GT98" s="173">
        <f t="shared" si="133"/>
        <v>0</v>
      </c>
      <c r="GU98" s="173">
        <f t="shared" si="133"/>
        <v>0</v>
      </c>
      <c r="GV98" s="199">
        <f>SUM(GR98:GU98)</f>
        <v>0</v>
      </c>
      <c r="HJ98" s="168"/>
      <c r="HM98" s="157"/>
      <c r="HS98" s="93"/>
      <c r="HX98" s="85"/>
      <c r="ID98" s="168"/>
      <c r="IE98" s="2" t="s">
        <v>2867</v>
      </c>
      <c r="IF98" s="2" t="s">
        <v>3060</v>
      </c>
      <c r="IG98" s="3" t="s">
        <v>2431</v>
      </c>
      <c r="IH98" s="3" t="s">
        <v>2431</v>
      </c>
      <c r="II98" s="3" t="s">
        <v>2431</v>
      </c>
      <c r="IJ98" s="3" t="s">
        <v>2431</v>
      </c>
      <c r="IK98" s="3" t="s">
        <v>2431</v>
      </c>
      <c r="IL98" s="3" t="s">
        <v>2431</v>
      </c>
      <c r="IM98" s="3" t="s">
        <v>2431</v>
      </c>
      <c r="IN98" s="3" t="s">
        <v>2431</v>
      </c>
      <c r="JH98" s="184" t="s">
        <v>2603</v>
      </c>
      <c r="JI98" s="173" t="e">
        <f>#REF!</f>
        <v>#REF!</v>
      </c>
      <c r="JJ98" s="173" t="e">
        <f>#REF!</f>
        <v>#REF!</v>
      </c>
      <c r="JK98" s="173" t="e">
        <f>#REF!</f>
        <v>#REF!</v>
      </c>
      <c r="JL98" s="173" t="e">
        <f>#REF!</f>
        <v>#REF!</v>
      </c>
      <c r="JM98" s="173" t="e">
        <f>#REF!</f>
        <v>#REF!</v>
      </c>
      <c r="JN98" s="173" t="e">
        <f>#REF!</f>
        <v>#REF!</v>
      </c>
      <c r="JO98" s="173" t="e">
        <f>#REF!</f>
        <v>#REF!</v>
      </c>
      <c r="JP98" s="173" t="e">
        <f>#REF!</f>
        <v>#REF!</v>
      </c>
      <c r="JQ98" s="199" t="e">
        <f>SUM(JM98:JP98)</f>
        <v>#REF!</v>
      </c>
      <c r="KB98" s="136"/>
      <c r="KC98" s="3"/>
      <c r="KD98" s="3"/>
      <c r="KE98" s="3"/>
      <c r="KF98" s="136"/>
      <c r="KG98" s="136"/>
      <c r="KH98" s="184" t="s">
        <v>2603</v>
      </c>
      <c r="KI98" s="173">
        <f t="shared" ref="KI98:KP98" si="134">COUNTIFS($BA$2:$BA$425,"ΜΩΥΣΑΚΗΣ ΓΙΑΝΝΗΣ",MB$2:MB$425,"καλή")</f>
        <v>0</v>
      </c>
      <c r="KJ98" s="173">
        <f t="shared" si="134"/>
        <v>0</v>
      </c>
      <c r="KK98" s="173">
        <f t="shared" si="134"/>
        <v>0</v>
      </c>
      <c r="KL98" s="173">
        <f t="shared" si="134"/>
        <v>0</v>
      </c>
      <c r="KM98" s="173">
        <f t="shared" si="134"/>
        <v>0</v>
      </c>
      <c r="KN98" s="173">
        <f t="shared" si="134"/>
        <v>0</v>
      </c>
      <c r="KO98" s="173">
        <f t="shared" si="134"/>
        <v>0</v>
      </c>
      <c r="KP98" s="173">
        <f t="shared" si="134"/>
        <v>0</v>
      </c>
      <c r="KQ98" s="199">
        <f>SUM(KM98:KP98)</f>
        <v>0</v>
      </c>
      <c r="LE98" s="168"/>
      <c r="LF98" s="3"/>
      <c r="LG98" s="2"/>
      <c r="LH98" s="157"/>
      <c r="LI98" s="3"/>
      <c r="LJ98" s="3"/>
      <c r="LK98" s="3"/>
      <c r="LL98" s="3"/>
      <c r="LM98" s="2"/>
      <c r="LN98" s="93"/>
      <c r="LO98" s="3"/>
      <c r="LP98" s="3"/>
      <c r="LQ98" s="3"/>
      <c r="LR98" s="2"/>
      <c r="LS98" s="85"/>
      <c r="LT98" s="3"/>
      <c r="LU98" s="3"/>
      <c r="LV98" s="3"/>
      <c r="LW98" s="3"/>
      <c r="LX98" s="2"/>
      <c r="LY98" s="168"/>
      <c r="LZ98" s="2" t="s">
        <v>2867</v>
      </c>
      <c r="MA98" s="2" t="s">
        <v>3060</v>
      </c>
      <c r="MB98" s="3" t="s">
        <v>2431</v>
      </c>
      <c r="MC98" s="3" t="s">
        <v>2431</v>
      </c>
      <c r="MD98" s="3" t="s">
        <v>2431</v>
      </c>
      <c r="ME98" s="3" t="s">
        <v>2431</v>
      </c>
      <c r="MF98" s="3" t="s">
        <v>2431</v>
      </c>
      <c r="MG98" s="3" t="s">
        <v>2431</v>
      </c>
      <c r="MH98" s="3" t="s">
        <v>2431</v>
      </c>
      <c r="MI98" s="3" t="s">
        <v>2431</v>
      </c>
      <c r="MJ98" s="2"/>
      <c r="NL98" s="3"/>
      <c r="NM98" s="3"/>
      <c r="NN98" s="3"/>
      <c r="NO98" s="3"/>
      <c r="NP98" s="3"/>
      <c r="NQ98" s="3"/>
      <c r="NR98" s="3"/>
      <c r="NS98" s="3"/>
    </row>
    <row r="99" spans="39:383" ht="150">
      <c r="AM99" s="273">
        <v>45799</v>
      </c>
      <c r="AN99" s="274" t="s">
        <v>3070</v>
      </c>
      <c r="AO99" s="274"/>
      <c r="AP99" s="274"/>
      <c r="AS99" s="273">
        <v>45827</v>
      </c>
      <c r="AT99" s="274" t="s">
        <v>3070</v>
      </c>
      <c r="AU99" s="274"/>
      <c r="AV99" s="274"/>
      <c r="DI99" s="81"/>
      <c r="DJ99" s="81"/>
      <c r="DK99" s="81"/>
      <c r="DL99" s="81"/>
      <c r="DM99" s="81"/>
      <c r="GM99" s="184" t="s">
        <v>2639</v>
      </c>
      <c r="GN99" s="173">
        <f t="shared" ref="GN99:GU99" si="135">COUNTIFS($BA$2:$BA$425,"ΜΩΥΣΑΚΗΣ ΓΙΑΝΝΗΣ",IG$2:IG$425,"πολύ καλή")</f>
        <v>0</v>
      </c>
      <c r="GO99" s="173">
        <f t="shared" si="135"/>
        <v>0</v>
      </c>
      <c r="GP99" s="173">
        <f t="shared" si="135"/>
        <v>0</v>
      </c>
      <c r="GQ99" s="173">
        <f t="shared" si="135"/>
        <v>0</v>
      </c>
      <c r="GR99" s="173">
        <f t="shared" si="135"/>
        <v>0</v>
      </c>
      <c r="GS99" s="173">
        <f t="shared" si="135"/>
        <v>0</v>
      </c>
      <c r="GT99" s="173">
        <f t="shared" si="135"/>
        <v>0</v>
      </c>
      <c r="GU99" s="173">
        <f t="shared" si="135"/>
        <v>0</v>
      </c>
      <c r="GV99" s="199">
        <f>SUM(GR99:GU99)</f>
        <v>0</v>
      </c>
      <c r="HJ99" s="168"/>
      <c r="HM99" s="157"/>
      <c r="HS99" s="93"/>
      <c r="HX99" s="85"/>
      <c r="ID99" s="168"/>
      <c r="IE99" s="2" t="s">
        <v>2867</v>
      </c>
      <c r="IF99" s="2" t="s">
        <v>3031</v>
      </c>
      <c r="IG99" s="3" t="s">
        <v>2431</v>
      </c>
      <c r="IH99" s="3" t="s">
        <v>2431</v>
      </c>
      <c r="II99" s="3" t="s">
        <v>2431</v>
      </c>
      <c r="IJ99" s="3" t="s">
        <v>2431</v>
      </c>
      <c r="IK99" s="3" t="s">
        <v>2431</v>
      </c>
      <c r="IL99" s="3" t="s">
        <v>2431</v>
      </c>
      <c r="IM99" s="3" t="s">
        <v>2431</v>
      </c>
      <c r="IN99" s="3" t="s">
        <v>2431</v>
      </c>
      <c r="JH99" s="184" t="s">
        <v>2639</v>
      </c>
      <c r="JI99" s="173" t="e">
        <f>#REF!</f>
        <v>#REF!</v>
      </c>
      <c r="JJ99" s="173" t="e">
        <f>#REF!</f>
        <v>#REF!</v>
      </c>
      <c r="JK99" s="173" t="e">
        <f>#REF!</f>
        <v>#REF!</v>
      </c>
      <c r="JL99" s="173" t="e">
        <f>#REF!</f>
        <v>#REF!</v>
      </c>
      <c r="JM99" s="173" t="e">
        <f>#REF!</f>
        <v>#REF!</v>
      </c>
      <c r="JN99" s="173" t="e">
        <f>#REF!</f>
        <v>#REF!</v>
      </c>
      <c r="JO99" s="173" t="e">
        <f>#REF!</f>
        <v>#REF!</v>
      </c>
      <c r="JP99" s="173" t="e">
        <f>#REF!</f>
        <v>#REF!</v>
      </c>
      <c r="JQ99" s="199" t="e">
        <f>SUM(JM99:JP99)</f>
        <v>#REF!</v>
      </c>
      <c r="KB99" s="136"/>
      <c r="KC99" s="3"/>
      <c r="KD99" s="3"/>
      <c r="KE99" s="3"/>
      <c r="KF99" s="136"/>
      <c r="KG99" s="136"/>
      <c r="KH99" s="184" t="s">
        <v>2639</v>
      </c>
      <c r="KI99" s="173">
        <f t="shared" ref="KI99:KP99" si="136">COUNTIFS($BA$2:$BA$425,"ΜΩΥΣΑΚΗΣ ΓΙΑΝΝΗΣ",MB$2:MB$425,"πολύ καλή")</f>
        <v>0</v>
      </c>
      <c r="KJ99" s="173">
        <f t="shared" si="136"/>
        <v>0</v>
      </c>
      <c r="KK99" s="173">
        <f t="shared" si="136"/>
        <v>0</v>
      </c>
      <c r="KL99" s="173">
        <f t="shared" si="136"/>
        <v>0</v>
      </c>
      <c r="KM99" s="173">
        <f t="shared" si="136"/>
        <v>0</v>
      </c>
      <c r="KN99" s="173">
        <f t="shared" si="136"/>
        <v>0</v>
      </c>
      <c r="KO99" s="173">
        <f t="shared" si="136"/>
        <v>0</v>
      </c>
      <c r="KP99" s="173">
        <f t="shared" si="136"/>
        <v>0</v>
      </c>
      <c r="KQ99" s="199">
        <f>SUM(KM99:KP99)</f>
        <v>0</v>
      </c>
      <c r="LE99" s="168"/>
      <c r="LF99" s="3"/>
      <c r="LG99" s="2"/>
      <c r="LH99" s="157"/>
      <c r="LI99" s="3"/>
      <c r="LJ99" s="3"/>
      <c r="LK99" s="3"/>
      <c r="LL99" s="3"/>
      <c r="LM99" s="2"/>
      <c r="LN99" s="93"/>
      <c r="LO99" s="3"/>
      <c r="LP99" s="3"/>
      <c r="LQ99" s="3"/>
      <c r="LR99" s="2"/>
      <c r="LS99" s="85"/>
      <c r="LT99" s="3"/>
      <c r="LU99" s="3"/>
      <c r="LV99" s="3"/>
      <c r="LW99" s="3"/>
      <c r="LX99" s="2"/>
      <c r="LY99" s="168"/>
      <c r="LZ99" s="2" t="s">
        <v>2867</v>
      </c>
      <c r="MA99" s="2" t="s">
        <v>3031</v>
      </c>
      <c r="MB99" s="3" t="s">
        <v>2431</v>
      </c>
      <c r="MC99" s="3" t="s">
        <v>2431</v>
      </c>
      <c r="MD99" s="3" t="s">
        <v>2431</v>
      </c>
      <c r="ME99" s="3" t="s">
        <v>2431</v>
      </c>
      <c r="MF99" s="3" t="s">
        <v>2431</v>
      </c>
      <c r="MG99" s="3" t="s">
        <v>2431</v>
      </c>
      <c r="MH99" s="3" t="s">
        <v>2431</v>
      </c>
      <c r="MI99" s="3" t="s">
        <v>2431</v>
      </c>
      <c r="MJ99" s="2"/>
      <c r="NL99" s="3"/>
      <c r="NM99" s="3"/>
      <c r="NN99" s="3"/>
      <c r="NO99" s="3"/>
      <c r="NP99" s="3"/>
      <c r="NQ99" s="3"/>
      <c r="NR99" s="3"/>
      <c r="NS99" s="3"/>
    </row>
    <row r="100" spans="39:383" ht="150.75" thickBot="1">
      <c r="AM100" s="273">
        <v>45800</v>
      </c>
      <c r="AN100" s="274" t="s">
        <v>3070</v>
      </c>
      <c r="AO100" s="274"/>
      <c r="AP100" s="274"/>
      <c r="AS100" s="273">
        <v>45828</v>
      </c>
      <c r="AT100" s="274" t="s">
        <v>3070</v>
      </c>
      <c r="AU100" s="274"/>
      <c r="AV100" s="274"/>
      <c r="DI100" s="81"/>
      <c r="DJ100" s="81"/>
      <c r="DK100" s="81"/>
      <c r="DL100" s="81"/>
      <c r="DM100" s="81"/>
      <c r="GM100" s="185" t="s">
        <v>2431</v>
      </c>
      <c r="GN100" s="187">
        <f t="shared" ref="GN100:GU100" si="137">COUNTIFS($BA$2:$BA$425,"ΜΩΥΣΑΚΗΣ ΓΙΑΝΝΗΣ",IG$2:IG$425,"άριστη")</f>
        <v>0</v>
      </c>
      <c r="GO100" s="187">
        <f t="shared" si="137"/>
        <v>0</v>
      </c>
      <c r="GP100" s="187">
        <f t="shared" si="137"/>
        <v>0</v>
      </c>
      <c r="GQ100" s="187">
        <f t="shared" si="137"/>
        <v>0</v>
      </c>
      <c r="GR100" s="187">
        <f t="shared" si="137"/>
        <v>0</v>
      </c>
      <c r="GS100" s="187">
        <f t="shared" si="137"/>
        <v>0</v>
      </c>
      <c r="GT100" s="187">
        <f t="shared" si="137"/>
        <v>0</v>
      </c>
      <c r="GU100" s="187">
        <f t="shared" si="137"/>
        <v>0</v>
      </c>
      <c r="GV100" s="199">
        <f>SUM(GR100:GU100)</f>
        <v>0</v>
      </c>
      <c r="HJ100" s="168"/>
      <c r="HM100" s="157"/>
      <c r="HS100" s="93"/>
      <c r="HX100" s="85"/>
      <c r="ID100" s="168"/>
      <c r="IE100" s="2" t="s">
        <v>2859</v>
      </c>
      <c r="IF100" s="2" t="s">
        <v>1677</v>
      </c>
      <c r="IG100" s="3" t="s">
        <v>2432</v>
      </c>
      <c r="IH100" s="3" t="s">
        <v>2432</v>
      </c>
      <c r="II100" s="3" t="s">
        <v>2432</v>
      </c>
      <c r="IJ100" s="3" t="s">
        <v>2432</v>
      </c>
      <c r="IK100" s="3" t="s">
        <v>2432</v>
      </c>
      <c r="IL100" s="3" t="s">
        <v>2432</v>
      </c>
      <c r="IM100" s="3" t="s">
        <v>2432</v>
      </c>
      <c r="IN100" s="3" t="s">
        <v>2432</v>
      </c>
      <c r="JH100" s="185" t="s">
        <v>2431</v>
      </c>
      <c r="JI100" s="173" t="e">
        <f>#REF!</f>
        <v>#REF!</v>
      </c>
      <c r="JJ100" s="173" t="e">
        <f>#REF!</f>
        <v>#REF!</v>
      </c>
      <c r="JK100" s="173" t="e">
        <f>#REF!</f>
        <v>#REF!</v>
      </c>
      <c r="JL100" s="173" t="e">
        <f>#REF!</f>
        <v>#REF!</v>
      </c>
      <c r="JM100" s="173" t="e">
        <f>#REF!</f>
        <v>#REF!</v>
      </c>
      <c r="JN100" s="173" t="e">
        <f>#REF!</f>
        <v>#REF!</v>
      </c>
      <c r="JO100" s="173" t="e">
        <f>#REF!</f>
        <v>#REF!</v>
      </c>
      <c r="JP100" s="173" t="e">
        <f>#REF!</f>
        <v>#REF!</v>
      </c>
      <c r="JQ100" s="199" t="e">
        <f>SUM(JM100:JP100)</f>
        <v>#REF!</v>
      </c>
      <c r="KB100" s="136"/>
      <c r="KC100" s="3"/>
      <c r="KD100" s="3"/>
      <c r="KE100" s="3"/>
      <c r="KF100" s="136"/>
      <c r="KG100" s="136"/>
      <c r="KH100" s="185" t="s">
        <v>2431</v>
      </c>
      <c r="KI100" s="187">
        <f t="shared" ref="KI100:KP100" si="138">COUNTIFS($BA$2:$BA$425,"ΜΩΥΣΑΚΗΣ ΓΙΑΝΝΗΣ",MB$2:MB$425,"άριστη")</f>
        <v>0</v>
      </c>
      <c r="KJ100" s="187">
        <f t="shared" si="138"/>
        <v>0</v>
      </c>
      <c r="KK100" s="187">
        <f t="shared" si="138"/>
        <v>0</v>
      </c>
      <c r="KL100" s="187">
        <f t="shared" si="138"/>
        <v>0</v>
      </c>
      <c r="KM100" s="187">
        <f t="shared" si="138"/>
        <v>0</v>
      </c>
      <c r="KN100" s="187">
        <f t="shared" si="138"/>
        <v>0</v>
      </c>
      <c r="KO100" s="187">
        <f t="shared" si="138"/>
        <v>0</v>
      </c>
      <c r="KP100" s="187">
        <f t="shared" si="138"/>
        <v>0</v>
      </c>
      <c r="KQ100" s="199">
        <f>SUM(KM100:KP100)</f>
        <v>0</v>
      </c>
      <c r="LE100" s="168"/>
      <c r="LF100" s="3"/>
      <c r="LG100" s="2"/>
      <c r="LH100" s="157"/>
      <c r="LI100" s="3"/>
      <c r="LJ100" s="3"/>
      <c r="LK100" s="3"/>
      <c r="LL100" s="3"/>
      <c r="LM100" s="2"/>
      <c r="LN100" s="93"/>
      <c r="LO100" s="3"/>
      <c r="LP100" s="3"/>
      <c r="LQ100" s="3"/>
      <c r="LR100" s="2"/>
      <c r="LS100" s="85"/>
      <c r="LT100" s="3"/>
      <c r="LU100" s="3"/>
      <c r="LV100" s="3"/>
      <c r="LW100" s="3"/>
      <c r="LX100" s="2"/>
      <c r="LY100" s="168"/>
      <c r="LZ100" s="2" t="s">
        <v>2859</v>
      </c>
      <c r="MA100" s="2" t="s">
        <v>1677</v>
      </c>
      <c r="MB100" s="3" t="s">
        <v>2432</v>
      </c>
      <c r="MC100" s="3" t="s">
        <v>2432</v>
      </c>
      <c r="MD100" s="3" t="s">
        <v>2432</v>
      </c>
      <c r="ME100" s="3" t="s">
        <v>2432</v>
      </c>
      <c r="MF100" s="3" t="s">
        <v>2432</v>
      </c>
      <c r="MG100" s="3" t="s">
        <v>2432</v>
      </c>
      <c r="MH100" s="3" t="s">
        <v>2432</v>
      </c>
      <c r="MI100" s="3" t="s">
        <v>2432</v>
      </c>
      <c r="MJ100" s="2"/>
      <c r="NL100" s="3"/>
      <c r="NM100" s="3"/>
      <c r="NN100" s="3"/>
      <c r="NO100" s="3"/>
      <c r="NP100" s="3"/>
      <c r="NQ100" s="3"/>
      <c r="NR100" s="3"/>
      <c r="NS100" s="3"/>
    </row>
    <row r="101" spans="39:383" ht="150">
      <c r="AM101" s="273">
        <v>45801</v>
      </c>
      <c r="AN101" s="274" t="s">
        <v>3070</v>
      </c>
      <c r="AO101" s="274"/>
      <c r="AP101" s="274"/>
      <c r="AS101" s="273">
        <v>45829</v>
      </c>
      <c r="AT101" s="274" t="s">
        <v>3070</v>
      </c>
      <c r="AU101" s="274"/>
      <c r="AV101" s="274"/>
      <c r="DI101" s="81"/>
      <c r="DJ101" s="81"/>
      <c r="DK101" s="81"/>
      <c r="DL101" s="81"/>
      <c r="DM101" s="81"/>
      <c r="GM101" s="186"/>
      <c r="GN101" s="170"/>
      <c r="GO101" s="170"/>
      <c r="GP101" s="170"/>
      <c r="GQ101" s="170"/>
      <c r="GR101" s="170"/>
      <c r="GS101" s="170"/>
      <c r="GT101" s="170"/>
      <c r="GU101" s="170"/>
      <c r="HJ101" s="168"/>
      <c r="HM101" s="157"/>
      <c r="HS101" s="93"/>
      <c r="HX101" s="85"/>
      <c r="ID101" s="168"/>
      <c r="IE101" s="2" t="s">
        <v>2859</v>
      </c>
      <c r="IF101" s="2" t="s">
        <v>1672</v>
      </c>
      <c r="IG101" s="3" t="s">
        <v>2432</v>
      </c>
      <c r="IH101" s="3" t="s">
        <v>2432</v>
      </c>
      <c r="II101" s="3" t="s">
        <v>2435</v>
      </c>
      <c r="IJ101" s="3" t="s">
        <v>2432</v>
      </c>
      <c r="IK101" s="3" t="s">
        <v>2432</v>
      </c>
      <c r="IL101" s="3" t="s">
        <v>2432</v>
      </c>
      <c r="IM101" s="3" t="s">
        <v>2432</v>
      </c>
      <c r="IN101" s="3" t="s">
        <v>2432</v>
      </c>
      <c r="JH101" s="186"/>
      <c r="JI101" s="170"/>
      <c r="JJ101" s="170"/>
      <c r="JK101" s="170"/>
      <c r="JL101" s="170"/>
      <c r="JM101" s="170"/>
      <c r="JN101" s="170"/>
      <c r="JO101" s="170"/>
      <c r="JP101" s="170"/>
      <c r="KB101" s="136"/>
      <c r="KC101" s="3"/>
      <c r="KD101" s="3"/>
      <c r="KE101" s="3"/>
      <c r="KF101" s="136"/>
      <c r="KG101" s="136"/>
      <c r="KH101" s="186"/>
      <c r="KI101" s="170"/>
      <c r="KJ101" s="170"/>
      <c r="KK101" s="170"/>
      <c r="KL101" s="170"/>
      <c r="KM101" s="170"/>
      <c r="KN101" s="170"/>
      <c r="KO101" s="170"/>
      <c r="KP101" s="170"/>
      <c r="LE101" s="168"/>
      <c r="LF101" s="3"/>
      <c r="LG101" s="2"/>
      <c r="LH101" s="157"/>
      <c r="LI101" s="3"/>
      <c r="LJ101" s="3"/>
      <c r="LK101" s="3"/>
      <c r="LL101" s="3"/>
      <c r="LM101" s="2"/>
      <c r="LN101" s="93"/>
      <c r="LO101" s="3"/>
      <c r="LP101" s="3"/>
      <c r="LQ101" s="3"/>
      <c r="LR101" s="2"/>
      <c r="LS101" s="85"/>
      <c r="LT101" s="3"/>
      <c r="LU101" s="3"/>
      <c r="LV101" s="3"/>
      <c r="LW101" s="3"/>
      <c r="LX101" s="2"/>
      <c r="LY101" s="168"/>
      <c r="LZ101" s="2" t="s">
        <v>2859</v>
      </c>
      <c r="MA101" s="2" t="s">
        <v>1672</v>
      </c>
      <c r="MB101" s="3" t="s">
        <v>2432</v>
      </c>
      <c r="MC101" s="3" t="s">
        <v>2432</v>
      </c>
      <c r="MD101" s="3" t="s">
        <v>2435</v>
      </c>
      <c r="ME101" s="3" t="s">
        <v>2432</v>
      </c>
      <c r="MF101" s="3" t="s">
        <v>2432</v>
      </c>
      <c r="MG101" s="3" t="s">
        <v>2432</v>
      </c>
      <c r="MH101" s="3" t="s">
        <v>2432</v>
      </c>
      <c r="MI101" s="3" t="s">
        <v>2432</v>
      </c>
      <c r="MJ101" s="2"/>
      <c r="NL101" s="3"/>
      <c r="NM101" s="3"/>
      <c r="NN101" s="3"/>
      <c r="NO101" s="3"/>
      <c r="NP101" s="3"/>
      <c r="NQ101" s="3"/>
      <c r="NR101" s="3"/>
      <c r="NS101" s="3"/>
    </row>
    <row r="102" spans="39:383" ht="150.75" thickBot="1">
      <c r="AM102" s="275">
        <v>45806</v>
      </c>
      <c r="AN102" s="276" t="s">
        <v>3070</v>
      </c>
      <c r="AO102" s="276"/>
      <c r="AP102" s="276"/>
      <c r="AS102" s="275">
        <v>45834</v>
      </c>
      <c r="AT102" s="276" t="s">
        <v>3070</v>
      </c>
      <c r="AU102" s="276"/>
      <c r="AV102" s="276"/>
      <c r="DI102" s="81"/>
      <c r="DJ102" s="81"/>
      <c r="DK102" s="81"/>
      <c r="DL102" s="81"/>
      <c r="DM102" s="81"/>
      <c r="HJ102" s="168"/>
      <c r="HM102" s="157"/>
      <c r="HS102" s="93"/>
      <c r="HX102" s="85"/>
      <c r="ID102" s="168"/>
      <c r="IE102" s="2" t="s">
        <v>2859</v>
      </c>
      <c r="IF102" s="2" t="s">
        <v>3031</v>
      </c>
      <c r="IG102" s="3" t="s">
        <v>2432</v>
      </c>
      <c r="IH102" s="3" t="s">
        <v>2432</v>
      </c>
      <c r="II102" s="3" t="s">
        <v>2432</v>
      </c>
      <c r="IJ102" s="3" t="s">
        <v>2432</v>
      </c>
      <c r="IK102" s="3" t="s">
        <v>2432</v>
      </c>
      <c r="IL102" s="3" t="s">
        <v>2432</v>
      </c>
      <c r="IM102" s="3" t="s">
        <v>2432</v>
      </c>
      <c r="IN102" s="3" t="s">
        <v>2432</v>
      </c>
      <c r="JH102" s="136"/>
      <c r="JI102" s="136"/>
      <c r="KB102" s="136"/>
      <c r="KC102" s="3"/>
      <c r="KD102" s="3"/>
      <c r="KE102" s="3"/>
      <c r="KF102" s="136"/>
      <c r="KG102" s="136"/>
      <c r="KH102" s="136"/>
      <c r="KI102" s="136"/>
      <c r="LE102" s="168"/>
      <c r="LF102" s="3"/>
      <c r="LG102" s="2"/>
      <c r="LH102" s="157"/>
      <c r="LI102" s="3"/>
      <c r="LJ102" s="3"/>
      <c r="LK102" s="3"/>
      <c r="LL102" s="3"/>
      <c r="LM102" s="2"/>
      <c r="LN102" s="93"/>
      <c r="LO102" s="3"/>
      <c r="LP102" s="3"/>
      <c r="LQ102" s="3"/>
      <c r="LR102" s="2"/>
      <c r="LS102" s="85"/>
      <c r="LT102" s="3"/>
      <c r="LU102" s="3"/>
      <c r="LV102" s="3"/>
      <c r="LW102" s="3"/>
      <c r="LX102" s="2"/>
      <c r="LY102" s="168"/>
      <c r="LZ102" s="2" t="s">
        <v>2859</v>
      </c>
      <c r="MA102" s="2" t="s">
        <v>3031</v>
      </c>
      <c r="MB102" s="3" t="s">
        <v>2432</v>
      </c>
      <c r="MC102" s="3" t="s">
        <v>2432</v>
      </c>
      <c r="MD102" s="3" t="s">
        <v>2432</v>
      </c>
      <c r="ME102" s="3" t="s">
        <v>2432</v>
      </c>
      <c r="MF102" s="3" t="s">
        <v>2432</v>
      </c>
      <c r="MG102" s="3" t="s">
        <v>2432</v>
      </c>
      <c r="MH102" s="3" t="s">
        <v>2432</v>
      </c>
      <c r="MI102" s="3" t="s">
        <v>2432</v>
      </c>
      <c r="MJ102" s="2"/>
      <c r="NL102" s="3"/>
      <c r="NM102" s="3"/>
      <c r="NN102" s="3"/>
      <c r="NO102" s="3"/>
      <c r="NP102" s="3"/>
      <c r="NQ102" s="3"/>
      <c r="NR102" s="3"/>
      <c r="NS102" s="3"/>
    </row>
    <row r="103" spans="39:383" ht="150">
      <c r="AM103" s="275">
        <v>45807</v>
      </c>
      <c r="AN103" s="276" t="s">
        <v>3070</v>
      </c>
      <c r="AO103" s="276"/>
      <c r="AP103" s="276"/>
      <c r="AS103" s="275">
        <v>45835</v>
      </c>
      <c r="AT103" s="276" t="s">
        <v>3070</v>
      </c>
      <c r="AU103" s="276"/>
      <c r="AV103" s="276"/>
      <c r="DI103" s="81"/>
      <c r="DJ103" s="81"/>
      <c r="DK103" s="81"/>
      <c r="DL103" s="81"/>
      <c r="DM103" s="81"/>
      <c r="GM103" s="175" t="s">
        <v>1672</v>
      </c>
      <c r="GN103" s="171" t="s">
        <v>2354</v>
      </c>
      <c r="GO103" s="171" t="s">
        <v>2355</v>
      </c>
      <c r="GP103" s="171" t="s">
        <v>2356</v>
      </c>
      <c r="GQ103" s="172" t="s">
        <v>2357</v>
      </c>
      <c r="GR103" s="171" t="s">
        <v>2358</v>
      </c>
      <c r="GS103" s="171" t="s">
        <v>2359</v>
      </c>
      <c r="GT103" s="171" t="s">
        <v>2360</v>
      </c>
      <c r="GU103" s="172" t="s">
        <v>2361</v>
      </c>
      <c r="GV103" s="6" t="s">
        <v>2480</v>
      </c>
      <c r="HJ103" s="168"/>
      <c r="HM103" s="157"/>
      <c r="HS103" s="93"/>
      <c r="HX103" s="85"/>
      <c r="ID103" s="168"/>
      <c r="IE103" s="2" t="s">
        <v>2859</v>
      </c>
      <c r="IF103" s="2" t="s">
        <v>1667</v>
      </c>
      <c r="IG103" s="3" t="s">
        <v>2432</v>
      </c>
      <c r="IH103" s="3" t="s">
        <v>2432</v>
      </c>
      <c r="II103" s="3" t="s">
        <v>2432</v>
      </c>
      <c r="IJ103" s="3" t="s">
        <v>2432</v>
      </c>
      <c r="IK103" s="3" t="s">
        <v>2432</v>
      </c>
      <c r="IL103" s="3" t="s">
        <v>2432</v>
      </c>
      <c r="IM103" s="3" t="s">
        <v>2432</v>
      </c>
      <c r="IN103" s="3" t="s">
        <v>2432</v>
      </c>
      <c r="JH103" s="175" t="s">
        <v>1672</v>
      </c>
      <c r="JI103" s="171" t="s">
        <v>2354</v>
      </c>
      <c r="JJ103" s="171" t="s">
        <v>2355</v>
      </c>
      <c r="JK103" s="171" t="s">
        <v>2356</v>
      </c>
      <c r="JL103" s="172" t="s">
        <v>2357</v>
      </c>
      <c r="JM103" s="171" t="s">
        <v>2358</v>
      </c>
      <c r="JN103" s="171" t="s">
        <v>2359</v>
      </c>
      <c r="JO103" s="171" t="s">
        <v>2360</v>
      </c>
      <c r="JP103" s="172" t="s">
        <v>2361</v>
      </c>
      <c r="JQ103" s="6" t="s">
        <v>2480</v>
      </c>
      <c r="KB103" s="136"/>
      <c r="KC103" s="3"/>
      <c r="KD103" s="3"/>
      <c r="KE103" s="3"/>
      <c r="KF103" s="136"/>
      <c r="KG103" s="136"/>
      <c r="KH103" s="175" t="s">
        <v>1672</v>
      </c>
      <c r="KI103" s="171" t="s">
        <v>2354</v>
      </c>
      <c r="KJ103" s="171" t="s">
        <v>2355</v>
      </c>
      <c r="KK103" s="171" t="s">
        <v>2356</v>
      </c>
      <c r="KL103" s="172" t="s">
        <v>2357</v>
      </c>
      <c r="KM103" s="171" t="s">
        <v>2358</v>
      </c>
      <c r="KN103" s="171" t="s">
        <v>2359</v>
      </c>
      <c r="KO103" s="171" t="s">
        <v>2360</v>
      </c>
      <c r="KP103" s="172" t="s">
        <v>2361</v>
      </c>
      <c r="KQ103" s="6" t="s">
        <v>2480</v>
      </c>
      <c r="LE103" s="168"/>
      <c r="LF103" s="3"/>
      <c r="LG103" s="2"/>
      <c r="LH103" s="157"/>
      <c r="LI103" s="3"/>
      <c r="LJ103" s="3"/>
      <c r="LK103" s="3"/>
      <c r="LL103" s="3"/>
      <c r="LM103" s="2"/>
      <c r="LN103" s="93"/>
      <c r="LO103" s="3"/>
      <c r="LP103" s="3"/>
      <c r="LQ103" s="3"/>
      <c r="LR103" s="2"/>
      <c r="LS103" s="85"/>
      <c r="LT103" s="3"/>
      <c r="LU103" s="3"/>
      <c r="LV103" s="3"/>
      <c r="LW103" s="3"/>
      <c r="LX103" s="2"/>
      <c r="LY103" s="168"/>
      <c r="LZ103" s="2" t="s">
        <v>2859</v>
      </c>
      <c r="MA103" s="2" t="s">
        <v>1667</v>
      </c>
      <c r="MB103" s="3" t="s">
        <v>2432</v>
      </c>
      <c r="MC103" s="3" t="s">
        <v>2432</v>
      </c>
      <c r="MD103" s="3" t="s">
        <v>2432</v>
      </c>
      <c r="ME103" s="3" t="s">
        <v>2432</v>
      </c>
      <c r="MF103" s="3" t="s">
        <v>2432</v>
      </c>
      <c r="MG103" s="3" t="s">
        <v>2432</v>
      </c>
      <c r="MH103" s="3" t="s">
        <v>2432</v>
      </c>
      <c r="MI103" s="3" t="s">
        <v>2432</v>
      </c>
      <c r="MJ103" s="2"/>
      <c r="NL103" s="3"/>
      <c r="NM103" s="3"/>
      <c r="NN103" s="3"/>
      <c r="NO103" s="3"/>
      <c r="NP103" s="3"/>
      <c r="NQ103" s="3"/>
      <c r="NR103" s="3"/>
      <c r="NS103" s="3"/>
    </row>
    <row r="104" spans="39:383" ht="150">
      <c r="AM104" s="275">
        <v>45808</v>
      </c>
      <c r="AN104" s="276" t="s">
        <v>3070</v>
      </c>
      <c r="AO104" s="276"/>
      <c r="AP104" s="276"/>
      <c r="AS104" s="275">
        <v>45836</v>
      </c>
      <c r="AT104" s="276" t="s">
        <v>3070</v>
      </c>
      <c r="AU104" s="276"/>
      <c r="AV104" s="276"/>
      <c r="DI104" s="81"/>
      <c r="DJ104" s="81"/>
      <c r="DK104" s="81"/>
      <c r="DL104" s="81"/>
      <c r="DM104" s="81"/>
      <c r="GM104" s="184" t="s">
        <v>2525</v>
      </c>
      <c r="GN104" s="173">
        <f t="shared" ref="GN104:GU104" si="139">COUNTIFS($BA$2:$BA$425,"ΝΕΟΝΑΚΗ ΜΑΡΙΝΑ",IG$2:IG$425,"κακή")</f>
        <v>0</v>
      </c>
      <c r="GO104" s="173">
        <f t="shared" si="139"/>
        <v>0</v>
      </c>
      <c r="GP104" s="173">
        <f t="shared" si="139"/>
        <v>0</v>
      </c>
      <c r="GQ104" s="173">
        <f t="shared" si="139"/>
        <v>0</v>
      </c>
      <c r="GR104" s="173">
        <f t="shared" si="139"/>
        <v>0</v>
      </c>
      <c r="GS104" s="173">
        <f t="shared" si="139"/>
        <v>0</v>
      </c>
      <c r="GT104" s="173">
        <f t="shared" si="139"/>
        <v>0</v>
      </c>
      <c r="GU104" s="173">
        <f t="shared" si="139"/>
        <v>0</v>
      </c>
      <c r="GV104" s="170">
        <f>SUM(GR104:GU104)</f>
        <v>0</v>
      </c>
      <c r="HJ104" s="168"/>
      <c r="HM104" s="157"/>
      <c r="HS104" s="93"/>
      <c r="HX104" s="85"/>
      <c r="ID104" s="168"/>
      <c r="IE104" s="2" t="s">
        <v>2859</v>
      </c>
      <c r="IF104" s="2" t="s">
        <v>3046</v>
      </c>
      <c r="IG104" s="3" t="s">
        <v>2432</v>
      </c>
      <c r="IH104" s="3" t="s">
        <v>2432</v>
      </c>
      <c r="II104" s="3" t="s">
        <v>2432</v>
      </c>
      <c r="IJ104" s="3" t="s">
        <v>2432</v>
      </c>
      <c r="IK104" s="3" t="s">
        <v>2432</v>
      </c>
      <c r="IL104" s="3" t="s">
        <v>2432</v>
      </c>
      <c r="IM104" s="3" t="s">
        <v>2432</v>
      </c>
      <c r="IN104" s="3" t="s">
        <v>2432</v>
      </c>
      <c r="JH104" s="184" t="s">
        <v>2525</v>
      </c>
      <c r="JI104" s="173" t="e">
        <f>#REF!</f>
        <v>#REF!</v>
      </c>
      <c r="JJ104" s="173" t="e">
        <f>#REF!</f>
        <v>#REF!</v>
      </c>
      <c r="JK104" s="173" t="e">
        <f>#REF!</f>
        <v>#REF!</v>
      </c>
      <c r="JL104" s="173" t="e">
        <f>#REF!</f>
        <v>#REF!</v>
      </c>
      <c r="JM104" s="173" t="e">
        <f>#REF!</f>
        <v>#REF!</v>
      </c>
      <c r="JN104" s="173" t="e">
        <f>#REF!</f>
        <v>#REF!</v>
      </c>
      <c r="JO104" s="173" t="e">
        <f>#REF!</f>
        <v>#REF!</v>
      </c>
      <c r="JP104" s="173" t="e">
        <f>#REF!</f>
        <v>#REF!</v>
      </c>
      <c r="JQ104" s="170" t="e">
        <f>SUM(JM104:JP104)</f>
        <v>#REF!</v>
      </c>
      <c r="KB104" s="136"/>
      <c r="KC104" s="3"/>
      <c r="KD104" s="3"/>
      <c r="KE104" s="3"/>
      <c r="KF104" s="136"/>
      <c r="KG104" s="136"/>
      <c r="KH104" s="184" t="s">
        <v>2525</v>
      </c>
      <c r="KI104" s="173">
        <f t="shared" ref="KI104:KP104" si="140">COUNTIFS($BA$2:$BA$425,"ΝΕΟΝΑΚΗ ΜΑΡΙΝΑ",MB$2:MB$425,"κακή")</f>
        <v>0</v>
      </c>
      <c r="KJ104" s="173">
        <f t="shared" si="140"/>
        <v>0</v>
      </c>
      <c r="KK104" s="173">
        <f t="shared" si="140"/>
        <v>0</v>
      </c>
      <c r="KL104" s="173">
        <f t="shared" si="140"/>
        <v>0</v>
      </c>
      <c r="KM104" s="173">
        <f t="shared" si="140"/>
        <v>0</v>
      </c>
      <c r="KN104" s="173">
        <f t="shared" si="140"/>
        <v>0</v>
      </c>
      <c r="KO104" s="173">
        <f t="shared" si="140"/>
        <v>0</v>
      </c>
      <c r="KP104" s="173">
        <f t="shared" si="140"/>
        <v>0</v>
      </c>
      <c r="KQ104" s="170">
        <f>SUM(KM104:KP104)</f>
        <v>0</v>
      </c>
      <c r="LE104" s="168"/>
      <c r="LF104" s="3"/>
      <c r="LG104" s="2"/>
      <c r="LH104" s="157"/>
      <c r="LI104" s="3"/>
      <c r="LJ104" s="3"/>
      <c r="LK104" s="3"/>
      <c r="LL104" s="3"/>
      <c r="LM104" s="2"/>
      <c r="LN104" s="93"/>
      <c r="LO104" s="3"/>
      <c r="LP104" s="3"/>
      <c r="LQ104" s="3"/>
      <c r="LR104" s="2"/>
      <c r="LS104" s="85"/>
      <c r="LT104" s="3"/>
      <c r="LU104" s="3"/>
      <c r="LV104" s="3"/>
      <c r="LW104" s="3"/>
      <c r="LX104" s="2"/>
      <c r="LY104" s="168"/>
      <c r="LZ104" s="2" t="s">
        <v>2859</v>
      </c>
      <c r="MA104" s="2" t="s">
        <v>3046</v>
      </c>
      <c r="MB104" s="3" t="s">
        <v>2432</v>
      </c>
      <c r="MC104" s="3" t="s">
        <v>2432</v>
      </c>
      <c r="MD104" s="3" t="s">
        <v>2432</v>
      </c>
      <c r="ME104" s="3" t="s">
        <v>2432</v>
      </c>
      <c r="MF104" s="3" t="s">
        <v>2432</v>
      </c>
      <c r="MG104" s="3" t="s">
        <v>2432</v>
      </c>
      <c r="MH104" s="3" t="s">
        <v>2432</v>
      </c>
      <c r="MI104" s="3" t="s">
        <v>2432</v>
      </c>
      <c r="MJ104" s="2"/>
      <c r="NL104" s="3"/>
      <c r="NM104" s="3"/>
      <c r="NN104" s="3"/>
      <c r="NO104" s="3"/>
      <c r="NP104" s="3"/>
      <c r="NQ104" s="3"/>
      <c r="NR104" s="3"/>
      <c r="NS104" s="3"/>
    </row>
    <row r="105" spans="39:383">
      <c r="AS105" s="272"/>
      <c r="AT105" s="272"/>
      <c r="DI105" s="81"/>
      <c r="DJ105" s="81"/>
      <c r="DK105" s="81"/>
      <c r="DL105" s="81"/>
      <c r="DM105" s="81"/>
      <c r="GM105" s="184" t="s">
        <v>2435</v>
      </c>
      <c r="GN105" s="173">
        <f t="shared" ref="GN105:GU105" si="141">COUNTIFS($BA$2:$BA$425,"ΝΕΟΝΑΚΗ ΜΑΡΙΝΑ",IG$2:IG$425,"μέτρια")</f>
        <v>0</v>
      </c>
      <c r="GO105" s="173">
        <f t="shared" si="141"/>
        <v>0</v>
      </c>
      <c r="GP105" s="173">
        <f t="shared" si="141"/>
        <v>0</v>
      </c>
      <c r="GQ105" s="173">
        <f t="shared" si="141"/>
        <v>0</v>
      </c>
      <c r="GR105" s="173">
        <f t="shared" si="141"/>
        <v>0</v>
      </c>
      <c r="GS105" s="173">
        <f t="shared" si="141"/>
        <v>0</v>
      </c>
      <c r="GT105" s="173">
        <f t="shared" si="141"/>
        <v>0</v>
      </c>
      <c r="GU105" s="173">
        <f t="shared" si="141"/>
        <v>0</v>
      </c>
      <c r="GV105" s="170">
        <f>SUM(GR105:GU105)</f>
        <v>0</v>
      </c>
      <c r="HJ105" s="168"/>
      <c r="HM105" s="157"/>
      <c r="HS105" s="93"/>
      <c r="HX105" s="85"/>
      <c r="ID105" s="168"/>
      <c r="JH105" s="184" t="s">
        <v>2435</v>
      </c>
      <c r="JI105" s="173" t="e">
        <f>#REF!</f>
        <v>#REF!</v>
      </c>
      <c r="JJ105" s="173" t="e">
        <f>#REF!</f>
        <v>#REF!</v>
      </c>
      <c r="JK105" s="173" t="e">
        <f>#REF!</f>
        <v>#REF!</v>
      </c>
      <c r="JL105" s="173" t="e">
        <f>#REF!</f>
        <v>#REF!</v>
      </c>
      <c r="JM105" s="173" t="e">
        <f>#REF!</f>
        <v>#REF!</v>
      </c>
      <c r="JN105" s="173" t="e">
        <f>#REF!</f>
        <v>#REF!</v>
      </c>
      <c r="JO105" s="173" t="e">
        <f>#REF!</f>
        <v>#REF!</v>
      </c>
      <c r="JP105" s="173" t="e">
        <f>#REF!</f>
        <v>#REF!</v>
      </c>
      <c r="JQ105" s="170" t="e">
        <f>SUM(JM105:JP105)</f>
        <v>#REF!</v>
      </c>
      <c r="NL105" s="3"/>
      <c r="NM105" s="3"/>
      <c r="NN105" s="3"/>
      <c r="NO105" s="3"/>
      <c r="NP105" s="3"/>
      <c r="NQ105" s="3"/>
      <c r="NR105" s="3"/>
      <c r="NS105" s="3"/>
    </row>
    <row r="106" spans="39:383">
      <c r="AS106" s="272"/>
      <c r="AT106" s="272"/>
      <c r="DI106" s="81"/>
      <c r="DJ106" s="81"/>
      <c r="DK106" s="81"/>
      <c r="DL106" s="81"/>
      <c r="DM106" s="81"/>
      <c r="GM106" s="184" t="s">
        <v>2603</v>
      </c>
      <c r="GN106" s="173">
        <f t="shared" ref="GN106:GU106" si="142">COUNTIFS($BA$2:$BA$425,"ΝΕΟΝΑΚΗ ΜΑΡΙΝΑ",IG$2:IG$425,"καλή")</f>
        <v>0</v>
      </c>
      <c r="GO106" s="173">
        <f t="shared" si="142"/>
        <v>0</v>
      </c>
      <c r="GP106" s="173">
        <f t="shared" si="142"/>
        <v>0</v>
      </c>
      <c r="GQ106" s="173">
        <f t="shared" si="142"/>
        <v>0</v>
      </c>
      <c r="GR106" s="173">
        <f t="shared" si="142"/>
        <v>0</v>
      </c>
      <c r="GS106" s="173">
        <f t="shared" si="142"/>
        <v>0</v>
      </c>
      <c r="GT106" s="173">
        <f t="shared" si="142"/>
        <v>0</v>
      </c>
      <c r="GU106" s="173">
        <f t="shared" si="142"/>
        <v>0</v>
      </c>
      <c r="GV106" s="199">
        <f>SUM(GR106:GU106)</f>
        <v>0</v>
      </c>
      <c r="HJ106" s="168"/>
      <c r="HM106" s="157"/>
      <c r="HS106" s="93"/>
      <c r="HX106" s="85"/>
      <c r="ID106" s="168"/>
      <c r="JH106" s="184" t="s">
        <v>2603</v>
      </c>
      <c r="JI106" s="173" t="e">
        <f>#REF!</f>
        <v>#REF!</v>
      </c>
      <c r="JJ106" s="173" t="e">
        <f>#REF!</f>
        <v>#REF!</v>
      </c>
      <c r="JK106" s="173" t="e">
        <f>#REF!</f>
        <v>#REF!</v>
      </c>
      <c r="JL106" s="173" t="e">
        <f>#REF!</f>
        <v>#REF!</v>
      </c>
      <c r="JM106" s="173" t="e">
        <f>#REF!</f>
        <v>#REF!</v>
      </c>
      <c r="JN106" s="173" t="e">
        <f>#REF!</f>
        <v>#REF!</v>
      </c>
      <c r="JO106" s="173" t="e">
        <f>#REF!</f>
        <v>#REF!</v>
      </c>
      <c r="JP106" s="173" t="e">
        <f>#REF!</f>
        <v>#REF!</v>
      </c>
      <c r="JQ106" s="199" t="e">
        <f>SUM(JM106:JP106)</f>
        <v>#REF!</v>
      </c>
      <c r="NL106" s="3"/>
      <c r="NM106" s="3"/>
      <c r="NN106" s="3"/>
      <c r="NO106" s="3"/>
      <c r="NP106" s="3"/>
      <c r="NQ106" s="3"/>
      <c r="NR106" s="3"/>
      <c r="NS106" s="3"/>
    </row>
    <row r="107" spans="39:383">
      <c r="AM107" s="1305" t="s">
        <v>1992</v>
      </c>
      <c r="AN107" s="1305" t="s">
        <v>437</v>
      </c>
      <c r="AO107" s="1304" t="s">
        <v>1993</v>
      </c>
      <c r="AP107" s="1304" t="s">
        <v>1994</v>
      </c>
      <c r="AS107" s="1304" t="s">
        <v>1992</v>
      </c>
      <c r="AT107" s="1305" t="s">
        <v>437</v>
      </c>
      <c r="AU107" s="1304" t="s">
        <v>1993</v>
      </c>
      <c r="AV107" s="1304" t="s">
        <v>1994</v>
      </c>
      <c r="DI107" s="81"/>
      <c r="DJ107" s="81"/>
      <c r="DK107" s="81"/>
      <c r="DL107" s="81"/>
      <c r="DM107" s="81"/>
      <c r="GM107" s="184" t="s">
        <v>2639</v>
      </c>
      <c r="GN107" s="173">
        <f t="shared" ref="GN107:GU107" si="143">COUNTIFS($BA$2:$BA$425,"ΝΕΟΝΑΚΗ ΜΑΡΙΝΑ",IG$2:IG$425,"πολύ καλή")</f>
        <v>0</v>
      </c>
      <c r="GO107" s="173">
        <f t="shared" si="143"/>
        <v>0</v>
      </c>
      <c r="GP107" s="173">
        <f t="shared" si="143"/>
        <v>0</v>
      </c>
      <c r="GQ107" s="173">
        <f t="shared" si="143"/>
        <v>0</v>
      </c>
      <c r="GR107" s="173">
        <f t="shared" si="143"/>
        <v>0</v>
      </c>
      <c r="GS107" s="173">
        <f t="shared" si="143"/>
        <v>0</v>
      </c>
      <c r="GT107" s="173">
        <f t="shared" si="143"/>
        <v>0</v>
      </c>
      <c r="GU107" s="173">
        <f t="shared" si="143"/>
        <v>0</v>
      </c>
      <c r="GV107" s="199">
        <f>SUM(GR107:GU107)</f>
        <v>0</v>
      </c>
      <c r="HJ107" s="168"/>
      <c r="HM107" s="157"/>
      <c r="HS107" s="93"/>
      <c r="HX107" s="85"/>
      <c r="ID107" s="168"/>
      <c r="JH107" s="184" t="s">
        <v>2639</v>
      </c>
      <c r="JI107" s="173" t="e">
        <f>#REF!</f>
        <v>#REF!</v>
      </c>
      <c r="JJ107" s="173" t="e">
        <f>#REF!</f>
        <v>#REF!</v>
      </c>
      <c r="JK107" s="173" t="e">
        <f>#REF!</f>
        <v>#REF!</v>
      </c>
      <c r="JL107" s="173" t="e">
        <f>#REF!</f>
        <v>#REF!</v>
      </c>
      <c r="JM107" s="173" t="e">
        <f>#REF!</f>
        <v>#REF!</v>
      </c>
      <c r="JN107" s="173" t="e">
        <f>#REF!</f>
        <v>#REF!</v>
      </c>
      <c r="JO107" s="173" t="e">
        <f>#REF!</f>
        <v>#REF!</v>
      </c>
      <c r="JP107" s="173" t="e">
        <f>#REF!</f>
        <v>#REF!</v>
      </c>
      <c r="JQ107" s="199" t="e">
        <f>SUM(JM107:JP107)</f>
        <v>#REF!</v>
      </c>
      <c r="NL107" s="3"/>
      <c r="NM107" s="3"/>
      <c r="NN107" s="3"/>
      <c r="NO107" s="3"/>
      <c r="NP107" s="3"/>
      <c r="NQ107" s="3"/>
      <c r="NR107" s="3"/>
      <c r="NS107" s="3"/>
    </row>
    <row r="108" spans="39:383" ht="15.75" thickBot="1">
      <c r="AM108" s="1306"/>
      <c r="AN108" s="1306"/>
      <c r="AO108" s="1304"/>
      <c r="AP108" s="1304"/>
      <c r="AS108" s="1304"/>
      <c r="AT108" s="1306"/>
      <c r="AU108" s="1304"/>
      <c r="AV108" s="1304"/>
      <c r="DI108" s="81"/>
      <c r="DJ108" s="81"/>
      <c r="DK108" s="81"/>
      <c r="DL108" s="81"/>
      <c r="DM108" s="81"/>
      <c r="GM108" s="185" t="s">
        <v>2431</v>
      </c>
      <c r="GN108" s="187">
        <f t="shared" ref="GN108:GU108" si="144">COUNTIFS($BA$2:$BA$425,"ΝΕΟΝΑΚΗ ΜΑΡΙΝΑ",IG$2:IG$425,"άριστη")</f>
        <v>0</v>
      </c>
      <c r="GO108" s="187">
        <f t="shared" si="144"/>
        <v>0</v>
      </c>
      <c r="GP108" s="187">
        <f t="shared" si="144"/>
        <v>0</v>
      </c>
      <c r="GQ108" s="187">
        <f t="shared" si="144"/>
        <v>0</v>
      </c>
      <c r="GR108" s="187">
        <f t="shared" si="144"/>
        <v>0</v>
      </c>
      <c r="GS108" s="187">
        <f t="shared" si="144"/>
        <v>0</v>
      </c>
      <c r="GT108" s="187">
        <f t="shared" si="144"/>
        <v>0</v>
      </c>
      <c r="GU108" s="187">
        <f t="shared" si="144"/>
        <v>0</v>
      </c>
      <c r="GV108" s="199">
        <f>SUM(GR108:GU108)</f>
        <v>0</v>
      </c>
      <c r="HJ108" s="168"/>
      <c r="HM108" s="157"/>
      <c r="HS108" s="93"/>
      <c r="HX108" s="85"/>
      <c r="ID108" s="168"/>
      <c r="JH108" s="185" t="s">
        <v>2431</v>
      </c>
      <c r="JI108" s="173" t="e">
        <f>#REF!</f>
        <v>#REF!</v>
      </c>
      <c r="JJ108" s="173" t="e">
        <f>#REF!</f>
        <v>#REF!</v>
      </c>
      <c r="JK108" s="173" t="e">
        <f>#REF!</f>
        <v>#REF!</v>
      </c>
      <c r="JL108" s="173" t="e">
        <f>#REF!</f>
        <v>#REF!</v>
      </c>
      <c r="JM108" s="173" t="e">
        <f>#REF!</f>
        <v>#REF!</v>
      </c>
      <c r="JN108" s="173" t="e">
        <f>#REF!</f>
        <v>#REF!</v>
      </c>
      <c r="JO108" s="173" t="e">
        <f>#REF!</f>
        <v>#REF!</v>
      </c>
      <c r="JP108" s="173" t="e">
        <f>#REF!</f>
        <v>#REF!</v>
      </c>
      <c r="JQ108" s="199" t="e">
        <f>SUM(JM108:JP108)</f>
        <v>#REF!</v>
      </c>
      <c r="NL108" s="3"/>
      <c r="NM108" s="3"/>
      <c r="NN108" s="3"/>
      <c r="NO108" s="3"/>
      <c r="NP108" s="3"/>
      <c r="NQ108" s="3"/>
      <c r="NR108" s="3"/>
      <c r="NS108" s="3"/>
    </row>
    <row r="109" spans="39:383">
      <c r="AM109" s="273">
        <v>45782</v>
      </c>
      <c r="AN109" s="274" t="s">
        <v>2457</v>
      </c>
      <c r="AO109" s="274"/>
      <c r="AP109" s="274"/>
      <c r="AS109" s="273">
        <v>45810</v>
      </c>
      <c r="AT109" s="274" t="s">
        <v>2457</v>
      </c>
      <c r="AU109" s="274"/>
      <c r="AV109" s="274"/>
      <c r="DI109" s="81"/>
      <c r="DJ109" s="81"/>
      <c r="DK109" s="81"/>
      <c r="DL109" s="81"/>
      <c r="DM109" s="81"/>
      <c r="GM109" s="186"/>
      <c r="GN109" s="170"/>
      <c r="GO109" s="170"/>
      <c r="GP109" s="170"/>
      <c r="GQ109" s="170"/>
      <c r="GR109" s="170"/>
      <c r="GS109" s="170"/>
      <c r="GT109" s="170"/>
      <c r="GU109" s="170"/>
      <c r="HJ109" s="168"/>
      <c r="HM109" s="157"/>
      <c r="HS109" s="93"/>
      <c r="HX109" s="85"/>
      <c r="ID109" s="168"/>
      <c r="JH109" s="186"/>
      <c r="JI109" s="170"/>
      <c r="JJ109" s="170"/>
      <c r="JK109" s="170"/>
      <c r="JL109" s="170"/>
      <c r="JM109" s="170"/>
      <c r="JN109" s="170"/>
      <c r="JO109" s="170"/>
      <c r="JP109" s="170"/>
      <c r="NL109" s="3"/>
      <c r="NM109" s="3"/>
      <c r="NN109" s="3"/>
      <c r="NO109" s="3"/>
      <c r="NP109" s="3"/>
      <c r="NQ109" s="3"/>
      <c r="NR109" s="3"/>
      <c r="NS109" s="3"/>
    </row>
    <row r="110" spans="39:383" ht="15.75" thickBot="1">
      <c r="AM110" s="273">
        <v>45785</v>
      </c>
      <c r="AN110" s="274" t="s">
        <v>2457</v>
      </c>
      <c r="AO110" s="274"/>
      <c r="AP110" s="274"/>
      <c r="AS110" s="273">
        <v>45813</v>
      </c>
      <c r="AT110" s="274" t="s">
        <v>2457</v>
      </c>
      <c r="AU110" s="274"/>
      <c r="AV110" s="274"/>
      <c r="DI110" s="81"/>
      <c r="DJ110" s="81"/>
      <c r="DK110" s="81"/>
      <c r="DL110" s="81"/>
      <c r="DM110" s="81"/>
      <c r="GM110" s="186"/>
      <c r="GN110" s="170"/>
      <c r="GO110" s="170"/>
      <c r="GP110" s="170"/>
      <c r="GQ110" s="170"/>
      <c r="GR110" s="170"/>
      <c r="GS110" s="170"/>
      <c r="GT110" s="170"/>
      <c r="GU110" s="170"/>
      <c r="HJ110" s="168"/>
      <c r="HM110" s="157"/>
      <c r="HS110" s="93"/>
      <c r="HX110" s="85"/>
      <c r="ID110" s="168"/>
      <c r="JH110" s="186"/>
      <c r="JI110" s="170"/>
      <c r="JJ110" s="170"/>
      <c r="JK110" s="170"/>
      <c r="JL110" s="170"/>
      <c r="JM110" s="170"/>
      <c r="JN110" s="170"/>
      <c r="JO110" s="170"/>
      <c r="JP110" s="170"/>
      <c r="NL110" s="3"/>
      <c r="NM110" s="3"/>
      <c r="NN110" s="3"/>
      <c r="NO110" s="3"/>
      <c r="NP110" s="3"/>
      <c r="NQ110" s="3"/>
      <c r="NR110" s="3"/>
      <c r="NS110" s="3"/>
    </row>
    <row r="111" spans="39:383" ht="150">
      <c r="AM111" s="273">
        <v>45787</v>
      </c>
      <c r="AN111" s="274" t="s">
        <v>2457</v>
      </c>
      <c r="AO111" s="274"/>
      <c r="AP111" s="274"/>
      <c r="AS111" s="273">
        <v>45815</v>
      </c>
      <c r="AT111" s="274" t="s">
        <v>2457</v>
      </c>
      <c r="AU111" s="274"/>
      <c r="AV111" s="274"/>
      <c r="DI111" s="81"/>
      <c r="DJ111" s="81"/>
      <c r="DK111" s="81"/>
      <c r="DL111" s="81"/>
      <c r="DM111" s="81"/>
      <c r="GM111" s="175" t="s">
        <v>3066</v>
      </c>
      <c r="GN111" s="171" t="s">
        <v>2354</v>
      </c>
      <c r="GO111" s="171" t="s">
        <v>2355</v>
      </c>
      <c r="GP111" s="171" t="s">
        <v>2356</v>
      </c>
      <c r="GQ111" s="172" t="s">
        <v>2357</v>
      </c>
      <c r="GR111" s="171" t="s">
        <v>2358</v>
      </c>
      <c r="GS111" s="171" t="s">
        <v>2359</v>
      </c>
      <c r="GT111" s="171" t="s">
        <v>2360</v>
      </c>
      <c r="GU111" s="172" t="s">
        <v>2361</v>
      </c>
      <c r="GV111" s="6" t="s">
        <v>2480</v>
      </c>
      <c r="HJ111" s="168"/>
      <c r="HM111" s="157"/>
      <c r="HS111" s="93"/>
      <c r="HX111" s="85"/>
      <c r="ID111" s="168"/>
      <c r="JH111" s="175" t="s">
        <v>3066</v>
      </c>
      <c r="JI111" s="171" t="s">
        <v>2354</v>
      </c>
      <c r="JJ111" s="171" t="s">
        <v>2355</v>
      </c>
      <c r="JK111" s="171" t="s">
        <v>2356</v>
      </c>
      <c r="JL111" s="172" t="s">
        <v>2357</v>
      </c>
      <c r="JM111" s="171" t="s">
        <v>2358</v>
      </c>
      <c r="JN111" s="171" t="s">
        <v>2359</v>
      </c>
      <c r="JO111" s="171" t="s">
        <v>2360</v>
      </c>
      <c r="JP111" s="172" t="s">
        <v>2361</v>
      </c>
      <c r="JQ111" s="6" t="s">
        <v>2480</v>
      </c>
      <c r="NL111" s="3"/>
      <c r="NM111" s="3"/>
      <c r="NN111" s="3"/>
      <c r="NO111" s="3"/>
      <c r="NP111" s="3"/>
      <c r="NQ111" s="3"/>
      <c r="NR111" s="3"/>
      <c r="NS111" s="3"/>
    </row>
    <row r="112" spans="39:383">
      <c r="AM112" s="275">
        <v>45789</v>
      </c>
      <c r="AN112" s="276" t="s">
        <v>2457</v>
      </c>
      <c r="AO112" s="276"/>
      <c r="AP112" s="276"/>
      <c r="AS112" s="275">
        <v>45817</v>
      </c>
      <c r="AT112" s="276" t="s">
        <v>2457</v>
      </c>
      <c r="AU112" s="276"/>
      <c r="AV112" s="276"/>
      <c r="DI112" s="81"/>
      <c r="DJ112" s="81"/>
      <c r="DK112" s="81"/>
      <c r="DL112" s="81"/>
      <c r="DM112" s="81"/>
      <c r="GM112" s="184" t="s">
        <v>2525</v>
      </c>
      <c r="GN112" s="173">
        <f t="shared" ref="GN112:GU112" si="145">COUNTIFS($BA$2:$BA$425,"ΠΕΤΡΟΥΛΑΚΗ ΤΟΝΙΑ",IG$2:IG$425,"κακή")</f>
        <v>0</v>
      </c>
      <c r="GO112" s="173">
        <f t="shared" si="145"/>
        <v>0</v>
      </c>
      <c r="GP112" s="173">
        <f t="shared" si="145"/>
        <v>0</v>
      </c>
      <c r="GQ112" s="173">
        <f t="shared" si="145"/>
        <v>0</v>
      </c>
      <c r="GR112" s="173">
        <f t="shared" si="145"/>
        <v>0</v>
      </c>
      <c r="GS112" s="173">
        <f t="shared" si="145"/>
        <v>0</v>
      </c>
      <c r="GT112" s="173">
        <f t="shared" si="145"/>
        <v>0</v>
      </c>
      <c r="GU112" s="173">
        <f t="shared" si="145"/>
        <v>0</v>
      </c>
      <c r="GV112" s="170">
        <f>SUM(GR112:GU112)</f>
        <v>0</v>
      </c>
      <c r="HJ112" s="168"/>
      <c r="HM112" s="157"/>
      <c r="HS112" s="93"/>
      <c r="HX112" s="85"/>
      <c r="ID112" s="168"/>
      <c r="JH112" s="184" t="s">
        <v>2525</v>
      </c>
      <c r="JI112" s="173" t="e">
        <f>#REF!</f>
        <v>#REF!</v>
      </c>
      <c r="JJ112" s="173" t="e">
        <f>#REF!</f>
        <v>#REF!</v>
      </c>
      <c r="JK112" s="173" t="e">
        <f>#REF!</f>
        <v>#REF!</v>
      </c>
      <c r="JL112" s="173" t="e">
        <f>#REF!</f>
        <v>#REF!</v>
      </c>
      <c r="JM112" s="173" t="e">
        <f>#REF!</f>
        <v>#REF!</v>
      </c>
      <c r="JN112" s="173" t="e">
        <f>#REF!</f>
        <v>#REF!</v>
      </c>
      <c r="JO112" s="173" t="e">
        <f>#REF!</f>
        <v>#REF!</v>
      </c>
      <c r="JP112" s="173" t="e">
        <f>#REF!</f>
        <v>#REF!</v>
      </c>
      <c r="JQ112" s="170" t="e">
        <f>SUM(JM112:JP112)</f>
        <v>#REF!</v>
      </c>
      <c r="NL112" s="3"/>
      <c r="NM112" s="3"/>
      <c r="NN112" s="3"/>
      <c r="NO112" s="3"/>
      <c r="NP112" s="3"/>
      <c r="NQ112" s="3"/>
      <c r="NR112" s="3"/>
      <c r="NS112" s="3"/>
    </row>
    <row r="113" spans="39:383">
      <c r="AM113" s="275">
        <v>45792</v>
      </c>
      <c r="AN113" s="276" t="s">
        <v>2457</v>
      </c>
      <c r="AO113" s="276"/>
      <c r="AP113" s="276"/>
      <c r="AS113" s="275">
        <v>45820</v>
      </c>
      <c r="AT113" s="276" t="s">
        <v>2457</v>
      </c>
      <c r="AU113" s="276"/>
      <c r="AV113" s="276"/>
      <c r="DI113" s="81"/>
      <c r="DJ113" s="81"/>
      <c r="DK113" s="81"/>
      <c r="DL113" s="81"/>
      <c r="DM113" s="81"/>
      <c r="GM113" s="184" t="s">
        <v>2435</v>
      </c>
      <c r="GN113" s="173">
        <f t="shared" ref="GN113:GU113" si="146">COUNTIFS($BA$2:$BA$425,"ΠΕΤΡΟΥΛΑΚΗ ΤΟΝΙΑ",IG$2:IG$425,"μέτρια")</f>
        <v>0</v>
      </c>
      <c r="GO113" s="173">
        <f t="shared" si="146"/>
        <v>0</v>
      </c>
      <c r="GP113" s="173">
        <f t="shared" si="146"/>
        <v>0</v>
      </c>
      <c r="GQ113" s="173">
        <f t="shared" si="146"/>
        <v>0</v>
      </c>
      <c r="GR113" s="173">
        <f t="shared" si="146"/>
        <v>0</v>
      </c>
      <c r="GS113" s="173">
        <f t="shared" si="146"/>
        <v>0</v>
      </c>
      <c r="GT113" s="173">
        <f t="shared" si="146"/>
        <v>0</v>
      </c>
      <c r="GU113" s="173">
        <f t="shared" si="146"/>
        <v>0</v>
      </c>
      <c r="GV113" s="170">
        <f>SUM(GR113:GU113)</f>
        <v>0</v>
      </c>
      <c r="HJ113" s="168"/>
      <c r="HM113" s="157"/>
      <c r="HS113" s="93"/>
      <c r="HX113" s="85"/>
      <c r="ID113" s="168"/>
      <c r="JH113" s="184" t="s">
        <v>2435</v>
      </c>
      <c r="JI113" s="173" t="e">
        <f>#REF!</f>
        <v>#REF!</v>
      </c>
      <c r="JJ113" s="173" t="e">
        <f>#REF!</f>
        <v>#REF!</v>
      </c>
      <c r="JK113" s="173" t="e">
        <f>#REF!</f>
        <v>#REF!</v>
      </c>
      <c r="JL113" s="173" t="e">
        <f>#REF!</f>
        <v>#REF!</v>
      </c>
      <c r="JM113" s="173" t="e">
        <f>#REF!</f>
        <v>#REF!</v>
      </c>
      <c r="JN113" s="173" t="e">
        <f>#REF!</f>
        <v>#REF!</v>
      </c>
      <c r="JO113" s="173" t="e">
        <f>#REF!</f>
        <v>#REF!</v>
      </c>
      <c r="JP113" s="173" t="e">
        <f>#REF!</f>
        <v>#REF!</v>
      </c>
      <c r="JQ113" s="170" t="e">
        <f>SUM(JM113:JP113)</f>
        <v>#REF!</v>
      </c>
      <c r="NL113" s="3"/>
      <c r="NM113" s="3"/>
      <c r="NN113" s="3"/>
      <c r="NO113" s="3"/>
      <c r="NP113" s="3"/>
      <c r="NQ113" s="3"/>
      <c r="NR113" s="3"/>
      <c r="NS113" s="3"/>
    </row>
    <row r="114" spans="39:383">
      <c r="AM114" s="275">
        <v>45794</v>
      </c>
      <c r="AN114" s="276" t="s">
        <v>2457</v>
      </c>
      <c r="AO114" s="276"/>
      <c r="AP114" s="276"/>
      <c r="AS114" s="275">
        <v>45822</v>
      </c>
      <c r="AT114" s="276" t="s">
        <v>2457</v>
      </c>
      <c r="AU114" s="276"/>
      <c r="AV114" s="276"/>
      <c r="DI114" s="81"/>
      <c r="DJ114" s="81"/>
      <c r="DK114" s="81"/>
      <c r="DL114" s="81"/>
      <c r="DM114" s="81"/>
      <c r="GM114" s="184" t="s">
        <v>2603</v>
      </c>
      <c r="GN114" s="173">
        <f t="shared" ref="GN114:GU114" si="147">COUNTIFS($BA$2:$BA$425,"ΠΕΤΡΟΥΛΑΚΗ ΤΟΝΙΑ",IG$2:IG$425,"καλή")</f>
        <v>0</v>
      </c>
      <c r="GO114" s="173">
        <f t="shared" si="147"/>
        <v>0</v>
      </c>
      <c r="GP114" s="173">
        <f t="shared" si="147"/>
        <v>0</v>
      </c>
      <c r="GQ114" s="173">
        <f t="shared" si="147"/>
        <v>0</v>
      </c>
      <c r="GR114" s="173">
        <f t="shared" si="147"/>
        <v>0</v>
      </c>
      <c r="GS114" s="173">
        <f t="shared" si="147"/>
        <v>0</v>
      </c>
      <c r="GT114" s="173">
        <f t="shared" si="147"/>
        <v>0</v>
      </c>
      <c r="GU114" s="173">
        <f t="shared" si="147"/>
        <v>0</v>
      </c>
      <c r="GV114" s="199">
        <f>SUM(GR114:GU114)</f>
        <v>0</v>
      </c>
      <c r="HJ114" s="168"/>
      <c r="HM114" s="157"/>
      <c r="HS114" s="93"/>
      <c r="HX114" s="85"/>
      <c r="ID114" s="168"/>
      <c r="JH114" s="184" t="s">
        <v>2603</v>
      </c>
      <c r="JI114" s="173" t="e">
        <f>#REF!</f>
        <v>#REF!</v>
      </c>
      <c r="JJ114" s="173" t="e">
        <f>#REF!</f>
        <v>#REF!</v>
      </c>
      <c r="JK114" s="173" t="e">
        <f>#REF!</f>
        <v>#REF!</v>
      </c>
      <c r="JL114" s="173" t="e">
        <f>#REF!</f>
        <v>#REF!</v>
      </c>
      <c r="JM114" s="173" t="e">
        <f>#REF!</f>
        <v>#REF!</v>
      </c>
      <c r="JN114" s="173" t="e">
        <f>#REF!</f>
        <v>#REF!</v>
      </c>
      <c r="JO114" s="173" t="e">
        <f>#REF!</f>
        <v>#REF!</v>
      </c>
      <c r="JP114" s="173" t="e">
        <f>#REF!</f>
        <v>#REF!</v>
      </c>
      <c r="JQ114" s="199" t="e">
        <f>SUM(JM114:JP114)</f>
        <v>#REF!</v>
      </c>
      <c r="NL114" s="3"/>
      <c r="NM114" s="3"/>
      <c r="NN114" s="3"/>
      <c r="NO114" s="3"/>
      <c r="NP114" s="3"/>
      <c r="NQ114" s="3"/>
      <c r="NR114" s="3"/>
      <c r="NS114" s="3"/>
    </row>
    <row r="115" spans="39:383">
      <c r="AM115" s="273">
        <v>45796</v>
      </c>
      <c r="AN115" s="274" t="s">
        <v>2457</v>
      </c>
      <c r="AO115" s="274"/>
      <c r="AP115" s="274"/>
      <c r="AS115" s="273">
        <v>45824</v>
      </c>
      <c r="AT115" s="274" t="s">
        <v>2457</v>
      </c>
      <c r="AU115" s="274"/>
      <c r="AV115" s="274"/>
      <c r="DI115" s="81"/>
      <c r="DJ115" s="81"/>
      <c r="DK115" s="81"/>
      <c r="DL115" s="81"/>
      <c r="DM115" s="81"/>
      <c r="GM115" s="184" t="s">
        <v>2639</v>
      </c>
      <c r="GN115" s="173">
        <f t="shared" ref="GN115:GU115" si="148">COUNTIFS($BA$2:$BA$425,"ΠΕΤΡΟΥΛΑΚΗ ΤΟΝΙΑ",IG$2:IG$425,"πολύ καλή")</f>
        <v>0</v>
      </c>
      <c r="GO115" s="173">
        <f t="shared" si="148"/>
        <v>0</v>
      </c>
      <c r="GP115" s="173">
        <f t="shared" si="148"/>
        <v>0</v>
      </c>
      <c r="GQ115" s="173">
        <f t="shared" si="148"/>
        <v>0</v>
      </c>
      <c r="GR115" s="173">
        <f t="shared" si="148"/>
        <v>0</v>
      </c>
      <c r="GS115" s="173">
        <f t="shared" si="148"/>
        <v>0</v>
      </c>
      <c r="GT115" s="173">
        <f t="shared" si="148"/>
        <v>0</v>
      </c>
      <c r="GU115" s="173">
        <f t="shared" si="148"/>
        <v>0</v>
      </c>
      <c r="GV115" s="199">
        <f>SUM(GR115:GU115)</f>
        <v>0</v>
      </c>
      <c r="HJ115" s="168"/>
      <c r="HM115" s="157"/>
      <c r="HS115" s="93"/>
      <c r="HX115" s="85"/>
      <c r="ID115" s="168"/>
      <c r="JH115" s="184" t="s">
        <v>2639</v>
      </c>
      <c r="JI115" s="173" t="e">
        <f>#REF!</f>
        <v>#REF!</v>
      </c>
      <c r="JJ115" s="173" t="e">
        <f>#REF!</f>
        <v>#REF!</v>
      </c>
      <c r="JK115" s="173" t="e">
        <f>#REF!</f>
        <v>#REF!</v>
      </c>
      <c r="JL115" s="173" t="e">
        <f>#REF!</f>
        <v>#REF!</v>
      </c>
      <c r="JM115" s="173" t="e">
        <f>#REF!</f>
        <v>#REF!</v>
      </c>
      <c r="JN115" s="173" t="e">
        <f>#REF!</f>
        <v>#REF!</v>
      </c>
      <c r="JO115" s="173" t="e">
        <f>#REF!</f>
        <v>#REF!</v>
      </c>
      <c r="JP115" s="173" t="e">
        <f>#REF!</f>
        <v>#REF!</v>
      </c>
      <c r="JQ115" s="199" t="e">
        <f>SUM(JM115:JP115)</f>
        <v>#REF!</v>
      </c>
      <c r="NL115" s="3"/>
      <c r="NM115" s="3"/>
      <c r="NN115" s="3"/>
      <c r="NO115" s="3"/>
      <c r="NP115" s="3"/>
      <c r="NQ115" s="3"/>
      <c r="NR115" s="3"/>
      <c r="NS115" s="3"/>
    </row>
    <row r="116" spans="39:383" ht="15.75" thickBot="1">
      <c r="AM116" s="273">
        <v>45799</v>
      </c>
      <c r="AN116" s="274" t="s">
        <v>2457</v>
      </c>
      <c r="AO116" s="274"/>
      <c r="AP116" s="274"/>
      <c r="AS116" s="273">
        <v>45827</v>
      </c>
      <c r="AT116" s="274" t="s">
        <v>2457</v>
      </c>
      <c r="AU116" s="274"/>
      <c r="AV116" s="274"/>
      <c r="DI116" s="81"/>
      <c r="DJ116" s="81"/>
      <c r="DK116" s="81"/>
      <c r="DL116" s="81"/>
      <c r="DM116" s="81"/>
      <c r="GM116" s="185" t="s">
        <v>2431</v>
      </c>
      <c r="GN116" s="187">
        <f t="shared" ref="GN116:GU116" si="149">COUNTIFS($BA$2:$BA$425,"ΠΕΤΡΟΥΛΑΚΗ ΤΟΝΙΑ",IG$2:IG$425,"άριστη")</f>
        <v>0</v>
      </c>
      <c r="GO116" s="187">
        <f t="shared" si="149"/>
        <v>0</v>
      </c>
      <c r="GP116" s="187">
        <f t="shared" si="149"/>
        <v>0</v>
      </c>
      <c r="GQ116" s="187">
        <f t="shared" si="149"/>
        <v>0</v>
      </c>
      <c r="GR116" s="187">
        <f t="shared" si="149"/>
        <v>0</v>
      </c>
      <c r="GS116" s="187">
        <f t="shared" si="149"/>
        <v>0</v>
      </c>
      <c r="GT116" s="187">
        <f t="shared" si="149"/>
        <v>0</v>
      </c>
      <c r="GU116" s="187">
        <f t="shared" si="149"/>
        <v>0</v>
      </c>
      <c r="GV116" s="199">
        <f>SUM(GR116:GU116)</f>
        <v>0</v>
      </c>
      <c r="HJ116" s="168"/>
      <c r="HM116" s="157"/>
      <c r="HS116" s="93"/>
      <c r="HX116" s="85"/>
      <c r="ID116" s="168"/>
      <c r="JH116" s="185" t="s">
        <v>2431</v>
      </c>
      <c r="JI116" s="173" t="e">
        <f>#REF!</f>
        <v>#REF!</v>
      </c>
      <c r="JJ116" s="173" t="e">
        <f>#REF!</f>
        <v>#REF!</v>
      </c>
      <c r="JK116" s="173" t="e">
        <f>#REF!</f>
        <v>#REF!</v>
      </c>
      <c r="JL116" s="173" t="e">
        <f>#REF!</f>
        <v>#REF!</v>
      </c>
      <c r="JM116" s="173" t="e">
        <f>#REF!</f>
        <v>#REF!</v>
      </c>
      <c r="JN116" s="173" t="e">
        <f>#REF!</f>
        <v>#REF!</v>
      </c>
      <c r="JO116" s="173" t="e">
        <f>#REF!</f>
        <v>#REF!</v>
      </c>
      <c r="JP116" s="173" t="e">
        <f>#REF!</f>
        <v>#REF!</v>
      </c>
      <c r="JQ116" s="199" t="e">
        <f>SUM(JM116:JP116)</f>
        <v>#REF!</v>
      </c>
      <c r="NL116" s="3"/>
      <c r="NM116" s="3"/>
      <c r="NN116" s="3"/>
      <c r="NO116" s="3"/>
      <c r="NP116" s="3"/>
      <c r="NQ116" s="3"/>
      <c r="NR116" s="3"/>
      <c r="NS116" s="3"/>
    </row>
    <row r="117" spans="39:383">
      <c r="AM117" s="273">
        <v>45801</v>
      </c>
      <c r="AN117" s="274" t="s">
        <v>2457</v>
      </c>
      <c r="AO117" s="274"/>
      <c r="AP117" s="274"/>
      <c r="AS117" s="273">
        <v>45829</v>
      </c>
      <c r="AT117" s="274" t="s">
        <v>2457</v>
      </c>
      <c r="AU117" s="274"/>
      <c r="AV117" s="274"/>
      <c r="DI117" s="81"/>
      <c r="DJ117" s="81"/>
      <c r="DK117" s="81"/>
      <c r="DL117" s="81"/>
      <c r="DM117" s="81"/>
      <c r="GM117" s="186"/>
      <c r="GN117" s="170"/>
      <c r="GO117" s="170"/>
      <c r="GP117" s="170"/>
      <c r="GQ117" s="170"/>
      <c r="GR117" s="170"/>
      <c r="GS117" s="170"/>
      <c r="GT117" s="170"/>
      <c r="GU117" s="170"/>
      <c r="HJ117" s="168"/>
      <c r="HM117" s="157"/>
      <c r="HS117" s="93"/>
      <c r="HX117" s="85"/>
      <c r="ID117" s="168"/>
      <c r="JH117" s="186"/>
      <c r="JI117" s="170"/>
      <c r="JJ117" s="170"/>
      <c r="JK117" s="170"/>
      <c r="JL117" s="170"/>
      <c r="JM117" s="170"/>
      <c r="JN117" s="170"/>
      <c r="JO117" s="170"/>
      <c r="JP117" s="170"/>
      <c r="NL117" s="3"/>
      <c r="NM117" s="3"/>
      <c r="NN117" s="3"/>
      <c r="NO117" s="3"/>
      <c r="NP117" s="3"/>
      <c r="NQ117" s="3"/>
      <c r="NR117" s="3"/>
      <c r="NS117" s="3"/>
    </row>
    <row r="118" spans="39:383" ht="15.75" thickBot="1">
      <c r="AM118" s="275">
        <v>45803</v>
      </c>
      <c r="AN118" s="276" t="s">
        <v>2457</v>
      </c>
      <c r="AO118" s="276"/>
      <c r="AP118" s="276"/>
      <c r="AS118" s="275">
        <v>45831</v>
      </c>
      <c r="AT118" s="276" t="s">
        <v>2457</v>
      </c>
      <c r="AU118" s="276"/>
      <c r="AV118" s="276"/>
      <c r="DI118" s="81"/>
      <c r="DJ118" s="81"/>
      <c r="DK118" s="81"/>
      <c r="DL118" s="81"/>
      <c r="DM118" s="81"/>
      <c r="GM118" s="186"/>
      <c r="GN118" s="170"/>
      <c r="GO118" s="170"/>
      <c r="GP118" s="170"/>
      <c r="GQ118" s="170"/>
      <c r="GR118" s="170"/>
      <c r="GS118" s="170"/>
      <c r="GT118" s="170"/>
      <c r="GU118" s="170"/>
      <c r="HJ118" s="168"/>
      <c r="HM118" s="157"/>
      <c r="HS118" s="93"/>
      <c r="HX118" s="85"/>
      <c r="ID118" s="168"/>
      <c r="JH118" s="186"/>
      <c r="JI118" s="170"/>
      <c r="JJ118" s="170"/>
      <c r="JK118" s="170"/>
      <c r="JL118" s="170"/>
      <c r="JM118" s="170"/>
      <c r="JN118" s="170"/>
      <c r="JO118" s="170"/>
      <c r="JP118" s="170"/>
      <c r="NL118" s="3"/>
      <c r="NM118" s="3"/>
      <c r="NN118" s="3"/>
      <c r="NO118" s="3"/>
      <c r="NP118" s="3"/>
      <c r="NQ118" s="3"/>
      <c r="NR118" s="3"/>
      <c r="NS118" s="3"/>
    </row>
    <row r="119" spans="39:383" ht="150">
      <c r="AM119" s="275">
        <v>45806</v>
      </c>
      <c r="AN119" s="276" t="s">
        <v>2457</v>
      </c>
      <c r="AO119" s="276"/>
      <c r="AP119" s="276"/>
      <c r="AS119" s="275">
        <v>45834</v>
      </c>
      <c r="AT119" s="276" t="s">
        <v>2457</v>
      </c>
      <c r="AU119" s="276"/>
      <c r="AV119" s="276"/>
      <c r="DI119" s="81"/>
      <c r="DJ119" s="81"/>
      <c r="DK119" s="81"/>
      <c r="DL119" s="81"/>
      <c r="DM119" s="81"/>
      <c r="GM119" s="175" t="s">
        <v>3067</v>
      </c>
      <c r="GN119" s="171" t="s">
        <v>2354</v>
      </c>
      <c r="GO119" s="171" t="s">
        <v>2355</v>
      </c>
      <c r="GP119" s="171" t="s">
        <v>2356</v>
      </c>
      <c r="GQ119" s="172" t="s">
        <v>2357</v>
      </c>
      <c r="GR119" s="171" t="s">
        <v>2358</v>
      </c>
      <c r="GS119" s="171" t="s">
        <v>2359</v>
      </c>
      <c r="GT119" s="171" t="s">
        <v>2360</v>
      </c>
      <c r="GU119" s="172" t="s">
        <v>2361</v>
      </c>
      <c r="GV119" s="6" t="s">
        <v>2480</v>
      </c>
      <c r="HJ119" s="168"/>
      <c r="HM119" s="157"/>
      <c r="HS119" s="93"/>
      <c r="HX119" s="85"/>
      <c r="ID119" s="168"/>
      <c r="JH119" s="175" t="s">
        <v>3067</v>
      </c>
      <c r="JI119" s="171" t="s">
        <v>2354</v>
      </c>
      <c r="JJ119" s="171" t="s">
        <v>2355</v>
      </c>
      <c r="JK119" s="171" t="s">
        <v>2356</v>
      </c>
      <c r="JL119" s="172" t="s">
        <v>2357</v>
      </c>
      <c r="JM119" s="171" t="s">
        <v>2358</v>
      </c>
      <c r="JN119" s="171" t="s">
        <v>2359</v>
      </c>
      <c r="JO119" s="171" t="s">
        <v>2360</v>
      </c>
      <c r="JP119" s="172" t="s">
        <v>2361</v>
      </c>
      <c r="JQ119" s="6" t="s">
        <v>2480</v>
      </c>
      <c r="NL119" s="3"/>
      <c r="NM119" s="3"/>
      <c r="NN119" s="3"/>
      <c r="NO119" s="3"/>
      <c r="NP119" s="3"/>
      <c r="NQ119" s="3"/>
      <c r="NR119" s="3"/>
      <c r="NS119" s="3"/>
    </row>
    <row r="120" spans="39:383">
      <c r="AM120" s="275">
        <v>45808</v>
      </c>
      <c r="AN120" s="276" t="s">
        <v>2457</v>
      </c>
      <c r="AO120" s="276"/>
      <c r="AP120" s="276"/>
      <c r="AS120" s="275">
        <v>45836</v>
      </c>
      <c r="AT120" s="276" t="s">
        <v>2457</v>
      </c>
      <c r="AU120" s="276"/>
      <c r="AV120" s="276"/>
      <c r="DI120" s="81"/>
      <c r="DJ120" s="81"/>
      <c r="DK120" s="81"/>
      <c r="DL120" s="81"/>
      <c r="DM120" s="81"/>
      <c r="GM120" s="184" t="s">
        <v>2525</v>
      </c>
      <c r="GN120" s="173">
        <f>COUNTIFS($BA$2:$BA$425,"ΡΕΠΑΝΑΚΗ ΔΕΣΠΟΙΝΑ",IG$2:IG$425,"κακή")</f>
        <v>0</v>
      </c>
      <c r="GO120" s="173">
        <f t="shared" ref="GO120:GU120" si="150">COUNTIFS($BA$2:$BA$425,"ΡΕΠΑΝΑΚΗ ΔΕΣΠΟΙΝΑ",IH$2:IH$425,"κακή")</f>
        <v>0</v>
      </c>
      <c r="GP120" s="173">
        <f t="shared" si="150"/>
        <v>0</v>
      </c>
      <c r="GQ120" s="173">
        <f t="shared" si="150"/>
        <v>0</v>
      </c>
      <c r="GR120" s="173">
        <f t="shared" si="150"/>
        <v>0</v>
      </c>
      <c r="GS120" s="173">
        <f t="shared" si="150"/>
        <v>0</v>
      </c>
      <c r="GT120" s="173">
        <f t="shared" si="150"/>
        <v>0</v>
      </c>
      <c r="GU120" s="173">
        <f t="shared" si="150"/>
        <v>0</v>
      </c>
      <c r="GV120" s="170">
        <f>SUM(GR120:GU120)</f>
        <v>0</v>
      </c>
      <c r="HJ120" s="168"/>
      <c r="HM120" s="157"/>
      <c r="HS120" s="93"/>
      <c r="HX120" s="85"/>
      <c r="ID120" s="168"/>
      <c r="JH120" s="184" t="s">
        <v>2525</v>
      </c>
      <c r="JI120" s="173" t="e">
        <f>#REF!</f>
        <v>#REF!</v>
      </c>
      <c r="JJ120" s="173" t="e">
        <f>#REF!</f>
        <v>#REF!</v>
      </c>
      <c r="JK120" s="173" t="e">
        <f>#REF!</f>
        <v>#REF!</v>
      </c>
      <c r="JL120" s="173" t="e">
        <f>#REF!</f>
        <v>#REF!</v>
      </c>
      <c r="JM120" s="173" t="e">
        <f>#REF!</f>
        <v>#REF!</v>
      </c>
      <c r="JN120" s="173" t="e">
        <f>#REF!</f>
        <v>#REF!</v>
      </c>
      <c r="JO120" s="173" t="e">
        <f>#REF!</f>
        <v>#REF!</v>
      </c>
      <c r="JP120" s="173" t="e">
        <f>#REF!</f>
        <v>#REF!</v>
      </c>
      <c r="JQ120" s="170" t="e">
        <f>SUM(JM120:JP120)</f>
        <v>#REF!</v>
      </c>
      <c r="NL120" s="3"/>
      <c r="NM120" s="3"/>
      <c r="NN120" s="3"/>
      <c r="NO120" s="3"/>
      <c r="NP120" s="3"/>
      <c r="NQ120" s="3"/>
      <c r="NR120" s="3"/>
      <c r="NS120" s="3"/>
    </row>
    <row r="121" spans="39:383">
      <c r="AS121" s="272"/>
      <c r="AT121" s="272"/>
      <c r="DI121" s="81"/>
      <c r="DJ121" s="81"/>
      <c r="DK121" s="81"/>
      <c r="DL121" s="81"/>
      <c r="DM121" s="81"/>
      <c r="GM121" s="184" t="s">
        <v>2435</v>
      </c>
      <c r="GN121" s="173">
        <f>COUNTIFS($BA$2:$BA$425,"ΡΕΠΑΝΑΚΗ ΔΕΣΠΟΙΝΑ",IG$2:IG$425,"μέτρια")</f>
        <v>0</v>
      </c>
      <c r="GO121" s="173">
        <f t="shared" ref="GO121:GU121" si="151">COUNTIFS($BA$2:$BA$425,"ΡΕΠΑΝΑΚΗ ΔΕΣΠΟΙΝΑ",IH$2:IH$425,"μέτρια")</f>
        <v>0</v>
      </c>
      <c r="GP121" s="173">
        <f t="shared" si="151"/>
        <v>0</v>
      </c>
      <c r="GQ121" s="173">
        <f t="shared" si="151"/>
        <v>0</v>
      </c>
      <c r="GR121" s="173">
        <f t="shared" si="151"/>
        <v>0</v>
      </c>
      <c r="GS121" s="173">
        <f t="shared" si="151"/>
        <v>0</v>
      </c>
      <c r="GT121" s="173">
        <f t="shared" si="151"/>
        <v>0</v>
      </c>
      <c r="GU121" s="173">
        <f t="shared" si="151"/>
        <v>0</v>
      </c>
      <c r="GV121" s="170">
        <f>SUM(GR121:GU121)</f>
        <v>0</v>
      </c>
      <c r="HJ121" s="168"/>
      <c r="HM121" s="157"/>
      <c r="HS121" s="93"/>
      <c r="HX121" s="85"/>
      <c r="ID121" s="168"/>
      <c r="JH121" s="184" t="s">
        <v>2435</v>
      </c>
      <c r="JI121" s="173" t="e">
        <f>#REF!</f>
        <v>#REF!</v>
      </c>
      <c r="JJ121" s="173" t="e">
        <f>#REF!</f>
        <v>#REF!</v>
      </c>
      <c r="JK121" s="173" t="e">
        <f>#REF!</f>
        <v>#REF!</v>
      </c>
      <c r="JL121" s="173" t="e">
        <f>#REF!</f>
        <v>#REF!</v>
      </c>
      <c r="JM121" s="173" t="e">
        <f>#REF!</f>
        <v>#REF!</v>
      </c>
      <c r="JN121" s="173" t="e">
        <f>#REF!</f>
        <v>#REF!</v>
      </c>
      <c r="JO121" s="173" t="e">
        <f>#REF!</f>
        <v>#REF!</v>
      </c>
      <c r="JP121" s="173" t="e">
        <f>#REF!</f>
        <v>#REF!</v>
      </c>
      <c r="JQ121" s="170" t="e">
        <f>SUM(JM121:JP121)</f>
        <v>#REF!</v>
      </c>
      <c r="NL121" s="3"/>
      <c r="NM121" s="3"/>
      <c r="NN121" s="3"/>
      <c r="NO121" s="3"/>
      <c r="NP121" s="3"/>
      <c r="NQ121" s="3"/>
      <c r="NR121" s="3"/>
      <c r="NS121" s="3"/>
    </row>
    <row r="122" spans="39:383">
      <c r="AS122" s="272"/>
      <c r="AT122" s="272"/>
      <c r="DI122" s="81"/>
      <c r="DJ122" s="81"/>
      <c r="DK122" s="81"/>
      <c r="DL122" s="81"/>
      <c r="DM122" s="81"/>
      <c r="GM122" s="184" t="s">
        <v>2603</v>
      </c>
      <c r="GN122" s="173">
        <f>COUNTIFS($BA$2:$BA$425,"ΡΕΠΑΝΑΚΗ ΔΕΣΠΟΙΝΑ",IG$2:IG$425,"καλή")</f>
        <v>0</v>
      </c>
      <c r="GO122" s="173">
        <f t="shared" ref="GO122:GU122" si="152">COUNTIFS($BA$2:$BA$425,"ΡΕΠΑΝΑΚΗ ΔΕΣΠΟΙΝΑ",IH$2:IH$425,"καλή")</f>
        <v>0</v>
      </c>
      <c r="GP122" s="173">
        <f t="shared" si="152"/>
        <v>0</v>
      </c>
      <c r="GQ122" s="173">
        <f t="shared" si="152"/>
        <v>0</v>
      </c>
      <c r="GR122" s="173">
        <f t="shared" si="152"/>
        <v>0</v>
      </c>
      <c r="GS122" s="173">
        <f t="shared" si="152"/>
        <v>0</v>
      </c>
      <c r="GT122" s="173">
        <f t="shared" si="152"/>
        <v>0</v>
      </c>
      <c r="GU122" s="173">
        <f t="shared" si="152"/>
        <v>0</v>
      </c>
      <c r="GV122" s="199">
        <f>SUM(GR122:GU122)</f>
        <v>0</v>
      </c>
      <c r="HJ122" s="168"/>
      <c r="HM122" s="157"/>
      <c r="HS122" s="93"/>
      <c r="HX122" s="85"/>
      <c r="ID122" s="168"/>
      <c r="JH122" s="184" t="s">
        <v>2603</v>
      </c>
      <c r="JI122" s="173" t="e">
        <f>#REF!</f>
        <v>#REF!</v>
      </c>
      <c r="JJ122" s="173" t="e">
        <f>#REF!</f>
        <v>#REF!</v>
      </c>
      <c r="JK122" s="173" t="e">
        <f>#REF!</f>
        <v>#REF!</v>
      </c>
      <c r="JL122" s="173" t="e">
        <f>#REF!</f>
        <v>#REF!</v>
      </c>
      <c r="JM122" s="173" t="e">
        <f>#REF!</f>
        <v>#REF!</v>
      </c>
      <c r="JN122" s="173" t="e">
        <f>#REF!</f>
        <v>#REF!</v>
      </c>
      <c r="JO122" s="173" t="e">
        <f>#REF!</f>
        <v>#REF!</v>
      </c>
      <c r="JP122" s="173" t="e">
        <f>#REF!</f>
        <v>#REF!</v>
      </c>
      <c r="JQ122" s="199" t="e">
        <f>SUM(JM122:JP122)</f>
        <v>#REF!</v>
      </c>
      <c r="NL122" s="3"/>
      <c r="NM122" s="3"/>
      <c r="NN122" s="3"/>
      <c r="NO122" s="3"/>
      <c r="NP122" s="3"/>
      <c r="NQ122" s="3"/>
      <c r="NR122" s="3"/>
      <c r="NS122" s="3"/>
    </row>
    <row r="123" spans="39:383">
      <c r="AM123" s="1305" t="s">
        <v>1992</v>
      </c>
      <c r="AN123" s="1305" t="s">
        <v>437</v>
      </c>
      <c r="AO123" s="1304" t="s">
        <v>1993</v>
      </c>
      <c r="AP123" s="1304" t="s">
        <v>1994</v>
      </c>
      <c r="AS123" s="1304" t="s">
        <v>1992</v>
      </c>
      <c r="AT123" s="1305" t="s">
        <v>437</v>
      </c>
      <c r="AU123" s="1304" t="s">
        <v>1993</v>
      </c>
      <c r="AV123" s="1304" t="s">
        <v>1994</v>
      </c>
      <c r="DI123" s="81"/>
      <c r="DJ123" s="81"/>
      <c r="DK123" s="81"/>
      <c r="DL123" s="81"/>
      <c r="DM123" s="81"/>
      <c r="GM123" s="184" t="s">
        <v>2639</v>
      </c>
      <c r="GN123" s="173">
        <f>COUNTIFS($BA$2:$BA$425,"ΡΕΠΑΝΑΚΗ ΔΕΣΠΟΙΝΑ",IG$2:IG$425,"πολύ καλή")</f>
        <v>0</v>
      </c>
      <c r="GO123" s="173">
        <f t="shared" ref="GO123:GU123" si="153">COUNTIFS($BA$2:$BA$425,"ΡΕΠΑΝΑΚΗ ΔΕΣΠΟΙΝΑ",IH$2:IH$425,"πολύ καλή")</f>
        <v>0</v>
      </c>
      <c r="GP123" s="173">
        <f t="shared" si="153"/>
        <v>0</v>
      </c>
      <c r="GQ123" s="173">
        <f t="shared" si="153"/>
        <v>0</v>
      </c>
      <c r="GR123" s="173">
        <f t="shared" si="153"/>
        <v>0</v>
      </c>
      <c r="GS123" s="173">
        <f t="shared" si="153"/>
        <v>0</v>
      </c>
      <c r="GT123" s="173">
        <f t="shared" si="153"/>
        <v>0</v>
      </c>
      <c r="GU123" s="173">
        <f t="shared" si="153"/>
        <v>0</v>
      </c>
      <c r="GV123" s="199">
        <f>SUM(GR123:GU123)</f>
        <v>0</v>
      </c>
      <c r="HJ123" s="168"/>
      <c r="HM123" s="157"/>
      <c r="HS123" s="93"/>
      <c r="HX123" s="85"/>
      <c r="ID123" s="168"/>
      <c r="JH123" s="184" t="s">
        <v>2639</v>
      </c>
      <c r="JI123" s="173" t="e">
        <f>#REF!</f>
        <v>#REF!</v>
      </c>
      <c r="JJ123" s="173" t="e">
        <f>#REF!</f>
        <v>#REF!</v>
      </c>
      <c r="JK123" s="173" t="e">
        <f>#REF!</f>
        <v>#REF!</v>
      </c>
      <c r="JL123" s="173" t="e">
        <f>#REF!</f>
        <v>#REF!</v>
      </c>
      <c r="JM123" s="173" t="e">
        <f>#REF!</f>
        <v>#REF!</v>
      </c>
      <c r="JN123" s="173" t="e">
        <f>#REF!</f>
        <v>#REF!</v>
      </c>
      <c r="JO123" s="173" t="e">
        <f>#REF!</f>
        <v>#REF!</v>
      </c>
      <c r="JP123" s="173" t="e">
        <f>#REF!</f>
        <v>#REF!</v>
      </c>
      <c r="JQ123" s="199" t="e">
        <f>SUM(JM123:JP123)</f>
        <v>#REF!</v>
      </c>
      <c r="NL123" s="3"/>
      <c r="NM123" s="3"/>
      <c r="NN123" s="3"/>
      <c r="NO123" s="3"/>
      <c r="NP123" s="3"/>
      <c r="NQ123" s="3"/>
      <c r="NR123" s="3"/>
      <c r="NS123" s="3"/>
    </row>
    <row r="124" spans="39:383" ht="15.75" thickBot="1">
      <c r="AM124" s="1306"/>
      <c r="AN124" s="1306"/>
      <c r="AO124" s="1304"/>
      <c r="AP124" s="1304"/>
      <c r="AS124" s="1304"/>
      <c r="AT124" s="1306"/>
      <c r="AU124" s="1304"/>
      <c r="AV124" s="1304"/>
      <c r="DI124" s="81"/>
      <c r="DJ124" s="81"/>
      <c r="DK124" s="81"/>
      <c r="DL124" s="81"/>
      <c r="DM124" s="81"/>
      <c r="GM124" s="185" t="s">
        <v>2431</v>
      </c>
      <c r="GN124" s="187">
        <f>COUNTIFS($BA$2:$BA$425,"ΡΕΠΑΝΑΚΗ ΔΕΣΠΟΙΝΑ",IG$2:IG$425,"άριστη")</f>
        <v>0</v>
      </c>
      <c r="GO124" s="187">
        <f t="shared" ref="GO124:GU124" si="154">COUNTIFS($BA$2:$BA$425,"ΡΕΠΑΝΑΚΗ ΔΕΣΠΟΙΝΑ",IH$2:IH$425,"άριστη")</f>
        <v>0</v>
      </c>
      <c r="GP124" s="187">
        <f t="shared" si="154"/>
        <v>0</v>
      </c>
      <c r="GQ124" s="187">
        <f t="shared" si="154"/>
        <v>0</v>
      </c>
      <c r="GR124" s="187">
        <f t="shared" si="154"/>
        <v>0</v>
      </c>
      <c r="GS124" s="187">
        <f t="shared" si="154"/>
        <v>0</v>
      </c>
      <c r="GT124" s="187">
        <f t="shared" si="154"/>
        <v>0</v>
      </c>
      <c r="GU124" s="187">
        <f t="shared" si="154"/>
        <v>0</v>
      </c>
      <c r="GV124" s="199">
        <f>SUM(GR124:GU124)</f>
        <v>0</v>
      </c>
      <c r="HJ124" s="168"/>
      <c r="HM124" s="157"/>
      <c r="HS124" s="93"/>
      <c r="HX124" s="85"/>
      <c r="ID124" s="168"/>
      <c r="JH124" s="185" t="s">
        <v>2431</v>
      </c>
      <c r="JI124" s="173" t="e">
        <f>#REF!</f>
        <v>#REF!</v>
      </c>
      <c r="JJ124" s="173" t="e">
        <f>#REF!</f>
        <v>#REF!</v>
      </c>
      <c r="JK124" s="173" t="e">
        <f>#REF!</f>
        <v>#REF!</v>
      </c>
      <c r="JL124" s="173" t="e">
        <f>#REF!</f>
        <v>#REF!</v>
      </c>
      <c r="JM124" s="173" t="e">
        <f>#REF!</f>
        <v>#REF!</v>
      </c>
      <c r="JN124" s="173" t="e">
        <f>#REF!</f>
        <v>#REF!</v>
      </c>
      <c r="JO124" s="173" t="e">
        <f>#REF!</f>
        <v>#REF!</v>
      </c>
      <c r="JP124" s="173" t="e">
        <f>#REF!</f>
        <v>#REF!</v>
      </c>
      <c r="JQ124" s="199" t="e">
        <f>SUM(JM124:JP124)</f>
        <v>#REF!</v>
      </c>
      <c r="NL124" s="3"/>
      <c r="NM124" s="3"/>
      <c r="NN124" s="3"/>
      <c r="NO124" s="3"/>
      <c r="NP124" s="3"/>
      <c r="NQ124" s="3"/>
      <c r="NR124" s="3"/>
      <c r="NS124" s="3"/>
    </row>
    <row r="125" spans="39:383">
      <c r="AM125" s="273">
        <v>45783</v>
      </c>
      <c r="AN125" s="274" t="s">
        <v>1615</v>
      </c>
      <c r="AO125" s="274"/>
      <c r="AP125" s="274"/>
      <c r="AS125" s="273">
        <v>45811</v>
      </c>
      <c r="AT125" s="274" t="s">
        <v>1615</v>
      </c>
      <c r="AU125" s="274"/>
      <c r="AV125" s="274"/>
      <c r="DI125" s="81"/>
      <c r="DJ125" s="81"/>
      <c r="DK125" s="81"/>
      <c r="DL125" s="81"/>
      <c r="DM125" s="81"/>
      <c r="HJ125" s="168"/>
      <c r="HM125" s="157"/>
      <c r="HS125" s="93"/>
      <c r="HX125" s="85"/>
      <c r="ID125" s="168"/>
      <c r="JH125" s="136"/>
      <c r="JI125" s="136"/>
      <c r="NL125" s="3"/>
      <c r="NM125" s="3"/>
      <c r="NN125" s="3"/>
      <c r="NO125" s="3"/>
      <c r="NP125" s="3"/>
      <c r="NQ125" s="3"/>
      <c r="NR125" s="3"/>
      <c r="NS125" s="3"/>
    </row>
    <row r="126" spans="39:383" ht="15.75" thickBot="1">
      <c r="AM126" s="273">
        <v>45784</v>
      </c>
      <c r="AN126" s="274" t="s">
        <v>1615</v>
      </c>
      <c r="AO126" s="274"/>
      <c r="AP126" s="274"/>
      <c r="AS126" s="273">
        <v>45812</v>
      </c>
      <c r="AT126" s="274" t="s">
        <v>1615</v>
      </c>
      <c r="AU126" s="274"/>
      <c r="AV126" s="274"/>
      <c r="DI126" s="81"/>
      <c r="DJ126" s="81"/>
      <c r="DK126" s="81"/>
      <c r="DL126" s="81"/>
      <c r="DM126" s="81"/>
      <c r="HJ126" s="168"/>
      <c r="HM126" s="157"/>
      <c r="HS126" s="93"/>
      <c r="HX126" s="85"/>
      <c r="ID126" s="168"/>
      <c r="JH126" s="136"/>
      <c r="JI126" s="136"/>
      <c r="NL126" s="3"/>
      <c r="NM126" s="3"/>
      <c r="NN126" s="3"/>
      <c r="NO126" s="3"/>
      <c r="NP126" s="3"/>
      <c r="NQ126" s="3"/>
      <c r="NR126" s="3"/>
      <c r="NS126" s="3"/>
    </row>
    <row r="127" spans="39:383" ht="150">
      <c r="AM127" s="273">
        <v>45786</v>
      </c>
      <c r="AN127" s="274" t="s">
        <v>1615</v>
      </c>
      <c r="AO127" s="274"/>
      <c r="AP127" s="274"/>
      <c r="AS127" s="273">
        <v>45814</v>
      </c>
      <c r="AT127" s="274" t="s">
        <v>1615</v>
      </c>
      <c r="AU127" s="274"/>
      <c r="AV127" s="274"/>
      <c r="DI127" s="81"/>
      <c r="DJ127" s="81"/>
      <c r="DK127" s="81"/>
      <c r="DL127" s="81"/>
      <c r="DM127" s="81"/>
      <c r="GM127" s="175" t="s">
        <v>1611</v>
      </c>
      <c r="GN127" s="171" t="s">
        <v>2354</v>
      </c>
      <c r="GO127" s="171" t="s">
        <v>2355</v>
      </c>
      <c r="GP127" s="171" t="s">
        <v>2356</v>
      </c>
      <c r="GQ127" s="172" t="s">
        <v>2357</v>
      </c>
      <c r="GR127" s="171" t="s">
        <v>2358</v>
      </c>
      <c r="GS127" s="171" t="s">
        <v>2359</v>
      </c>
      <c r="GT127" s="171" t="s">
        <v>2360</v>
      </c>
      <c r="GU127" s="172" t="s">
        <v>2361</v>
      </c>
      <c r="GV127" s="6" t="s">
        <v>2480</v>
      </c>
      <c r="HJ127" s="168"/>
      <c r="HM127" s="157"/>
      <c r="HS127" s="93"/>
      <c r="HX127" s="85"/>
      <c r="ID127" s="168"/>
      <c r="JH127" s="175" t="s">
        <v>1611</v>
      </c>
      <c r="JI127" s="171" t="s">
        <v>2354</v>
      </c>
      <c r="JJ127" s="171" t="s">
        <v>2355</v>
      </c>
      <c r="JK127" s="171" t="s">
        <v>2356</v>
      </c>
      <c r="JL127" s="172" t="s">
        <v>2357</v>
      </c>
      <c r="JM127" s="171" t="s">
        <v>2358</v>
      </c>
      <c r="JN127" s="171" t="s">
        <v>2359</v>
      </c>
      <c r="JO127" s="171" t="s">
        <v>2360</v>
      </c>
      <c r="JP127" s="172" t="s">
        <v>2361</v>
      </c>
      <c r="JQ127" s="6" t="s">
        <v>2480</v>
      </c>
      <c r="NL127" s="3"/>
      <c r="NM127" s="3"/>
      <c r="NN127" s="3"/>
      <c r="NO127" s="3"/>
      <c r="NP127" s="3"/>
      <c r="NQ127" s="3"/>
      <c r="NR127" s="3"/>
      <c r="NS127" s="3"/>
    </row>
    <row r="128" spans="39:383">
      <c r="AM128" s="273">
        <v>45787</v>
      </c>
      <c r="AN128" s="274" t="s">
        <v>1615</v>
      </c>
      <c r="AO128" s="274"/>
      <c r="AP128" s="274"/>
      <c r="AS128" s="273">
        <v>45815</v>
      </c>
      <c r="AT128" s="274" t="s">
        <v>1615</v>
      </c>
      <c r="AU128" s="274"/>
      <c r="AV128" s="274"/>
      <c r="DI128" s="81"/>
      <c r="DJ128" s="81"/>
      <c r="DK128" s="81"/>
      <c r="DL128" s="81"/>
      <c r="DM128" s="81"/>
      <c r="GM128" s="184" t="s">
        <v>2525</v>
      </c>
      <c r="GN128" s="173">
        <f>COUNTIFS($BA$2:$BA$425,"ΣΑΒΑ ΜΙΚΑΕΛΑ",IG$2:IG$425,"κακή")</f>
        <v>0</v>
      </c>
      <c r="GO128" s="173">
        <f t="shared" ref="GO128:GU128" si="155">COUNTIFS($BA$2:$BA$425,"ΣΑΒΑ ΜΙΚΑΕΛΑ",IH$2:IH$425,"κακή")</f>
        <v>0</v>
      </c>
      <c r="GP128" s="173">
        <f t="shared" si="155"/>
        <v>0</v>
      </c>
      <c r="GQ128" s="173">
        <f t="shared" si="155"/>
        <v>0</v>
      </c>
      <c r="GR128" s="173">
        <f t="shared" si="155"/>
        <v>0</v>
      </c>
      <c r="GS128" s="173">
        <f t="shared" si="155"/>
        <v>0</v>
      </c>
      <c r="GT128" s="173">
        <f t="shared" si="155"/>
        <v>0</v>
      </c>
      <c r="GU128" s="173">
        <f t="shared" si="155"/>
        <v>0</v>
      </c>
      <c r="GV128" s="170">
        <f>SUM(GR128:GU128)</f>
        <v>0</v>
      </c>
      <c r="HJ128" s="168"/>
      <c r="HM128" s="157"/>
      <c r="HS128" s="93"/>
      <c r="HX128" s="85"/>
      <c r="ID128" s="168"/>
      <c r="JH128" s="184" t="s">
        <v>2525</v>
      </c>
      <c r="JI128" s="173" t="e">
        <f>#REF!</f>
        <v>#REF!</v>
      </c>
      <c r="JJ128" s="173" t="e">
        <f>#REF!</f>
        <v>#REF!</v>
      </c>
      <c r="JK128" s="173" t="e">
        <f>#REF!</f>
        <v>#REF!</v>
      </c>
      <c r="JL128" s="173" t="e">
        <f>#REF!</f>
        <v>#REF!</v>
      </c>
      <c r="JM128" s="173" t="e">
        <f>#REF!</f>
        <v>#REF!</v>
      </c>
      <c r="JN128" s="173" t="e">
        <f>#REF!</f>
        <v>#REF!</v>
      </c>
      <c r="JO128" s="173" t="e">
        <f>#REF!</f>
        <v>#REF!</v>
      </c>
      <c r="JP128" s="173" t="e">
        <f>#REF!</f>
        <v>#REF!</v>
      </c>
      <c r="JQ128" s="170" t="e">
        <f>SUM(JM128:JP128)</f>
        <v>#REF!</v>
      </c>
      <c r="NL128" s="3"/>
      <c r="NM128" s="3"/>
      <c r="NN128" s="3"/>
      <c r="NO128" s="3"/>
      <c r="NP128" s="3"/>
      <c r="NQ128" s="3"/>
      <c r="NR128" s="3"/>
      <c r="NS128" s="3"/>
    </row>
    <row r="129" spans="39:383">
      <c r="AM129" s="275">
        <v>45790</v>
      </c>
      <c r="AN129" s="276" t="s">
        <v>1615</v>
      </c>
      <c r="AO129" s="276"/>
      <c r="AP129" s="276"/>
      <c r="AS129" s="275">
        <v>45818</v>
      </c>
      <c r="AT129" s="276" t="s">
        <v>1615</v>
      </c>
      <c r="AU129" s="276"/>
      <c r="AV129" s="276"/>
      <c r="DI129" s="81"/>
      <c r="DJ129" s="81"/>
      <c r="DK129" s="81"/>
      <c r="DL129" s="81"/>
      <c r="DM129" s="81"/>
      <c r="GM129" s="184" t="s">
        <v>2435</v>
      </c>
      <c r="GN129" s="173">
        <f>COUNTIFS($BA$2:$BA$425,"ΣΑΒΑ ΜΙΚΑΕΛΑ",IG$2:IG$425,"μέτρια")</f>
        <v>0</v>
      </c>
      <c r="GO129" s="173">
        <f t="shared" ref="GO129:GU129" si="156">COUNTIFS($BA$2:$BA$425,"ΣΑΒΑ ΜΙΚΑΕΛΑ",IH$2:IH$425,"μέτρια")</f>
        <v>0</v>
      </c>
      <c r="GP129" s="173">
        <f t="shared" si="156"/>
        <v>0</v>
      </c>
      <c r="GQ129" s="173">
        <f t="shared" si="156"/>
        <v>0</v>
      </c>
      <c r="GR129" s="173">
        <f t="shared" si="156"/>
        <v>0</v>
      </c>
      <c r="GS129" s="173">
        <f t="shared" si="156"/>
        <v>0</v>
      </c>
      <c r="GT129" s="173">
        <f t="shared" si="156"/>
        <v>0</v>
      </c>
      <c r="GU129" s="173">
        <f t="shared" si="156"/>
        <v>0</v>
      </c>
      <c r="GV129" s="170">
        <f>SUM(GR129:GU129)</f>
        <v>0</v>
      </c>
      <c r="HJ129" s="168"/>
      <c r="HM129" s="157"/>
      <c r="HS129" s="93"/>
      <c r="HX129" s="85"/>
      <c r="ID129" s="168"/>
      <c r="JH129" s="184" t="s">
        <v>2435</v>
      </c>
      <c r="JI129" s="173" t="e">
        <f>#REF!</f>
        <v>#REF!</v>
      </c>
      <c r="JJ129" s="173" t="e">
        <f>#REF!</f>
        <v>#REF!</v>
      </c>
      <c r="JK129" s="173" t="e">
        <f>#REF!</f>
        <v>#REF!</v>
      </c>
      <c r="JL129" s="173" t="e">
        <f>#REF!</f>
        <v>#REF!</v>
      </c>
      <c r="JM129" s="173" t="e">
        <f>#REF!</f>
        <v>#REF!</v>
      </c>
      <c r="JN129" s="173" t="e">
        <f>#REF!</f>
        <v>#REF!</v>
      </c>
      <c r="JO129" s="173" t="e">
        <f>#REF!</f>
        <v>#REF!</v>
      </c>
      <c r="JP129" s="173" t="e">
        <f>#REF!</f>
        <v>#REF!</v>
      </c>
      <c r="JQ129" s="170" t="e">
        <f>SUM(JM129:JP129)</f>
        <v>#REF!</v>
      </c>
      <c r="NL129" s="3"/>
      <c r="NM129" s="3"/>
      <c r="NN129" s="3"/>
      <c r="NO129" s="3"/>
      <c r="NP129" s="3"/>
      <c r="NQ129" s="3"/>
      <c r="NR129" s="3"/>
      <c r="NS129" s="3"/>
    </row>
    <row r="130" spans="39:383">
      <c r="AM130" s="275">
        <v>45791</v>
      </c>
      <c r="AN130" s="276" t="s">
        <v>1615</v>
      </c>
      <c r="AO130" s="276"/>
      <c r="AP130" s="276"/>
      <c r="AS130" s="275">
        <v>45819</v>
      </c>
      <c r="AT130" s="276" t="s">
        <v>1615</v>
      </c>
      <c r="AU130" s="276"/>
      <c r="AV130" s="276"/>
      <c r="DI130" s="81"/>
      <c r="DJ130" s="81"/>
      <c r="DK130" s="81"/>
      <c r="DL130" s="81"/>
      <c r="DM130" s="81"/>
      <c r="GM130" s="184" t="s">
        <v>2603</v>
      </c>
      <c r="GN130" s="173">
        <f>COUNTIFS($BA$2:$BA$425,"ΣΑΒΑ ΜΙΚΑΕΛΑ",IG$2:IG$425,"καλή")</f>
        <v>0</v>
      </c>
      <c r="GO130" s="173">
        <f t="shared" ref="GO130:GU130" si="157">COUNTIFS($BA$2:$BA$425,"ΣΑΒΑ ΜΙΚΑΕΛΑ",IH$2:IH$425,"καλή")</f>
        <v>0</v>
      </c>
      <c r="GP130" s="173">
        <f t="shared" si="157"/>
        <v>0</v>
      </c>
      <c r="GQ130" s="173">
        <f t="shared" si="157"/>
        <v>0</v>
      </c>
      <c r="GR130" s="173">
        <f t="shared" si="157"/>
        <v>0</v>
      </c>
      <c r="GS130" s="173">
        <f t="shared" si="157"/>
        <v>0</v>
      </c>
      <c r="GT130" s="173">
        <f t="shared" si="157"/>
        <v>0</v>
      </c>
      <c r="GU130" s="173">
        <f t="shared" si="157"/>
        <v>0</v>
      </c>
      <c r="GV130" s="199">
        <f>SUM(GR130:GU130)</f>
        <v>0</v>
      </c>
      <c r="HJ130" s="168"/>
      <c r="HM130" s="157"/>
      <c r="HS130" s="93"/>
      <c r="HX130" s="85"/>
      <c r="ID130" s="168"/>
      <c r="JH130" s="184" t="s">
        <v>2603</v>
      </c>
      <c r="JI130" s="173" t="e">
        <f>#REF!</f>
        <v>#REF!</v>
      </c>
      <c r="JJ130" s="173" t="e">
        <f>#REF!</f>
        <v>#REF!</v>
      </c>
      <c r="JK130" s="173" t="e">
        <f>#REF!</f>
        <v>#REF!</v>
      </c>
      <c r="JL130" s="173" t="e">
        <f>#REF!</f>
        <v>#REF!</v>
      </c>
      <c r="JM130" s="173" t="e">
        <f>#REF!</f>
        <v>#REF!</v>
      </c>
      <c r="JN130" s="173" t="e">
        <f>#REF!</f>
        <v>#REF!</v>
      </c>
      <c r="JO130" s="173" t="e">
        <f>#REF!</f>
        <v>#REF!</v>
      </c>
      <c r="JP130" s="173" t="e">
        <f>#REF!</f>
        <v>#REF!</v>
      </c>
      <c r="JQ130" s="199" t="e">
        <f>SUM(JM130:JP130)</f>
        <v>#REF!</v>
      </c>
      <c r="NL130" s="3"/>
      <c r="NM130" s="3"/>
      <c r="NN130" s="3"/>
      <c r="NO130" s="3"/>
      <c r="NP130" s="3"/>
      <c r="NQ130" s="3"/>
      <c r="NR130" s="3"/>
      <c r="NS130" s="3"/>
    </row>
    <row r="131" spans="39:383">
      <c r="AM131" s="275">
        <v>45793</v>
      </c>
      <c r="AN131" s="276" t="s">
        <v>1615</v>
      </c>
      <c r="AO131" s="276"/>
      <c r="AP131" s="276"/>
      <c r="AS131" s="275">
        <v>45821</v>
      </c>
      <c r="AT131" s="276" t="s">
        <v>1615</v>
      </c>
      <c r="AU131" s="276"/>
      <c r="AV131" s="276"/>
      <c r="DI131" s="81"/>
      <c r="DJ131" s="81"/>
      <c r="DK131" s="81"/>
      <c r="DL131" s="81"/>
      <c r="DM131" s="81"/>
      <c r="GM131" s="184" t="s">
        <v>2639</v>
      </c>
      <c r="GN131" s="173">
        <f>COUNTIFS($BA$2:$BA$425,"ΣΑΒΑ ΜΙΚΑΕΛΑ",IG$2:IG$425,"πολύ καλή")</f>
        <v>0</v>
      </c>
      <c r="GO131" s="173">
        <f t="shared" ref="GO131:GU131" si="158">COUNTIFS($BA$2:$BA$425,"ΣΑΒΑ ΜΙΚΑΕΛΑ",IH$2:IH$425,"πολύ καλή")</f>
        <v>0</v>
      </c>
      <c r="GP131" s="173">
        <f t="shared" si="158"/>
        <v>0</v>
      </c>
      <c r="GQ131" s="173">
        <f t="shared" si="158"/>
        <v>0</v>
      </c>
      <c r="GR131" s="173">
        <f t="shared" si="158"/>
        <v>0</v>
      </c>
      <c r="GS131" s="173">
        <f t="shared" si="158"/>
        <v>0</v>
      </c>
      <c r="GT131" s="173">
        <f t="shared" si="158"/>
        <v>0</v>
      </c>
      <c r="GU131" s="173">
        <f t="shared" si="158"/>
        <v>0</v>
      </c>
      <c r="GV131" s="199">
        <f>SUM(GR131:GU131)</f>
        <v>0</v>
      </c>
      <c r="HJ131" s="168"/>
      <c r="HM131" s="157"/>
      <c r="HS131" s="93"/>
      <c r="HX131" s="85"/>
      <c r="ID131" s="168"/>
      <c r="JH131" s="184" t="s">
        <v>2639</v>
      </c>
      <c r="JI131" s="173" t="e">
        <f>#REF!</f>
        <v>#REF!</v>
      </c>
      <c r="JJ131" s="173" t="e">
        <f>#REF!</f>
        <v>#REF!</v>
      </c>
      <c r="JK131" s="173" t="e">
        <f>#REF!</f>
        <v>#REF!</v>
      </c>
      <c r="JL131" s="173" t="e">
        <f>#REF!</f>
        <v>#REF!</v>
      </c>
      <c r="JM131" s="173" t="e">
        <f>#REF!</f>
        <v>#REF!</v>
      </c>
      <c r="JN131" s="173" t="e">
        <f>#REF!</f>
        <v>#REF!</v>
      </c>
      <c r="JO131" s="173" t="e">
        <f>#REF!</f>
        <v>#REF!</v>
      </c>
      <c r="JP131" s="173" t="e">
        <f>#REF!</f>
        <v>#REF!</v>
      </c>
      <c r="JQ131" s="199" t="e">
        <f>SUM(JM131:JP131)</f>
        <v>#REF!</v>
      </c>
    </row>
    <row r="132" spans="39:383" ht="15.75" thickBot="1">
      <c r="AM132" s="275">
        <v>45794</v>
      </c>
      <c r="AN132" s="276" t="s">
        <v>1615</v>
      </c>
      <c r="AO132" s="276"/>
      <c r="AP132" s="276"/>
      <c r="AS132" s="275">
        <v>45822</v>
      </c>
      <c r="AT132" s="276" t="s">
        <v>1615</v>
      </c>
      <c r="AU132" s="276"/>
      <c r="AV132" s="276"/>
      <c r="DI132" s="81"/>
      <c r="DJ132" s="81"/>
      <c r="DK132" s="81"/>
      <c r="DL132" s="81"/>
      <c r="DM132" s="81"/>
      <c r="GM132" s="185" t="s">
        <v>2431</v>
      </c>
      <c r="GN132" s="187">
        <f>COUNTIFS($BA$2:$BA$425,"ΣΑΒΑ ΜΙΚΑΕΛΑ",IG$2:IG$425,"άριστη")</f>
        <v>0</v>
      </c>
      <c r="GO132" s="187">
        <f t="shared" ref="GO132:GU132" si="159">COUNTIFS($BA$2:$BA$425,"ΣΑΒΑ ΜΙΚΑΕΛΑ",IH$2:IH$425,"άριστη")</f>
        <v>0</v>
      </c>
      <c r="GP132" s="187">
        <f t="shared" si="159"/>
        <v>0</v>
      </c>
      <c r="GQ132" s="187">
        <f t="shared" si="159"/>
        <v>0</v>
      </c>
      <c r="GR132" s="187">
        <f t="shared" si="159"/>
        <v>0</v>
      </c>
      <c r="GS132" s="187">
        <f t="shared" si="159"/>
        <v>0</v>
      </c>
      <c r="GT132" s="187">
        <f t="shared" si="159"/>
        <v>0</v>
      </c>
      <c r="GU132" s="187">
        <f t="shared" si="159"/>
        <v>0</v>
      </c>
      <c r="GV132" s="199">
        <f>SUM(GR132:GU132)</f>
        <v>0</v>
      </c>
      <c r="HJ132" s="168"/>
      <c r="HM132" s="157"/>
      <c r="HS132" s="93"/>
      <c r="HX132" s="85"/>
      <c r="ID132" s="168"/>
      <c r="JH132" s="185" t="s">
        <v>2431</v>
      </c>
      <c r="JI132" s="173" t="e">
        <f>#REF!</f>
        <v>#REF!</v>
      </c>
      <c r="JJ132" s="173" t="e">
        <f>#REF!</f>
        <v>#REF!</v>
      </c>
      <c r="JK132" s="173" t="e">
        <f>#REF!</f>
        <v>#REF!</v>
      </c>
      <c r="JL132" s="173" t="e">
        <f>#REF!</f>
        <v>#REF!</v>
      </c>
      <c r="JM132" s="173" t="e">
        <f>#REF!</f>
        <v>#REF!</v>
      </c>
      <c r="JN132" s="173" t="e">
        <f>#REF!</f>
        <v>#REF!</v>
      </c>
      <c r="JO132" s="173" t="e">
        <f>#REF!</f>
        <v>#REF!</v>
      </c>
      <c r="JP132" s="173" t="e">
        <f>#REF!</f>
        <v>#REF!</v>
      </c>
      <c r="JQ132" s="199" t="e">
        <f>SUM(JM132:JP132)</f>
        <v>#REF!</v>
      </c>
    </row>
    <row r="133" spans="39:383">
      <c r="AM133" s="273">
        <v>45797</v>
      </c>
      <c r="AN133" s="274" t="s">
        <v>1615</v>
      </c>
      <c r="AO133" s="274"/>
      <c r="AP133" s="274"/>
      <c r="AS133" s="273">
        <v>45825</v>
      </c>
      <c r="AT133" s="274" t="s">
        <v>1615</v>
      </c>
      <c r="AU133" s="274"/>
      <c r="AV133" s="274"/>
      <c r="DI133" s="81"/>
      <c r="DJ133" s="81"/>
      <c r="DK133" s="81"/>
      <c r="DL133" s="81"/>
      <c r="DM133" s="81"/>
      <c r="HJ133" s="168"/>
      <c r="HM133" s="157"/>
      <c r="HS133" s="93"/>
      <c r="HX133" s="85"/>
      <c r="ID133" s="168"/>
      <c r="JH133" s="136"/>
      <c r="JI133" s="136"/>
    </row>
    <row r="134" spans="39:383" ht="15.75" thickBot="1">
      <c r="AM134" s="273">
        <v>45798</v>
      </c>
      <c r="AN134" s="274" t="s">
        <v>1615</v>
      </c>
      <c r="AO134" s="274"/>
      <c r="AP134" s="274"/>
      <c r="AS134" s="273">
        <v>45826</v>
      </c>
      <c r="AT134" s="274" t="s">
        <v>1615</v>
      </c>
      <c r="AU134" s="274"/>
      <c r="AV134" s="274"/>
      <c r="DI134" s="81"/>
      <c r="DJ134" s="81"/>
      <c r="DK134" s="81"/>
      <c r="DL134" s="81"/>
      <c r="DM134" s="81"/>
      <c r="HJ134" s="168"/>
      <c r="HM134" s="157"/>
      <c r="HS134" s="93"/>
      <c r="HX134" s="85"/>
      <c r="ID134" s="168"/>
      <c r="JH134" s="136"/>
      <c r="JI134" s="136"/>
    </row>
    <row r="135" spans="39:383" ht="150">
      <c r="AM135" s="273">
        <v>45800</v>
      </c>
      <c r="AN135" s="274" t="s">
        <v>1615</v>
      </c>
      <c r="AO135" s="274"/>
      <c r="AP135" s="274"/>
      <c r="AS135" s="273">
        <v>45828</v>
      </c>
      <c r="AT135" s="274" t="s">
        <v>1615</v>
      </c>
      <c r="AU135" s="274"/>
      <c r="AV135" s="274"/>
      <c r="DI135" s="81"/>
      <c r="DJ135" s="81"/>
      <c r="DK135" s="81"/>
      <c r="DL135" s="81"/>
      <c r="DM135" s="81"/>
      <c r="GM135" s="175" t="s">
        <v>2983</v>
      </c>
      <c r="GN135" s="171" t="s">
        <v>2354</v>
      </c>
      <c r="GO135" s="171" t="s">
        <v>2355</v>
      </c>
      <c r="GP135" s="171" t="s">
        <v>2356</v>
      </c>
      <c r="GQ135" s="172" t="s">
        <v>2357</v>
      </c>
      <c r="GR135" s="171" t="s">
        <v>2358</v>
      </c>
      <c r="GS135" s="171" t="s">
        <v>2359</v>
      </c>
      <c r="GT135" s="171" t="s">
        <v>2360</v>
      </c>
      <c r="GU135" s="172" t="s">
        <v>2361</v>
      </c>
      <c r="GV135" s="6" t="s">
        <v>2480</v>
      </c>
      <c r="HJ135" s="168"/>
      <c r="HM135" s="157"/>
      <c r="HS135" s="93"/>
      <c r="HX135" s="85"/>
      <c r="ID135" s="168"/>
      <c r="JH135" s="175" t="s">
        <v>2983</v>
      </c>
      <c r="JI135" s="171" t="s">
        <v>2354</v>
      </c>
      <c r="JJ135" s="171" t="s">
        <v>2355</v>
      </c>
      <c r="JK135" s="171" t="s">
        <v>2356</v>
      </c>
      <c r="JL135" s="172" t="s">
        <v>2357</v>
      </c>
      <c r="JM135" s="171" t="s">
        <v>2358</v>
      </c>
      <c r="JN135" s="171" t="s">
        <v>2359</v>
      </c>
      <c r="JO135" s="171" t="s">
        <v>2360</v>
      </c>
      <c r="JP135" s="172" t="s">
        <v>2361</v>
      </c>
      <c r="JQ135" s="6" t="s">
        <v>2480</v>
      </c>
    </row>
    <row r="136" spans="39:383">
      <c r="AM136" s="273">
        <v>45801</v>
      </c>
      <c r="AN136" s="274" t="s">
        <v>1615</v>
      </c>
      <c r="AO136" s="274"/>
      <c r="AP136" s="274"/>
      <c r="AS136" s="273">
        <v>45829</v>
      </c>
      <c r="AT136" s="274" t="s">
        <v>1615</v>
      </c>
      <c r="AU136" s="274"/>
      <c r="AV136" s="274"/>
      <c r="DI136" s="81"/>
      <c r="DJ136" s="81"/>
      <c r="DK136" s="81"/>
      <c r="DL136" s="81"/>
      <c r="DM136" s="81"/>
      <c r="GM136" s="184" t="s">
        <v>2525</v>
      </c>
      <c r="GN136" s="173">
        <f>COUNTIFS($BA$2:$BA$425,"ΣΚΟΡΔΟΥ ΕΛΕΝΗ",IG$2:IG$425,"κακή")</f>
        <v>0</v>
      </c>
      <c r="GO136" s="173">
        <f t="shared" ref="GO136:GU136" si="160">COUNTIFS($BA$2:$BA$425,"ΣΚΟΡΔΟΥ ΕΛΕΝΗ",IH$2:IH$425,"κακή")</f>
        <v>0</v>
      </c>
      <c r="GP136" s="173">
        <f t="shared" si="160"/>
        <v>0</v>
      </c>
      <c r="GQ136" s="173">
        <f t="shared" si="160"/>
        <v>0</v>
      </c>
      <c r="GR136" s="173">
        <f t="shared" si="160"/>
        <v>0</v>
      </c>
      <c r="GS136" s="173">
        <f t="shared" si="160"/>
        <v>0</v>
      </c>
      <c r="GT136" s="173">
        <f t="shared" si="160"/>
        <v>0</v>
      </c>
      <c r="GU136" s="173">
        <f t="shared" si="160"/>
        <v>0</v>
      </c>
      <c r="GV136" s="170">
        <f>SUM(GR136:GU136)</f>
        <v>0</v>
      </c>
      <c r="HJ136" s="168"/>
      <c r="HM136" s="157"/>
      <c r="HS136" s="93"/>
      <c r="HX136" s="85"/>
      <c r="ID136" s="168"/>
      <c r="JH136" s="184" t="s">
        <v>2525</v>
      </c>
      <c r="JI136" s="173" t="e">
        <f>#REF!</f>
        <v>#REF!</v>
      </c>
      <c r="JJ136" s="173" t="e">
        <f>#REF!</f>
        <v>#REF!</v>
      </c>
      <c r="JK136" s="173" t="e">
        <f>#REF!</f>
        <v>#REF!</v>
      </c>
      <c r="JL136" s="173" t="e">
        <f>#REF!</f>
        <v>#REF!</v>
      </c>
      <c r="JM136" s="173" t="e">
        <f>#REF!</f>
        <v>#REF!</v>
      </c>
      <c r="JN136" s="173" t="e">
        <f>#REF!</f>
        <v>#REF!</v>
      </c>
      <c r="JO136" s="173" t="e">
        <f>#REF!</f>
        <v>#REF!</v>
      </c>
      <c r="JP136" s="173" t="e">
        <f>#REF!</f>
        <v>#REF!</v>
      </c>
      <c r="JQ136" s="170" t="e">
        <f>SUM(JM136:JP136)</f>
        <v>#REF!</v>
      </c>
    </row>
    <row r="137" spans="39:383">
      <c r="AM137" s="275">
        <v>45804</v>
      </c>
      <c r="AN137" s="276" t="s">
        <v>1615</v>
      </c>
      <c r="AO137" s="276"/>
      <c r="AP137" s="276"/>
      <c r="AS137" s="275">
        <v>45832</v>
      </c>
      <c r="AT137" s="276" t="s">
        <v>1615</v>
      </c>
      <c r="AU137" s="276"/>
      <c r="AV137" s="276"/>
      <c r="DI137" s="81"/>
      <c r="DJ137" s="81"/>
      <c r="DK137" s="81"/>
      <c r="DL137" s="81"/>
      <c r="DM137" s="81"/>
      <c r="GM137" s="184" t="s">
        <v>2435</v>
      </c>
      <c r="GN137" s="173">
        <f>COUNTIFS($BA$2:$BA$425,"ΣΚΟΡΔΟΥ ΕΛΕΝΗ",IG$2:IG$425,"μέτρια")</f>
        <v>0</v>
      </c>
      <c r="GO137" s="173">
        <f t="shared" ref="GO137:GU137" si="161">COUNTIFS($BA$2:$BA$425,"ΣΚΟΡΔΟΥ ΕΛΕΝΗ",IH$2:IH$425,"μέτρια")</f>
        <v>0</v>
      </c>
      <c r="GP137" s="173">
        <f t="shared" si="161"/>
        <v>0</v>
      </c>
      <c r="GQ137" s="173">
        <f t="shared" si="161"/>
        <v>0</v>
      </c>
      <c r="GR137" s="173">
        <f t="shared" si="161"/>
        <v>0</v>
      </c>
      <c r="GS137" s="173">
        <f t="shared" si="161"/>
        <v>0</v>
      </c>
      <c r="GT137" s="173">
        <f t="shared" si="161"/>
        <v>0</v>
      </c>
      <c r="GU137" s="173">
        <f t="shared" si="161"/>
        <v>0</v>
      </c>
      <c r="GV137" s="170">
        <f>SUM(GR137:GU137)</f>
        <v>0</v>
      </c>
      <c r="HJ137" s="168"/>
      <c r="HM137" s="157"/>
      <c r="HS137" s="93"/>
      <c r="HX137" s="85"/>
      <c r="ID137" s="168"/>
      <c r="JH137" s="184" t="s">
        <v>2435</v>
      </c>
      <c r="JI137" s="173" t="e">
        <f>#REF!</f>
        <v>#REF!</v>
      </c>
      <c r="JJ137" s="173" t="e">
        <f>#REF!</f>
        <v>#REF!</v>
      </c>
      <c r="JK137" s="173" t="e">
        <f>#REF!</f>
        <v>#REF!</v>
      </c>
      <c r="JL137" s="173" t="e">
        <f>#REF!</f>
        <v>#REF!</v>
      </c>
      <c r="JM137" s="173" t="e">
        <f>#REF!</f>
        <v>#REF!</v>
      </c>
      <c r="JN137" s="173" t="e">
        <f>#REF!</f>
        <v>#REF!</v>
      </c>
      <c r="JO137" s="173" t="e">
        <f>#REF!</f>
        <v>#REF!</v>
      </c>
      <c r="JP137" s="173" t="e">
        <f>#REF!</f>
        <v>#REF!</v>
      </c>
      <c r="JQ137" s="170" t="e">
        <f>SUM(JM137:JP137)</f>
        <v>#REF!</v>
      </c>
    </row>
    <row r="138" spans="39:383">
      <c r="AM138" s="275">
        <v>45805</v>
      </c>
      <c r="AN138" s="276" t="s">
        <v>1615</v>
      </c>
      <c r="AO138" s="276"/>
      <c r="AP138" s="276"/>
      <c r="AS138" s="275">
        <v>45833</v>
      </c>
      <c r="AT138" s="276" t="s">
        <v>1615</v>
      </c>
      <c r="AU138" s="276"/>
      <c r="AV138" s="276"/>
      <c r="DI138" s="81"/>
      <c r="DJ138" s="81"/>
      <c r="DK138" s="81"/>
      <c r="DL138" s="81"/>
      <c r="DM138" s="81"/>
      <c r="GM138" s="184" t="s">
        <v>2603</v>
      </c>
      <c r="GN138" s="173">
        <f>COUNTIFS($BA$2:$BA$425,"ΣΚΟΡΔΟΥ ΕΛΕΝΗ",IG$2:IG$425,"καλή")</f>
        <v>0</v>
      </c>
      <c r="GO138" s="173">
        <f t="shared" ref="GO138:GU138" si="162">COUNTIFS($BA$2:$BA$425,"ΣΚΟΡΔΟΥ ΕΛΕΝΗ",IH$2:IH$425,"καλή")</f>
        <v>0</v>
      </c>
      <c r="GP138" s="173">
        <f t="shared" si="162"/>
        <v>0</v>
      </c>
      <c r="GQ138" s="173">
        <f t="shared" si="162"/>
        <v>0</v>
      </c>
      <c r="GR138" s="173">
        <f t="shared" si="162"/>
        <v>0</v>
      </c>
      <c r="GS138" s="173">
        <f t="shared" si="162"/>
        <v>0</v>
      </c>
      <c r="GT138" s="173">
        <f t="shared" si="162"/>
        <v>0</v>
      </c>
      <c r="GU138" s="173">
        <f t="shared" si="162"/>
        <v>0</v>
      </c>
      <c r="GV138" s="199">
        <f>SUM(GR138:GU138)</f>
        <v>0</v>
      </c>
      <c r="HJ138" s="168"/>
      <c r="HM138" s="157"/>
      <c r="HS138" s="93"/>
      <c r="HX138" s="85"/>
      <c r="ID138" s="168"/>
      <c r="JH138" s="184" t="s">
        <v>2603</v>
      </c>
      <c r="JI138" s="173" t="e">
        <f>#REF!</f>
        <v>#REF!</v>
      </c>
      <c r="JJ138" s="173" t="e">
        <f>#REF!</f>
        <v>#REF!</v>
      </c>
      <c r="JK138" s="173" t="e">
        <f>#REF!</f>
        <v>#REF!</v>
      </c>
      <c r="JL138" s="173" t="e">
        <f>#REF!</f>
        <v>#REF!</v>
      </c>
      <c r="JM138" s="173" t="e">
        <f>#REF!</f>
        <v>#REF!</v>
      </c>
      <c r="JN138" s="173" t="e">
        <f>#REF!</f>
        <v>#REF!</v>
      </c>
      <c r="JO138" s="173" t="e">
        <f>#REF!</f>
        <v>#REF!</v>
      </c>
      <c r="JP138" s="173" t="e">
        <f>#REF!</f>
        <v>#REF!</v>
      </c>
      <c r="JQ138" s="199" t="e">
        <f>SUM(JM138:JP138)</f>
        <v>#REF!</v>
      </c>
    </row>
    <row r="139" spans="39:383">
      <c r="AM139" s="275">
        <v>45807</v>
      </c>
      <c r="AN139" s="276" t="s">
        <v>1615</v>
      </c>
      <c r="AO139" s="276"/>
      <c r="AP139" s="276"/>
      <c r="AS139" s="275">
        <v>45835</v>
      </c>
      <c r="AT139" s="276" t="s">
        <v>1615</v>
      </c>
      <c r="AU139" s="276"/>
      <c r="AV139" s="276"/>
      <c r="DI139" s="81"/>
      <c r="DJ139" s="81"/>
      <c r="DK139" s="81"/>
      <c r="DL139" s="81"/>
      <c r="DM139" s="81"/>
      <c r="GM139" s="184" t="s">
        <v>2639</v>
      </c>
      <c r="GN139" s="173">
        <f>COUNTIFS($BA$2:$BA$425,"ΣΚΟΡΔΟΥ ΕΛΕΝΗ",IG$2:IG$425,"πολύ καλή")</f>
        <v>0</v>
      </c>
      <c r="GO139" s="173">
        <f t="shared" ref="GO139:GU139" si="163">COUNTIFS($BA$2:$BA$425,"ΣΚΟΡΔΟΥ ΕΛΕΝΗ",IH$2:IH$425,"πολύ καλή")</f>
        <v>0</v>
      </c>
      <c r="GP139" s="173">
        <f t="shared" si="163"/>
        <v>0</v>
      </c>
      <c r="GQ139" s="173">
        <f t="shared" si="163"/>
        <v>0</v>
      </c>
      <c r="GR139" s="173">
        <f t="shared" si="163"/>
        <v>0</v>
      </c>
      <c r="GS139" s="173">
        <f t="shared" si="163"/>
        <v>0</v>
      </c>
      <c r="GT139" s="173">
        <f t="shared" si="163"/>
        <v>0</v>
      </c>
      <c r="GU139" s="173">
        <f t="shared" si="163"/>
        <v>0</v>
      </c>
      <c r="GV139" s="199">
        <f>SUM(GR139:GU139)</f>
        <v>0</v>
      </c>
      <c r="HJ139" s="168"/>
      <c r="HM139" s="157"/>
      <c r="HS139" s="93"/>
      <c r="HX139" s="85"/>
      <c r="ID139" s="168"/>
      <c r="JH139" s="184" t="s">
        <v>2639</v>
      </c>
      <c r="JI139" s="173" t="e">
        <f>#REF!</f>
        <v>#REF!</v>
      </c>
      <c r="JJ139" s="173" t="e">
        <f>#REF!</f>
        <v>#REF!</v>
      </c>
      <c r="JK139" s="173" t="e">
        <f>#REF!</f>
        <v>#REF!</v>
      </c>
      <c r="JL139" s="173" t="e">
        <f>#REF!</f>
        <v>#REF!</v>
      </c>
      <c r="JM139" s="173" t="e">
        <f>#REF!</f>
        <v>#REF!</v>
      </c>
      <c r="JN139" s="173" t="e">
        <f>#REF!</f>
        <v>#REF!</v>
      </c>
      <c r="JO139" s="173" t="e">
        <f>#REF!</f>
        <v>#REF!</v>
      </c>
      <c r="JP139" s="173" t="e">
        <f>#REF!</f>
        <v>#REF!</v>
      </c>
      <c r="JQ139" s="199" t="e">
        <f>SUM(JM139:JP139)</f>
        <v>#REF!</v>
      </c>
    </row>
    <row r="140" spans="39:383" ht="15.75" thickBot="1">
      <c r="AM140" s="275">
        <v>45808</v>
      </c>
      <c r="AN140" s="276" t="s">
        <v>1615</v>
      </c>
      <c r="AO140" s="276"/>
      <c r="AP140" s="276"/>
      <c r="AS140" s="275">
        <v>45836</v>
      </c>
      <c r="AT140" s="276" t="s">
        <v>1615</v>
      </c>
      <c r="AU140" s="276"/>
      <c r="AV140" s="276"/>
      <c r="DI140" s="81"/>
      <c r="DJ140" s="81"/>
      <c r="DK140" s="81"/>
      <c r="DL140" s="81"/>
      <c r="DM140" s="81"/>
      <c r="GM140" s="185" t="s">
        <v>2431</v>
      </c>
      <c r="GN140" s="187">
        <f>COUNTIFS($BA$2:$BA$425,"ΣΚΟΡΔΟΥ ΕΛΕΝΗ",IG$2:IG$425,"άριστη")</f>
        <v>0</v>
      </c>
      <c r="GO140" s="187">
        <f t="shared" ref="GO140:GU140" si="164">COUNTIFS($BA$2:$BA$425,"ΣΚΟΡΔΟΥ ΕΛΕΝΗ",IH$2:IH$425,"άριστη")</f>
        <v>0</v>
      </c>
      <c r="GP140" s="187">
        <f t="shared" si="164"/>
        <v>0</v>
      </c>
      <c r="GQ140" s="187">
        <f t="shared" si="164"/>
        <v>0</v>
      </c>
      <c r="GR140" s="187">
        <f t="shared" si="164"/>
        <v>0</v>
      </c>
      <c r="GS140" s="187">
        <f t="shared" si="164"/>
        <v>0</v>
      </c>
      <c r="GT140" s="187">
        <f t="shared" si="164"/>
        <v>0</v>
      </c>
      <c r="GU140" s="187">
        <f t="shared" si="164"/>
        <v>0</v>
      </c>
      <c r="GV140" s="199">
        <f>SUM(GR140:GU140)</f>
        <v>0</v>
      </c>
      <c r="HJ140" s="168"/>
      <c r="HM140" s="157"/>
      <c r="HS140" s="93"/>
      <c r="HX140" s="85"/>
      <c r="ID140" s="168"/>
      <c r="JH140" s="185" t="s">
        <v>2431</v>
      </c>
      <c r="JI140" s="173" t="e">
        <f>#REF!</f>
        <v>#REF!</v>
      </c>
      <c r="JJ140" s="173" t="e">
        <f>#REF!</f>
        <v>#REF!</v>
      </c>
      <c r="JK140" s="173" t="e">
        <f>#REF!</f>
        <v>#REF!</v>
      </c>
      <c r="JL140" s="173" t="e">
        <f>#REF!</f>
        <v>#REF!</v>
      </c>
      <c r="JM140" s="173" t="e">
        <f>#REF!</f>
        <v>#REF!</v>
      </c>
      <c r="JN140" s="173" t="e">
        <f>#REF!</f>
        <v>#REF!</v>
      </c>
      <c r="JO140" s="173" t="e">
        <f>#REF!</f>
        <v>#REF!</v>
      </c>
      <c r="JP140" s="173" t="e">
        <f>#REF!</f>
        <v>#REF!</v>
      </c>
      <c r="JQ140" s="199" t="e">
        <f>SUM(JM140:JP140)</f>
        <v>#REF!</v>
      </c>
    </row>
    <row r="141" spans="39:383">
      <c r="AS141" s="272"/>
      <c r="AT141" s="272"/>
      <c r="DI141" s="81"/>
      <c r="DJ141" s="81"/>
      <c r="DK141" s="81"/>
      <c r="DL141" s="81"/>
      <c r="DM141" s="81"/>
      <c r="HJ141" s="168"/>
      <c r="HM141" s="157"/>
      <c r="HS141" s="93"/>
      <c r="HX141" s="85"/>
      <c r="ID141" s="168"/>
    </row>
    <row r="142" spans="39:383">
      <c r="AS142" s="272"/>
      <c r="AT142" s="272"/>
      <c r="DI142" s="81"/>
      <c r="DJ142" s="81"/>
      <c r="DK142" s="81"/>
      <c r="DL142" s="81"/>
      <c r="DM142" s="81"/>
      <c r="HJ142" s="168"/>
      <c r="HM142" s="157"/>
      <c r="HS142" s="93"/>
      <c r="HX142" s="85"/>
      <c r="ID142" s="168"/>
    </row>
    <row r="143" spans="39:383">
      <c r="AM143" s="1305" t="s">
        <v>1992</v>
      </c>
      <c r="AN143" s="1305" t="s">
        <v>437</v>
      </c>
      <c r="AO143" s="1304" t="s">
        <v>1993</v>
      </c>
      <c r="AP143" s="1304" t="s">
        <v>1994</v>
      </c>
      <c r="AS143" s="1304" t="s">
        <v>1992</v>
      </c>
      <c r="AT143" s="1305" t="s">
        <v>437</v>
      </c>
      <c r="AU143" s="1304" t="s">
        <v>1993</v>
      </c>
      <c r="AV143" s="1304" t="s">
        <v>1994</v>
      </c>
      <c r="HJ143" s="168"/>
      <c r="HM143" s="157"/>
      <c r="HS143" s="93"/>
      <c r="HX143" s="85"/>
      <c r="ID143" s="168"/>
    </row>
    <row r="144" spans="39:383">
      <c r="AM144" s="1306"/>
      <c r="AN144" s="1306"/>
      <c r="AO144" s="1304"/>
      <c r="AP144" s="1304"/>
      <c r="AS144" s="1304"/>
      <c r="AT144" s="1306"/>
      <c r="AU144" s="1304"/>
      <c r="AV144" s="1304"/>
      <c r="HJ144" s="168"/>
      <c r="HM144" s="157"/>
      <c r="HS144" s="93"/>
      <c r="HX144" s="85"/>
      <c r="ID144" s="168"/>
    </row>
    <row r="145" spans="39:238">
      <c r="AM145" s="273">
        <v>45784</v>
      </c>
      <c r="AN145" s="274" t="s">
        <v>3072</v>
      </c>
      <c r="AO145" s="274"/>
      <c r="AP145" s="274"/>
      <c r="AS145" s="273">
        <v>45811</v>
      </c>
      <c r="AT145" s="274" t="s">
        <v>3072</v>
      </c>
      <c r="AU145" s="274"/>
      <c r="AV145" s="274"/>
      <c r="HJ145" s="168"/>
      <c r="HM145" s="157"/>
      <c r="HS145" s="93"/>
      <c r="HX145" s="85"/>
      <c r="ID145" s="168"/>
    </row>
    <row r="146" spans="39:238">
      <c r="AM146" s="273">
        <v>45787</v>
      </c>
      <c r="AN146" s="274" t="s">
        <v>3072</v>
      </c>
      <c r="AO146" s="274"/>
      <c r="AP146" s="274"/>
      <c r="AS146" s="273">
        <v>45815</v>
      </c>
      <c r="AT146" s="274" t="s">
        <v>3072</v>
      </c>
      <c r="AU146" s="274"/>
      <c r="AV146" s="274"/>
      <c r="HJ146" s="168"/>
      <c r="HM146" s="157"/>
      <c r="HS146" s="93"/>
      <c r="HX146" s="85"/>
      <c r="ID146" s="168"/>
    </row>
    <row r="147" spans="39:238">
      <c r="AM147" s="275">
        <v>45791</v>
      </c>
      <c r="AN147" s="276" t="s">
        <v>3072</v>
      </c>
      <c r="AO147" s="276"/>
      <c r="AP147" s="276"/>
      <c r="AS147" s="275">
        <v>45818</v>
      </c>
      <c r="AT147" s="276" t="s">
        <v>3072</v>
      </c>
      <c r="AU147" s="276"/>
      <c r="AV147" s="276"/>
      <c r="HJ147" s="168"/>
      <c r="HM147" s="157"/>
      <c r="HS147" s="93"/>
      <c r="HX147" s="85"/>
      <c r="ID147" s="168"/>
    </row>
    <row r="148" spans="39:238">
      <c r="AM148" s="275">
        <v>45794</v>
      </c>
      <c r="AN148" s="276" t="s">
        <v>3072</v>
      </c>
      <c r="AO148" s="276"/>
      <c r="AP148" s="276"/>
      <c r="AS148" s="275">
        <v>45822</v>
      </c>
      <c r="AT148" s="276" t="s">
        <v>3072</v>
      </c>
      <c r="AU148" s="276"/>
      <c r="AV148" s="276"/>
      <c r="HJ148" s="168"/>
      <c r="HM148" s="157"/>
      <c r="HS148" s="93"/>
      <c r="HX148" s="85"/>
      <c r="ID148" s="168"/>
    </row>
    <row r="149" spans="39:238">
      <c r="AM149" s="273">
        <v>45798</v>
      </c>
      <c r="AN149" s="274" t="s">
        <v>3072</v>
      </c>
      <c r="AO149" s="274"/>
      <c r="AP149" s="274"/>
      <c r="AS149" s="273">
        <v>45825</v>
      </c>
      <c r="AT149" s="274" t="s">
        <v>3072</v>
      </c>
      <c r="AU149" s="274"/>
      <c r="AV149" s="274"/>
      <c r="HJ149" s="168"/>
      <c r="HM149" s="157"/>
      <c r="HS149" s="93"/>
      <c r="HX149" s="85"/>
      <c r="ID149" s="168"/>
    </row>
    <row r="150" spans="39:238">
      <c r="AM150" s="273">
        <v>45801</v>
      </c>
      <c r="AN150" s="274" t="s">
        <v>3072</v>
      </c>
      <c r="AO150" s="274"/>
      <c r="AP150" s="274"/>
      <c r="AS150" s="273">
        <v>45829</v>
      </c>
      <c r="AT150" s="274" t="s">
        <v>3072</v>
      </c>
      <c r="AU150" s="274"/>
      <c r="AV150" s="274"/>
      <c r="HJ150" s="168"/>
      <c r="HM150" s="157"/>
      <c r="HS150" s="93"/>
      <c r="HX150" s="85"/>
      <c r="ID150" s="168"/>
    </row>
    <row r="151" spans="39:238">
      <c r="AM151" s="275">
        <v>45805</v>
      </c>
      <c r="AN151" s="276" t="s">
        <v>3072</v>
      </c>
      <c r="AO151" s="276"/>
      <c r="AP151" s="276"/>
      <c r="AS151" s="275">
        <v>45832</v>
      </c>
      <c r="AT151" s="276" t="s">
        <v>3072</v>
      </c>
      <c r="AU151" s="276"/>
      <c r="AV151" s="276"/>
      <c r="HJ151" s="168"/>
      <c r="HM151" s="157"/>
      <c r="HS151" s="93"/>
      <c r="HX151" s="85"/>
      <c r="ID151" s="168"/>
    </row>
    <row r="152" spans="39:238">
      <c r="AM152" s="275">
        <v>45808</v>
      </c>
      <c r="AN152" s="276" t="s">
        <v>3072</v>
      </c>
      <c r="AO152" s="276"/>
      <c r="AP152" s="276"/>
      <c r="AS152" s="275">
        <v>45836</v>
      </c>
      <c r="AT152" s="276" t="s">
        <v>3072</v>
      </c>
      <c r="AU152" s="276"/>
      <c r="AV152" s="276"/>
      <c r="HJ152" s="168"/>
      <c r="HM152" s="157"/>
      <c r="HS152" s="93"/>
      <c r="HX152" s="85"/>
      <c r="ID152" s="168"/>
    </row>
    <row r="153" spans="39:238">
      <c r="AS153" s="272"/>
      <c r="AT153" s="272"/>
      <c r="HJ153" s="168"/>
      <c r="HM153" s="157"/>
      <c r="HS153" s="93"/>
      <c r="HX153" s="85"/>
      <c r="ID153" s="168"/>
    </row>
    <row r="154" spans="39:238">
      <c r="AS154" s="272"/>
      <c r="AT154" s="272"/>
      <c r="HJ154" s="168"/>
      <c r="HM154" s="157"/>
      <c r="HS154" s="93"/>
      <c r="HX154" s="85"/>
      <c r="ID154" s="168"/>
    </row>
    <row r="155" spans="39:238">
      <c r="AM155" s="1305" t="s">
        <v>1992</v>
      </c>
      <c r="AN155" s="1305" t="s">
        <v>437</v>
      </c>
      <c r="AO155" s="1304" t="s">
        <v>1993</v>
      </c>
      <c r="AP155" s="1304" t="s">
        <v>1994</v>
      </c>
      <c r="AS155" s="1304" t="s">
        <v>1992</v>
      </c>
      <c r="AT155" s="1305" t="s">
        <v>437</v>
      </c>
      <c r="AU155" s="1304" t="s">
        <v>1993</v>
      </c>
      <c r="AV155" s="1304" t="s">
        <v>1994</v>
      </c>
      <c r="HJ155" s="168"/>
      <c r="HM155" s="157"/>
      <c r="HS155" s="93"/>
      <c r="HX155" s="85"/>
      <c r="ID155" s="168"/>
    </row>
    <row r="156" spans="39:238">
      <c r="AM156" s="1306"/>
      <c r="AN156" s="1306"/>
      <c r="AO156" s="1304"/>
      <c r="AP156" s="1304"/>
      <c r="AS156" s="1304"/>
      <c r="AT156" s="1306"/>
      <c r="AU156" s="1304"/>
      <c r="AV156" s="1304"/>
      <c r="HJ156" s="168"/>
      <c r="HM156" s="157"/>
      <c r="HS156" s="93"/>
      <c r="HX156" s="85"/>
      <c r="ID156" s="168"/>
    </row>
    <row r="157" spans="39:238">
      <c r="AM157" s="273">
        <v>45783</v>
      </c>
      <c r="AN157" s="274" t="s">
        <v>2436</v>
      </c>
      <c r="AO157" s="274"/>
      <c r="AP157" s="274"/>
      <c r="AS157" s="273">
        <v>45811</v>
      </c>
      <c r="AT157" s="274" t="s">
        <v>2436</v>
      </c>
      <c r="AU157" s="274"/>
      <c r="AV157" s="274"/>
      <c r="HJ157" s="168"/>
      <c r="HM157" s="157"/>
      <c r="HS157" s="93"/>
      <c r="HX157" s="85"/>
      <c r="ID157" s="168"/>
    </row>
    <row r="158" spans="39:238">
      <c r="AM158" s="273">
        <v>45784</v>
      </c>
      <c r="AN158" s="274" t="s">
        <v>2436</v>
      </c>
      <c r="AO158" s="274"/>
      <c r="AP158" s="274"/>
      <c r="AS158" s="273">
        <v>45812</v>
      </c>
      <c r="AT158" s="274" t="s">
        <v>2436</v>
      </c>
      <c r="AU158" s="274"/>
      <c r="AV158" s="274"/>
      <c r="HJ158" s="168"/>
      <c r="HM158" s="157"/>
      <c r="HS158" s="93"/>
      <c r="HX158" s="85"/>
      <c r="ID158" s="168"/>
    </row>
    <row r="159" spans="39:238">
      <c r="AM159" s="273">
        <v>45785</v>
      </c>
      <c r="AN159" s="274" t="s">
        <v>2436</v>
      </c>
      <c r="AO159" s="274"/>
      <c r="AP159" s="274"/>
      <c r="AS159" s="273">
        <v>45813</v>
      </c>
      <c r="AT159" s="274" t="s">
        <v>2436</v>
      </c>
      <c r="AU159" s="274"/>
      <c r="AV159" s="274"/>
      <c r="HJ159" s="168"/>
      <c r="HM159" s="157"/>
      <c r="HS159" s="93"/>
      <c r="HX159" s="85"/>
      <c r="ID159" s="168"/>
    </row>
    <row r="160" spans="39:238">
      <c r="AM160" s="273">
        <v>45786</v>
      </c>
      <c r="AN160" s="274" t="s">
        <v>2436</v>
      </c>
      <c r="AO160" s="274"/>
      <c r="AP160" s="274"/>
      <c r="AS160" s="273">
        <v>45814</v>
      </c>
      <c r="AT160" s="274" t="s">
        <v>2436</v>
      </c>
      <c r="AU160" s="274"/>
      <c r="AV160" s="274"/>
      <c r="HJ160" s="168"/>
      <c r="HM160" s="157"/>
      <c r="HS160" s="93"/>
      <c r="HX160" s="85"/>
      <c r="ID160" s="168"/>
    </row>
    <row r="161" spans="39:238">
      <c r="AM161" s="273">
        <v>45787</v>
      </c>
      <c r="AN161" s="274" t="s">
        <v>2436</v>
      </c>
      <c r="AO161" s="274"/>
      <c r="AP161" s="274"/>
      <c r="AS161" s="273">
        <v>45815</v>
      </c>
      <c r="AT161" s="274" t="s">
        <v>2436</v>
      </c>
      <c r="AU161" s="274"/>
      <c r="AV161" s="274"/>
      <c r="HJ161" s="168"/>
      <c r="HM161" s="157"/>
      <c r="HS161" s="93"/>
      <c r="HX161" s="85"/>
      <c r="ID161" s="168"/>
    </row>
    <row r="162" spans="39:238">
      <c r="AM162" s="275">
        <v>45790</v>
      </c>
      <c r="AN162" s="276" t="s">
        <v>2436</v>
      </c>
      <c r="AO162" s="276"/>
      <c r="AP162" s="276"/>
      <c r="AS162" s="275">
        <v>45818</v>
      </c>
      <c r="AT162" s="276" t="s">
        <v>2436</v>
      </c>
      <c r="AU162" s="276"/>
      <c r="AV162" s="276"/>
      <c r="HJ162" s="168"/>
      <c r="HM162" s="157"/>
      <c r="HS162" s="93"/>
      <c r="HX162" s="85"/>
      <c r="ID162" s="168"/>
    </row>
    <row r="163" spans="39:238">
      <c r="AM163" s="275">
        <v>45791</v>
      </c>
      <c r="AN163" s="276" t="s">
        <v>2436</v>
      </c>
      <c r="AO163" s="276"/>
      <c r="AP163" s="276"/>
      <c r="AS163" s="275">
        <v>45819</v>
      </c>
      <c r="AT163" s="276" t="s">
        <v>2436</v>
      </c>
      <c r="AU163" s="276"/>
      <c r="AV163" s="276"/>
      <c r="HJ163" s="168"/>
      <c r="HM163" s="157"/>
      <c r="HS163" s="93"/>
      <c r="HX163" s="85"/>
      <c r="ID163" s="168"/>
    </row>
    <row r="164" spans="39:238">
      <c r="AM164" s="275">
        <v>45792</v>
      </c>
      <c r="AN164" s="276" t="s">
        <v>2436</v>
      </c>
      <c r="AO164" s="276"/>
      <c r="AP164" s="276"/>
      <c r="AS164" s="275">
        <v>45820</v>
      </c>
      <c r="AT164" s="276" t="s">
        <v>2436</v>
      </c>
      <c r="AU164" s="276"/>
      <c r="AV164" s="276"/>
      <c r="HJ164" s="168"/>
      <c r="HM164" s="157"/>
      <c r="HS164" s="93"/>
      <c r="HX164" s="85"/>
      <c r="ID164" s="168"/>
    </row>
    <row r="165" spans="39:238">
      <c r="AM165" s="275">
        <v>45793</v>
      </c>
      <c r="AN165" s="276" t="s">
        <v>2436</v>
      </c>
      <c r="AO165" s="276"/>
      <c r="AP165" s="276"/>
      <c r="AS165" s="275">
        <v>45821</v>
      </c>
      <c r="AT165" s="276" t="s">
        <v>2436</v>
      </c>
      <c r="AU165" s="276"/>
      <c r="AV165" s="276"/>
      <c r="HJ165" s="168"/>
      <c r="HM165" s="157"/>
      <c r="HS165" s="93"/>
      <c r="HX165" s="85"/>
      <c r="ID165" s="168"/>
    </row>
    <row r="166" spans="39:238">
      <c r="AM166" s="275">
        <v>45794</v>
      </c>
      <c r="AN166" s="276" t="s">
        <v>2436</v>
      </c>
      <c r="AO166" s="276"/>
      <c r="AP166" s="276"/>
      <c r="AS166" s="275">
        <v>45822</v>
      </c>
      <c r="AT166" s="276" t="s">
        <v>2436</v>
      </c>
      <c r="AU166" s="276"/>
      <c r="AV166" s="276"/>
      <c r="HJ166" s="168"/>
      <c r="HM166" s="157"/>
      <c r="HS166" s="93"/>
      <c r="HX166" s="85"/>
      <c r="ID166" s="168"/>
    </row>
    <row r="167" spans="39:238">
      <c r="AM167" s="273">
        <v>45797</v>
      </c>
      <c r="AN167" s="274" t="s">
        <v>2436</v>
      </c>
      <c r="AO167" s="274"/>
      <c r="AP167" s="274"/>
      <c r="AS167" s="273">
        <v>45825</v>
      </c>
      <c r="AT167" s="274" t="s">
        <v>2436</v>
      </c>
      <c r="AU167" s="274"/>
      <c r="AV167" s="274"/>
      <c r="HJ167" s="168"/>
      <c r="HM167" s="157"/>
      <c r="HS167" s="93"/>
      <c r="HX167" s="85"/>
      <c r="ID167" s="168"/>
    </row>
    <row r="168" spans="39:238">
      <c r="AM168" s="273">
        <v>45798</v>
      </c>
      <c r="AN168" s="274" t="s">
        <v>2436</v>
      </c>
      <c r="AO168" s="274"/>
      <c r="AP168" s="274"/>
      <c r="AS168" s="273">
        <v>45826</v>
      </c>
      <c r="AT168" s="274" t="s">
        <v>2436</v>
      </c>
      <c r="AU168" s="274"/>
      <c r="AV168" s="274"/>
      <c r="HJ168" s="168"/>
      <c r="HM168" s="157"/>
      <c r="HS168" s="93"/>
      <c r="HX168" s="85"/>
      <c r="ID168" s="168"/>
    </row>
    <row r="169" spans="39:238">
      <c r="AM169" s="273">
        <v>45799</v>
      </c>
      <c r="AN169" s="274" t="s">
        <v>2436</v>
      </c>
      <c r="AO169" s="274"/>
      <c r="AP169" s="274"/>
      <c r="AS169" s="273">
        <v>45827</v>
      </c>
      <c r="AT169" s="274" t="s">
        <v>2436</v>
      </c>
      <c r="AU169" s="274"/>
      <c r="AV169" s="274"/>
      <c r="HJ169" s="168"/>
      <c r="HM169" s="157"/>
      <c r="HS169" s="93"/>
      <c r="HX169" s="85"/>
      <c r="ID169" s="168"/>
    </row>
    <row r="170" spans="39:238">
      <c r="AM170" s="273">
        <v>45800</v>
      </c>
      <c r="AN170" s="274" t="s">
        <v>2436</v>
      </c>
      <c r="AO170" s="274"/>
      <c r="AP170" s="274"/>
      <c r="AS170" s="273">
        <v>45828</v>
      </c>
      <c r="AT170" s="274" t="s">
        <v>2436</v>
      </c>
      <c r="AU170" s="274"/>
      <c r="AV170" s="274"/>
      <c r="HJ170" s="168"/>
      <c r="HM170" s="157"/>
      <c r="HS170" s="93"/>
      <c r="HX170" s="85"/>
      <c r="ID170" s="168"/>
    </row>
    <row r="171" spans="39:238">
      <c r="AM171" s="273">
        <v>45801</v>
      </c>
      <c r="AN171" s="274" t="s">
        <v>2436</v>
      </c>
      <c r="AO171" s="274"/>
      <c r="AP171" s="274"/>
      <c r="AS171" s="273">
        <v>45829</v>
      </c>
      <c r="AT171" s="274" t="s">
        <v>2436</v>
      </c>
      <c r="AU171" s="274"/>
      <c r="AV171" s="274"/>
      <c r="HJ171" s="168"/>
      <c r="HM171" s="157"/>
      <c r="HS171" s="93"/>
      <c r="HX171" s="85"/>
      <c r="ID171" s="168"/>
    </row>
    <row r="172" spans="39:238">
      <c r="AM172" s="275">
        <v>45804</v>
      </c>
      <c r="AN172" s="276" t="s">
        <v>2436</v>
      </c>
      <c r="AO172" s="276"/>
      <c r="AP172" s="276"/>
      <c r="AS172" s="275">
        <v>45832</v>
      </c>
      <c r="AT172" s="276" t="s">
        <v>2436</v>
      </c>
      <c r="AU172" s="276"/>
      <c r="AV172" s="276"/>
      <c r="HJ172" s="168"/>
      <c r="HM172" s="157"/>
      <c r="HS172" s="93"/>
      <c r="HX172" s="85"/>
      <c r="ID172" s="168"/>
    </row>
    <row r="173" spans="39:238">
      <c r="AM173" s="275">
        <v>45805</v>
      </c>
      <c r="AN173" s="276" t="s">
        <v>2436</v>
      </c>
      <c r="AO173" s="276"/>
      <c r="AP173" s="276"/>
      <c r="AS173" s="275">
        <v>45833</v>
      </c>
      <c r="AT173" s="276" t="s">
        <v>2436</v>
      </c>
      <c r="AU173" s="276"/>
      <c r="AV173" s="276"/>
      <c r="HJ173" s="168"/>
      <c r="HM173" s="157"/>
      <c r="HS173" s="93"/>
      <c r="HX173" s="85"/>
      <c r="ID173" s="168"/>
    </row>
    <row r="174" spans="39:238">
      <c r="AM174" s="275">
        <v>45806</v>
      </c>
      <c r="AN174" s="276" t="s">
        <v>2436</v>
      </c>
      <c r="AO174" s="276"/>
      <c r="AP174" s="276"/>
      <c r="AS174" s="275">
        <v>45834</v>
      </c>
      <c r="AT174" s="276" t="s">
        <v>2436</v>
      </c>
      <c r="AU174" s="276"/>
      <c r="AV174" s="276"/>
      <c r="HJ174" s="168"/>
      <c r="HM174" s="157"/>
      <c r="HS174" s="93"/>
      <c r="HX174" s="85"/>
      <c r="ID174" s="168"/>
    </row>
    <row r="175" spans="39:238">
      <c r="AM175" s="275">
        <v>45807</v>
      </c>
      <c r="AN175" s="276" t="s">
        <v>2436</v>
      </c>
      <c r="AO175" s="276"/>
      <c r="AP175" s="276"/>
      <c r="AS175" s="275">
        <v>45835</v>
      </c>
      <c r="AT175" s="276" t="s">
        <v>2436</v>
      </c>
      <c r="AU175" s="276"/>
      <c r="AV175" s="276"/>
      <c r="HJ175" s="168"/>
      <c r="HM175" s="157"/>
      <c r="HS175" s="93"/>
      <c r="HX175" s="85"/>
      <c r="ID175" s="168"/>
    </row>
    <row r="176" spans="39:238">
      <c r="AM176" s="275">
        <v>45808</v>
      </c>
      <c r="AN176" s="276" t="s">
        <v>2436</v>
      </c>
      <c r="AO176" s="276"/>
      <c r="AP176" s="276"/>
      <c r="AS176" s="275">
        <v>45836</v>
      </c>
      <c r="AT176" s="276" t="s">
        <v>2436</v>
      </c>
      <c r="AU176" s="276"/>
      <c r="AV176" s="276"/>
      <c r="HJ176" s="168"/>
      <c r="HM176" s="157"/>
      <c r="HS176" s="93"/>
      <c r="HX176" s="85"/>
      <c r="ID176" s="168"/>
    </row>
    <row r="177" spans="39:238">
      <c r="AS177" s="272"/>
      <c r="AT177" s="272"/>
      <c r="HJ177" s="168"/>
      <c r="HM177" s="157"/>
      <c r="HS177" s="93"/>
      <c r="HX177" s="85"/>
      <c r="ID177" s="168"/>
    </row>
    <row r="178" spans="39:238">
      <c r="AS178" s="272"/>
      <c r="AT178" s="272"/>
      <c r="HJ178" s="168"/>
      <c r="HM178" s="157"/>
      <c r="HS178" s="93"/>
      <c r="HX178" s="85"/>
      <c r="ID178" s="168"/>
    </row>
    <row r="179" spans="39:238">
      <c r="AM179" s="1305" t="s">
        <v>1992</v>
      </c>
      <c r="AN179" s="1305" t="s">
        <v>437</v>
      </c>
      <c r="AO179" s="1304" t="s">
        <v>1993</v>
      </c>
      <c r="AP179" s="1304" t="s">
        <v>1994</v>
      </c>
      <c r="AS179" s="1304" t="s">
        <v>1992</v>
      </c>
      <c r="AT179" s="1305" t="s">
        <v>437</v>
      </c>
      <c r="AU179" s="1304" t="s">
        <v>1993</v>
      </c>
      <c r="AV179" s="1304" t="s">
        <v>1994</v>
      </c>
      <c r="HJ179" s="168"/>
      <c r="HM179" s="157"/>
      <c r="HS179" s="93"/>
      <c r="HX179" s="85"/>
      <c r="ID179" s="168"/>
    </row>
    <row r="180" spans="39:238">
      <c r="AM180" s="1306"/>
      <c r="AN180" s="1306"/>
      <c r="AO180" s="1304"/>
      <c r="AP180" s="1304"/>
      <c r="AS180" s="1304"/>
      <c r="AT180" s="1306"/>
      <c r="AU180" s="1304"/>
      <c r="AV180" s="1304"/>
      <c r="HJ180" s="168"/>
      <c r="HM180" s="157"/>
      <c r="HS180" s="93"/>
      <c r="HX180" s="85"/>
      <c r="ID180" s="168"/>
    </row>
    <row r="181" spans="39:238">
      <c r="AM181" s="273">
        <v>45784</v>
      </c>
      <c r="AN181" s="274" t="s">
        <v>3060</v>
      </c>
      <c r="AO181" s="274"/>
      <c r="AP181" s="274"/>
      <c r="AS181" s="273">
        <v>45812</v>
      </c>
      <c r="AT181" s="274" t="s">
        <v>3060</v>
      </c>
      <c r="AU181" s="274"/>
      <c r="AV181" s="274"/>
      <c r="HJ181" s="168"/>
      <c r="HM181" s="157"/>
      <c r="HS181" s="93"/>
      <c r="HX181" s="85"/>
      <c r="ID181" s="168"/>
    </row>
    <row r="182" spans="39:238">
      <c r="AM182" s="273">
        <v>45785</v>
      </c>
      <c r="AN182" s="274" t="s">
        <v>3060</v>
      </c>
      <c r="AO182" s="274"/>
      <c r="AP182" s="274"/>
      <c r="AS182" s="273">
        <v>45814</v>
      </c>
      <c r="AT182" s="274" t="s">
        <v>3060</v>
      </c>
      <c r="AU182" s="274"/>
      <c r="AV182" s="274"/>
      <c r="HJ182" s="168"/>
      <c r="HM182" s="157"/>
      <c r="HS182" s="93"/>
      <c r="HX182" s="85"/>
      <c r="ID182" s="168"/>
    </row>
    <row r="183" spans="39:238">
      <c r="AM183" s="273">
        <v>45786</v>
      </c>
      <c r="AN183" s="274" t="s">
        <v>3060</v>
      </c>
      <c r="AO183" s="274"/>
      <c r="AP183" s="274"/>
      <c r="AS183" s="273">
        <v>45815</v>
      </c>
      <c r="AT183" s="274" t="s">
        <v>3060</v>
      </c>
      <c r="AU183" s="274"/>
      <c r="AV183" s="274"/>
      <c r="HJ183" s="168"/>
      <c r="HM183" s="157"/>
      <c r="HS183" s="93"/>
      <c r="HX183" s="85"/>
      <c r="ID183" s="168"/>
    </row>
    <row r="184" spans="39:238">
      <c r="AM184" s="273">
        <v>45787</v>
      </c>
      <c r="AN184" s="274" t="s">
        <v>3060</v>
      </c>
      <c r="AO184" s="274"/>
      <c r="AP184" s="274"/>
      <c r="AS184" s="275">
        <v>45819</v>
      </c>
      <c r="AT184" s="276" t="s">
        <v>3060</v>
      </c>
      <c r="AU184" s="276"/>
      <c r="AV184" s="276"/>
      <c r="HJ184" s="168"/>
      <c r="HM184" s="157"/>
      <c r="HS184" s="93"/>
      <c r="HX184" s="85"/>
      <c r="ID184" s="168"/>
    </row>
    <row r="185" spans="39:238">
      <c r="AM185" s="275">
        <v>45791</v>
      </c>
      <c r="AN185" s="276" t="s">
        <v>3060</v>
      </c>
      <c r="AO185" s="276"/>
      <c r="AP185" s="276"/>
      <c r="AS185" s="275">
        <v>45821</v>
      </c>
      <c r="AT185" s="276" t="s">
        <v>3060</v>
      </c>
      <c r="AU185" s="276"/>
      <c r="AV185" s="276"/>
      <c r="HJ185" s="168"/>
      <c r="HM185" s="157"/>
      <c r="HS185" s="93"/>
      <c r="HX185" s="85"/>
      <c r="ID185" s="168"/>
    </row>
    <row r="186" spans="39:238">
      <c r="AM186" s="275">
        <v>45792</v>
      </c>
      <c r="AN186" s="276" t="s">
        <v>3060</v>
      </c>
      <c r="AO186" s="276"/>
      <c r="AP186" s="276"/>
      <c r="AS186" s="275">
        <v>45822</v>
      </c>
      <c r="AT186" s="276" t="s">
        <v>3060</v>
      </c>
      <c r="AU186" s="276"/>
      <c r="AV186" s="276"/>
      <c r="HJ186" s="168"/>
      <c r="HM186" s="157"/>
      <c r="HS186" s="93"/>
      <c r="HX186" s="85"/>
      <c r="ID186" s="168"/>
    </row>
    <row r="187" spans="39:238">
      <c r="AM187" s="275">
        <v>45793</v>
      </c>
      <c r="AN187" s="276" t="s">
        <v>3060</v>
      </c>
      <c r="AO187" s="276"/>
      <c r="AP187" s="276"/>
      <c r="AS187" s="273">
        <v>45826</v>
      </c>
      <c r="AT187" s="274" t="s">
        <v>3060</v>
      </c>
      <c r="AU187" s="274"/>
      <c r="AV187" s="274"/>
      <c r="HJ187" s="168"/>
      <c r="HM187" s="157"/>
      <c r="HS187" s="93"/>
      <c r="HX187" s="85"/>
      <c r="ID187" s="168"/>
    </row>
    <row r="188" spans="39:238">
      <c r="AM188" s="275">
        <v>45794</v>
      </c>
      <c r="AN188" s="276" t="s">
        <v>3060</v>
      </c>
      <c r="AO188" s="276"/>
      <c r="AP188" s="276"/>
      <c r="AS188" s="273">
        <v>45828</v>
      </c>
      <c r="AT188" s="274" t="s">
        <v>3060</v>
      </c>
      <c r="AU188" s="274"/>
      <c r="AV188" s="274"/>
      <c r="HJ188" s="168"/>
      <c r="HM188" s="157"/>
      <c r="HS188" s="93"/>
      <c r="HX188" s="85"/>
      <c r="ID188" s="168"/>
    </row>
    <row r="189" spans="39:238">
      <c r="AM189" s="273">
        <v>45798</v>
      </c>
      <c r="AN189" s="274" t="s">
        <v>3060</v>
      </c>
      <c r="AO189" s="274"/>
      <c r="AP189" s="274"/>
      <c r="AS189" s="273">
        <v>45829</v>
      </c>
      <c r="AT189" s="274" t="s">
        <v>3060</v>
      </c>
      <c r="AU189" s="274"/>
      <c r="AV189" s="274"/>
      <c r="HJ189" s="168"/>
      <c r="HM189" s="157"/>
      <c r="HS189" s="93"/>
      <c r="HX189" s="85"/>
      <c r="ID189" s="168"/>
    </row>
    <row r="190" spans="39:238">
      <c r="AM190" s="273">
        <v>45799</v>
      </c>
      <c r="AN190" s="274" t="s">
        <v>3060</v>
      </c>
      <c r="AO190" s="274"/>
      <c r="AP190" s="274"/>
      <c r="AS190" s="275">
        <v>45833</v>
      </c>
      <c r="AT190" s="276" t="s">
        <v>3060</v>
      </c>
      <c r="AU190" s="276"/>
      <c r="AV190" s="276"/>
      <c r="HJ190" s="168"/>
      <c r="HM190" s="157"/>
      <c r="HS190" s="93"/>
      <c r="HX190" s="85"/>
      <c r="ID190" s="168"/>
    </row>
    <row r="191" spans="39:238">
      <c r="AM191" s="273">
        <v>45800</v>
      </c>
      <c r="AN191" s="274" t="s">
        <v>3060</v>
      </c>
      <c r="AO191" s="274"/>
      <c r="AP191" s="274"/>
      <c r="AS191" s="275">
        <v>45835</v>
      </c>
      <c r="AT191" s="276" t="s">
        <v>3060</v>
      </c>
      <c r="AU191" s="276"/>
      <c r="AV191" s="276"/>
      <c r="HJ191" s="168"/>
      <c r="HM191" s="157"/>
      <c r="HS191" s="93"/>
      <c r="HX191" s="85"/>
      <c r="ID191" s="168"/>
    </row>
    <row r="192" spans="39:238">
      <c r="AM192" s="273">
        <v>45801</v>
      </c>
      <c r="AN192" s="274" t="s">
        <v>3060</v>
      </c>
      <c r="AO192" s="274"/>
      <c r="AP192" s="274"/>
      <c r="AS192" s="275">
        <v>45836</v>
      </c>
      <c r="AT192" s="276" t="s">
        <v>3060</v>
      </c>
      <c r="AU192" s="276"/>
      <c r="AV192" s="276"/>
      <c r="HJ192" s="168"/>
      <c r="HM192" s="157"/>
      <c r="HS192" s="93"/>
      <c r="HX192" s="85"/>
      <c r="ID192" s="168"/>
    </row>
    <row r="193" spans="39:238">
      <c r="AM193" s="275">
        <v>45805</v>
      </c>
      <c r="AN193" s="276" t="s">
        <v>3060</v>
      </c>
      <c r="AO193" s="276"/>
      <c r="AP193" s="276"/>
      <c r="AS193" s="272"/>
      <c r="AT193" s="272"/>
      <c r="HJ193" s="168"/>
      <c r="HM193" s="157"/>
      <c r="HS193" s="93"/>
      <c r="HX193" s="85"/>
      <c r="ID193" s="168"/>
    </row>
    <row r="194" spans="39:238">
      <c r="AM194" s="275">
        <v>45806</v>
      </c>
      <c r="AN194" s="276" t="s">
        <v>3060</v>
      </c>
      <c r="AO194" s="276"/>
      <c r="AP194" s="276"/>
      <c r="AS194" s="272"/>
      <c r="AT194" s="272"/>
      <c r="HJ194" s="168"/>
      <c r="HM194" s="157"/>
      <c r="HS194" s="93"/>
      <c r="HX194" s="85"/>
      <c r="ID194" s="168"/>
    </row>
    <row r="195" spans="39:238">
      <c r="AM195" s="275">
        <v>45807</v>
      </c>
      <c r="AN195" s="276" t="s">
        <v>3060</v>
      </c>
      <c r="AO195" s="276"/>
      <c r="AP195" s="276"/>
      <c r="AS195" s="272"/>
      <c r="AT195" s="272"/>
      <c r="HJ195" s="168"/>
      <c r="HM195" s="157"/>
      <c r="HS195" s="93"/>
      <c r="HX195" s="85"/>
      <c r="ID195" s="168"/>
    </row>
    <row r="196" spans="39:238">
      <c r="AM196" s="275">
        <v>45808</v>
      </c>
      <c r="AN196" s="276" t="s">
        <v>3060</v>
      </c>
      <c r="AO196" s="276"/>
      <c r="AP196" s="276"/>
      <c r="AS196" s="272"/>
      <c r="AT196" s="272"/>
      <c r="HJ196" s="168"/>
      <c r="HM196" s="157"/>
      <c r="HS196" s="93"/>
      <c r="HX196" s="85"/>
      <c r="ID196" s="168"/>
    </row>
    <row r="197" spans="39:238">
      <c r="AS197" s="272"/>
      <c r="AT197" s="272"/>
      <c r="HJ197" s="168"/>
      <c r="HM197" s="157"/>
      <c r="HS197" s="93"/>
      <c r="HX197" s="85"/>
      <c r="ID197" s="168"/>
    </row>
    <row r="198" spans="39:238">
      <c r="AS198" s="272"/>
      <c r="AT198" s="272"/>
      <c r="HJ198" s="168"/>
      <c r="HM198" s="157"/>
      <c r="HS198" s="93"/>
      <c r="HX198" s="85"/>
      <c r="ID198" s="168"/>
    </row>
    <row r="199" spans="39:238">
      <c r="AM199" s="1305" t="s">
        <v>1992</v>
      </c>
      <c r="AN199" s="1305" t="s">
        <v>437</v>
      </c>
      <c r="AO199" s="1304" t="s">
        <v>1993</v>
      </c>
      <c r="AP199" s="1304" t="s">
        <v>1994</v>
      </c>
      <c r="AS199" s="1304" t="s">
        <v>1992</v>
      </c>
      <c r="AT199" s="1305" t="s">
        <v>437</v>
      </c>
      <c r="AU199" s="1304" t="s">
        <v>1993</v>
      </c>
      <c r="AV199" s="1304" t="s">
        <v>1994</v>
      </c>
      <c r="HJ199" s="168"/>
      <c r="HM199" s="157"/>
      <c r="HS199" s="93"/>
      <c r="HX199" s="85"/>
      <c r="ID199" s="168"/>
    </row>
    <row r="200" spans="39:238">
      <c r="AM200" s="1306"/>
      <c r="AN200" s="1306"/>
      <c r="AO200" s="1304"/>
      <c r="AP200" s="1304"/>
      <c r="AS200" s="1304"/>
      <c r="AT200" s="1306"/>
      <c r="AU200" s="1304"/>
      <c r="AV200" s="1304"/>
      <c r="HJ200" s="168"/>
      <c r="HM200" s="157"/>
      <c r="HS200" s="93"/>
      <c r="HX200" s="85"/>
      <c r="ID200" s="168"/>
    </row>
    <row r="201" spans="39:238">
      <c r="AM201" s="273">
        <v>45782</v>
      </c>
      <c r="AN201" s="274" t="s">
        <v>3073</v>
      </c>
      <c r="AO201" s="274"/>
      <c r="AP201" s="274"/>
      <c r="AS201" s="273">
        <v>45810</v>
      </c>
      <c r="AT201" s="274" t="s">
        <v>3073</v>
      </c>
      <c r="AU201" s="274"/>
      <c r="AV201" s="274"/>
      <c r="HJ201" s="168"/>
      <c r="HM201" s="157"/>
      <c r="HS201" s="93"/>
      <c r="HX201" s="85"/>
      <c r="ID201" s="168"/>
    </row>
    <row r="202" spans="39:238">
      <c r="AM202" s="273">
        <v>45784</v>
      </c>
      <c r="AN202" s="274" t="s">
        <v>3073</v>
      </c>
      <c r="AO202" s="274"/>
      <c r="AP202" s="274"/>
      <c r="AS202" s="273">
        <v>45812</v>
      </c>
      <c r="AT202" s="274" t="s">
        <v>3073</v>
      </c>
      <c r="AU202" s="274"/>
      <c r="AV202" s="274"/>
      <c r="HJ202" s="168"/>
      <c r="HM202" s="157"/>
      <c r="HS202" s="93"/>
      <c r="HX202" s="85"/>
      <c r="ID202" s="168"/>
    </row>
    <row r="203" spans="39:238">
      <c r="AM203" s="273">
        <v>45787</v>
      </c>
      <c r="AN203" s="274" t="s">
        <v>3073</v>
      </c>
      <c r="AO203" s="274"/>
      <c r="AP203" s="274"/>
      <c r="AS203" s="273">
        <v>45815</v>
      </c>
      <c r="AT203" s="274" t="s">
        <v>3073</v>
      </c>
      <c r="AU203" s="274"/>
      <c r="AV203" s="274"/>
      <c r="HJ203" s="168"/>
      <c r="HM203" s="157"/>
      <c r="HS203" s="93"/>
      <c r="HX203" s="85"/>
      <c r="ID203" s="168"/>
    </row>
    <row r="204" spans="39:238">
      <c r="AM204" s="275">
        <v>45789</v>
      </c>
      <c r="AN204" s="276" t="s">
        <v>3073</v>
      </c>
      <c r="AO204" s="276"/>
      <c r="AP204" s="276"/>
      <c r="AS204" s="275">
        <v>45817</v>
      </c>
      <c r="AT204" s="276" t="s">
        <v>3073</v>
      </c>
      <c r="AU204" s="276"/>
      <c r="AV204" s="276"/>
      <c r="HJ204" s="168"/>
      <c r="HM204" s="157"/>
      <c r="HS204" s="93"/>
      <c r="HX204" s="85"/>
      <c r="ID204" s="168"/>
    </row>
    <row r="205" spans="39:238">
      <c r="AM205" s="275">
        <v>45791</v>
      </c>
      <c r="AN205" s="276" t="s">
        <v>3073</v>
      </c>
      <c r="AO205" s="276"/>
      <c r="AP205" s="276"/>
      <c r="AS205" s="275">
        <v>45819</v>
      </c>
      <c r="AT205" s="276" t="s">
        <v>3073</v>
      </c>
      <c r="AU205" s="276"/>
      <c r="AV205" s="276"/>
      <c r="HJ205" s="168"/>
      <c r="HM205" s="157"/>
      <c r="HS205" s="93"/>
      <c r="HX205" s="85"/>
      <c r="ID205" s="168"/>
    </row>
    <row r="206" spans="39:238">
      <c r="AM206" s="275">
        <v>45794</v>
      </c>
      <c r="AN206" s="276" t="s">
        <v>3073</v>
      </c>
      <c r="AO206" s="276"/>
      <c r="AP206" s="276"/>
      <c r="AS206" s="275">
        <v>45822</v>
      </c>
      <c r="AT206" s="276" t="s">
        <v>3073</v>
      </c>
      <c r="AU206" s="276"/>
      <c r="AV206" s="276"/>
      <c r="HJ206" s="168"/>
      <c r="HM206" s="157"/>
      <c r="HS206" s="93"/>
      <c r="HX206" s="85"/>
      <c r="ID206" s="168"/>
    </row>
    <row r="207" spans="39:238">
      <c r="AM207" s="273">
        <v>45796</v>
      </c>
      <c r="AN207" s="274" t="s">
        <v>3073</v>
      </c>
      <c r="AO207" s="274"/>
      <c r="AP207" s="274"/>
      <c r="AS207" s="273">
        <v>45824</v>
      </c>
      <c r="AT207" s="274" t="s">
        <v>3073</v>
      </c>
      <c r="AU207" s="274"/>
      <c r="AV207" s="274"/>
      <c r="HJ207" s="168"/>
      <c r="HM207" s="157"/>
      <c r="HS207" s="93"/>
      <c r="HX207" s="85"/>
      <c r="ID207" s="168"/>
    </row>
    <row r="208" spans="39:238">
      <c r="AM208" s="273">
        <v>45798</v>
      </c>
      <c r="AN208" s="274" t="s">
        <v>3073</v>
      </c>
      <c r="AO208" s="274"/>
      <c r="AP208" s="274"/>
      <c r="AS208" s="273">
        <v>45826</v>
      </c>
      <c r="AT208" s="274" t="s">
        <v>3073</v>
      </c>
      <c r="AU208" s="274"/>
      <c r="AV208" s="274"/>
      <c r="HJ208" s="168"/>
      <c r="HM208" s="157"/>
      <c r="HS208" s="93"/>
      <c r="HX208" s="85"/>
      <c r="ID208" s="168"/>
    </row>
    <row r="209" spans="39:238">
      <c r="AM209" s="273">
        <v>45801</v>
      </c>
      <c r="AN209" s="274" t="s">
        <v>3073</v>
      </c>
      <c r="AO209" s="274"/>
      <c r="AP209" s="274"/>
      <c r="AS209" s="273">
        <v>45829</v>
      </c>
      <c r="AT209" s="274" t="s">
        <v>3073</v>
      </c>
      <c r="AU209" s="274"/>
      <c r="AV209" s="274"/>
      <c r="HJ209" s="168"/>
      <c r="HM209" s="157"/>
      <c r="HS209" s="93"/>
      <c r="HX209" s="85"/>
      <c r="ID209" s="168"/>
    </row>
    <row r="210" spans="39:238">
      <c r="AM210" s="275">
        <v>45803</v>
      </c>
      <c r="AN210" s="276" t="s">
        <v>3073</v>
      </c>
      <c r="AO210" s="276"/>
      <c r="AP210" s="276"/>
      <c r="AS210" s="275">
        <v>45831</v>
      </c>
      <c r="AT210" s="276" t="s">
        <v>3073</v>
      </c>
      <c r="AU210" s="276"/>
      <c r="AV210" s="276"/>
      <c r="HJ210" s="168"/>
      <c r="HM210" s="157"/>
      <c r="HS210" s="93"/>
      <c r="HX210" s="85"/>
      <c r="ID210" s="168"/>
    </row>
    <row r="211" spans="39:238">
      <c r="AM211" s="275">
        <v>45805</v>
      </c>
      <c r="AN211" s="276" t="s">
        <v>3073</v>
      </c>
      <c r="AO211" s="276"/>
      <c r="AP211" s="276"/>
      <c r="AS211" s="275">
        <v>45833</v>
      </c>
      <c r="AT211" s="276" t="s">
        <v>3073</v>
      </c>
      <c r="AU211" s="276"/>
      <c r="AV211" s="276"/>
      <c r="HJ211" s="168"/>
      <c r="HM211" s="157"/>
      <c r="HS211" s="93"/>
      <c r="HX211" s="85"/>
      <c r="ID211" s="168"/>
    </row>
    <row r="212" spans="39:238">
      <c r="AM212" s="275">
        <v>45808</v>
      </c>
      <c r="AN212" s="276" t="s">
        <v>3073</v>
      </c>
      <c r="AO212" s="276"/>
      <c r="AP212" s="276"/>
      <c r="AS212" s="275">
        <v>45836</v>
      </c>
      <c r="AT212" s="276" t="s">
        <v>3073</v>
      </c>
      <c r="AU212" s="276"/>
      <c r="AV212" s="276"/>
      <c r="HJ212" s="168"/>
      <c r="HM212" s="157"/>
      <c r="HS212" s="93"/>
      <c r="HX212" s="85"/>
      <c r="ID212" s="168"/>
    </row>
    <row r="213" spans="39:238">
      <c r="AS213" s="272"/>
      <c r="AT213" s="272"/>
      <c r="HJ213" s="168"/>
      <c r="HM213" s="157"/>
      <c r="HS213" s="93"/>
      <c r="HX213" s="85"/>
      <c r="ID213" s="168"/>
    </row>
    <row r="214" spans="39:238">
      <c r="AS214" s="272"/>
      <c r="AT214" s="272"/>
      <c r="HJ214" s="168"/>
      <c r="HM214" s="157"/>
      <c r="HS214" s="93"/>
      <c r="HX214" s="85"/>
      <c r="ID214" s="168"/>
    </row>
    <row r="215" spans="39:238">
      <c r="AM215" s="1305" t="s">
        <v>1992</v>
      </c>
      <c r="AN215" s="1305" t="s">
        <v>437</v>
      </c>
      <c r="AO215" s="1304" t="s">
        <v>1993</v>
      </c>
      <c r="AP215" s="1304" t="s">
        <v>1994</v>
      </c>
      <c r="AS215" s="1304" t="s">
        <v>1992</v>
      </c>
      <c r="AT215" s="1305" t="s">
        <v>437</v>
      </c>
      <c r="AU215" s="1304" t="s">
        <v>1993</v>
      </c>
      <c r="AV215" s="1304" t="s">
        <v>1994</v>
      </c>
      <c r="HJ215" s="168"/>
      <c r="HM215" s="157"/>
      <c r="HS215" s="93"/>
      <c r="HX215" s="85"/>
      <c r="ID215" s="168"/>
    </row>
    <row r="216" spans="39:238">
      <c r="AM216" s="1306"/>
      <c r="AN216" s="1306"/>
      <c r="AO216" s="1304"/>
      <c r="AP216" s="1304"/>
      <c r="AS216" s="1304"/>
      <c r="AT216" s="1306"/>
      <c r="AU216" s="1304"/>
      <c r="AV216" s="1304"/>
      <c r="HJ216" s="168"/>
      <c r="HM216" s="157"/>
      <c r="HS216" s="93"/>
      <c r="HX216" s="85"/>
      <c r="ID216" s="168"/>
    </row>
    <row r="217" spans="39:238">
      <c r="AM217" s="273">
        <v>45784</v>
      </c>
      <c r="AN217" s="274" t="s">
        <v>1672</v>
      </c>
      <c r="AO217" s="274"/>
      <c r="AP217" s="274"/>
      <c r="AS217" s="273">
        <v>45812</v>
      </c>
      <c r="AT217" s="274" t="s">
        <v>1672</v>
      </c>
      <c r="AU217" s="274"/>
      <c r="AV217" s="274"/>
      <c r="HJ217" s="168"/>
      <c r="HM217" s="157"/>
      <c r="HS217" s="93"/>
      <c r="HX217" s="85"/>
      <c r="ID217" s="168"/>
    </row>
    <row r="218" spans="39:238">
      <c r="AM218" s="273">
        <v>45787</v>
      </c>
      <c r="AN218" s="274" t="s">
        <v>1672</v>
      </c>
      <c r="AO218" s="274"/>
      <c r="AP218" s="274"/>
      <c r="AS218" s="273">
        <v>45815</v>
      </c>
      <c r="AT218" s="274" t="s">
        <v>1672</v>
      </c>
      <c r="AU218" s="274"/>
      <c r="AV218" s="274"/>
      <c r="HJ218" s="168"/>
      <c r="HM218" s="157"/>
      <c r="HS218" s="93"/>
      <c r="HX218" s="85"/>
      <c r="ID218" s="168"/>
    </row>
    <row r="219" spans="39:238">
      <c r="AM219" s="275">
        <v>45791</v>
      </c>
      <c r="AN219" s="276" t="s">
        <v>1672</v>
      </c>
      <c r="AO219" s="276"/>
      <c r="AP219" s="276"/>
      <c r="AS219" s="275">
        <v>45819</v>
      </c>
      <c r="AT219" s="276" t="s">
        <v>1672</v>
      </c>
      <c r="AU219" s="276"/>
      <c r="AV219" s="276"/>
      <c r="HJ219" s="168"/>
      <c r="HM219" s="157"/>
      <c r="HS219" s="93"/>
      <c r="HX219" s="85"/>
      <c r="ID219" s="168"/>
    </row>
    <row r="220" spans="39:238">
      <c r="AM220" s="275">
        <v>45794</v>
      </c>
      <c r="AN220" s="276" t="s">
        <v>1672</v>
      </c>
      <c r="AO220" s="276"/>
      <c r="AP220" s="276"/>
      <c r="AS220" s="275">
        <v>45822</v>
      </c>
      <c r="AT220" s="276" t="s">
        <v>1672</v>
      </c>
      <c r="AU220" s="276"/>
      <c r="AV220" s="276"/>
      <c r="HJ220" s="168"/>
      <c r="HM220" s="157"/>
      <c r="HS220" s="93"/>
      <c r="HX220" s="85"/>
      <c r="ID220" s="168"/>
    </row>
    <row r="221" spans="39:238">
      <c r="AM221" s="273">
        <v>45798</v>
      </c>
      <c r="AN221" s="274" t="s">
        <v>1672</v>
      </c>
      <c r="AO221" s="274"/>
      <c r="AP221" s="274"/>
      <c r="AS221" s="273">
        <v>45826</v>
      </c>
      <c r="AT221" s="274" t="s">
        <v>1672</v>
      </c>
      <c r="AU221" s="274"/>
      <c r="AV221" s="274"/>
      <c r="HJ221" s="168"/>
      <c r="HM221" s="157"/>
      <c r="HS221" s="93"/>
      <c r="HX221" s="85"/>
      <c r="ID221" s="168"/>
    </row>
    <row r="222" spans="39:238">
      <c r="AM222" s="273">
        <v>45801</v>
      </c>
      <c r="AN222" s="274" t="s">
        <v>1672</v>
      </c>
      <c r="AO222" s="274"/>
      <c r="AP222" s="274"/>
      <c r="AS222" s="273">
        <v>45829</v>
      </c>
      <c r="AT222" s="274" t="s">
        <v>1672</v>
      </c>
      <c r="AU222" s="274"/>
      <c r="AV222" s="274"/>
      <c r="HJ222" s="168"/>
      <c r="HM222" s="157"/>
      <c r="HS222" s="93"/>
      <c r="HX222" s="85"/>
      <c r="ID222" s="168"/>
    </row>
    <row r="223" spans="39:238">
      <c r="AM223" s="275">
        <v>45805</v>
      </c>
      <c r="AN223" s="276" t="s">
        <v>1672</v>
      </c>
      <c r="AO223" s="276"/>
      <c r="AP223" s="276"/>
      <c r="AS223" s="275">
        <v>45833</v>
      </c>
      <c r="AT223" s="276" t="s">
        <v>1672</v>
      </c>
      <c r="AU223" s="276"/>
      <c r="AV223" s="276"/>
      <c r="HJ223" s="168"/>
      <c r="HM223" s="157"/>
      <c r="HS223" s="93"/>
      <c r="HX223" s="85"/>
      <c r="ID223" s="168"/>
    </row>
    <row r="224" spans="39:238">
      <c r="AM224" s="275">
        <v>45808</v>
      </c>
      <c r="AN224" s="276" t="s">
        <v>1672</v>
      </c>
      <c r="AO224" s="276"/>
      <c r="AP224" s="276"/>
      <c r="AS224" s="275">
        <v>45836</v>
      </c>
      <c r="AT224" s="276" t="s">
        <v>1672</v>
      </c>
      <c r="AU224" s="276"/>
      <c r="AV224" s="276"/>
      <c r="HJ224" s="168"/>
      <c r="HM224" s="157"/>
      <c r="HS224" s="93"/>
      <c r="HX224" s="85"/>
      <c r="ID224" s="168"/>
    </row>
    <row r="225" spans="39:238">
      <c r="AS225" s="272"/>
      <c r="AT225" s="272"/>
      <c r="HJ225" s="168"/>
      <c r="HM225" s="157"/>
      <c r="HS225" s="93"/>
      <c r="HX225" s="85"/>
      <c r="ID225" s="168"/>
    </row>
    <row r="226" spans="39:238">
      <c r="AS226" s="272"/>
      <c r="AT226" s="272"/>
      <c r="HJ226" s="168"/>
      <c r="HM226" s="157"/>
      <c r="HS226" s="93"/>
      <c r="HX226" s="85"/>
      <c r="ID226" s="168"/>
    </row>
    <row r="227" spans="39:238">
      <c r="AM227" s="1305" t="s">
        <v>1992</v>
      </c>
      <c r="AN227" s="1305" t="s">
        <v>437</v>
      </c>
      <c r="AO227" s="1304" t="s">
        <v>1993</v>
      </c>
      <c r="AP227" s="1304" t="s">
        <v>1994</v>
      </c>
      <c r="AS227" s="1304" t="s">
        <v>1992</v>
      </c>
      <c r="AT227" s="1305" t="s">
        <v>437</v>
      </c>
      <c r="AU227" s="1304" t="s">
        <v>1993</v>
      </c>
      <c r="AV227" s="1304" t="s">
        <v>1994</v>
      </c>
      <c r="HJ227" s="168"/>
      <c r="HM227" s="157"/>
      <c r="HS227" s="93"/>
      <c r="HX227" s="85"/>
      <c r="ID227" s="168"/>
    </row>
    <row r="228" spans="39:238">
      <c r="AM228" s="1306"/>
      <c r="AN228" s="1306"/>
      <c r="AO228" s="1304"/>
      <c r="AP228" s="1304"/>
      <c r="AS228" s="1304"/>
      <c r="AT228" s="1306"/>
      <c r="AU228" s="1304"/>
      <c r="AV228" s="1304"/>
      <c r="HJ228" s="168"/>
      <c r="HM228" s="157"/>
      <c r="HS228" s="93"/>
      <c r="HX228" s="85"/>
      <c r="ID228" s="168"/>
    </row>
    <row r="229" spans="39:238">
      <c r="AM229" s="273">
        <v>45785</v>
      </c>
      <c r="AN229" s="274" t="s">
        <v>3067</v>
      </c>
      <c r="AO229" s="274"/>
      <c r="AP229" s="274"/>
      <c r="AS229" s="273">
        <v>45813</v>
      </c>
      <c r="AT229" s="274" t="s">
        <v>3067</v>
      </c>
      <c r="AU229" s="274"/>
      <c r="AV229" s="274"/>
      <c r="HJ229" s="168"/>
      <c r="HM229" s="157"/>
      <c r="HS229" s="93"/>
      <c r="HX229" s="85"/>
      <c r="ID229" s="168"/>
    </row>
    <row r="230" spans="39:238">
      <c r="AM230" s="273">
        <v>45787</v>
      </c>
      <c r="AN230" s="274" t="s">
        <v>3067</v>
      </c>
      <c r="AO230" s="274"/>
      <c r="AP230" s="274"/>
      <c r="AS230" s="273">
        <v>45815</v>
      </c>
      <c r="AT230" s="274" t="s">
        <v>3067</v>
      </c>
      <c r="AU230" s="274"/>
      <c r="AV230" s="274"/>
      <c r="HJ230" s="168"/>
      <c r="HM230" s="157"/>
      <c r="HS230" s="93"/>
      <c r="HX230" s="85"/>
      <c r="ID230" s="168"/>
    </row>
    <row r="231" spans="39:238">
      <c r="AM231" s="275">
        <v>45792</v>
      </c>
      <c r="AN231" s="276" t="s">
        <v>3067</v>
      </c>
      <c r="AO231" s="276"/>
      <c r="AP231" s="276"/>
      <c r="AS231" s="275">
        <v>45820</v>
      </c>
      <c r="AT231" s="276" t="s">
        <v>3067</v>
      </c>
      <c r="AU231" s="276"/>
      <c r="AV231" s="276"/>
      <c r="HJ231" s="168"/>
      <c r="HM231" s="157"/>
      <c r="HS231" s="93"/>
      <c r="HX231" s="85"/>
      <c r="ID231" s="168"/>
    </row>
    <row r="232" spans="39:238">
      <c r="AM232" s="275">
        <v>45794</v>
      </c>
      <c r="AN232" s="276" t="s">
        <v>3067</v>
      </c>
      <c r="AO232" s="276"/>
      <c r="AP232" s="276"/>
      <c r="AS232" s="275">
        <v>45822</v>
      </c>
      <c r="AT232" s="276" t="s">
        <v>3067</v>
      </c>
      <c r="AU232" s="276"/>
      <c r="AV232" s="276"/>
      <c r="HJ232" s="168"/>
      <c r="HM232" s="157"/>
      <c r="HS232" s="93"/>
      <c r="HX232" s="85"/>
      <c r="ID232" s="168"/>
    </row>
    <row r="233" spans="39:238">
      <c r="AM233" s="273">
        <v>45799</v>
      </c>
      <c r="AN233" s="274" t="s">
        <v>3067</v>
      </c>
      <c r="AO233" s="274"/>
      <c r="AP233" s="274"/>
      <c r="AS233" s="273">
        <v>45827</v>
      </c>
      <c r="AT233" s="274" t="s">
        <v>3067</v>
      </c>
      <c r="AU233" s="274"/>
      <c r="AV233" s="274"/>
      <c r="HJ233" s="168"/>
      <c r="HM233" s="157"/>
      <c r="HS233" s="93"/>
      <c r="HX233" s="85"/>
      <c r="ID233" s="168"/>
    </row>
    <row r="234" spans="39:238">
      <c r="AM234" s="273">
        <v>45801</v>
      </c>
      <c r="AN234" s="274" t="s">
        <v>3067</v>
      </c>
      <c r="AO234" s="274"/>
      <c r="AP234" s="274"/>
      <c r="AS234" s="273">
        <v>45829</v>
      </c>
      <c r="AT234" s="274" t="s">
        <v>3067</v>
      </c>
      <c r="AU234" s="274"/>
      <c r="AV234" s="274"/>
      <c r="HJ234" s="168"/>
      <c r="HM234" s="157"/>
      <c r="HS234" s="93"/>
      <c r="HX234" s="85"/>
      <c r="ID234" s="168"/>
    </row>
    <row r="235" spans="39:238">
      <c r="AM235" s="275">
        <v>45806</v>
      </c>
      <c r="AN235" s="276" t="s">
        <v>3067</v>
      </c>
      <c r="AO235" s="276"/>
      <c r="AP235" s="276"/>
      <c r="AS235" s="275">
        <v>45834</v>
      </c>
      <c r="AT235" s="276" t="s">
        <v>3067</v>
      </c>
      <c r="AU235" s="276"/>
      <c r="AV235" s="276"/>
      <c r="HJ235" s="168"/>
      <c r="HM235" s="157"/>
      <c r="HS235" s="93"/>
      <c r="HX235" s="85"/>
      <c r="ID235" s="168"/>
    </row>
    <row r="236" spans="39:238">
      <c r="AM236" s="275">
        <v>45808</v>
      </c>
      <c r="AN236" s="276" t="s">
        <v>3067</v>
      </c>
      <c r="AO236" s="276"/>
      <c r="AP236" s="276"/>
      <c r="AS236" s="275">
        <v>45836</v>
      </c>
      <c r="AT236" s="276" t="s">
        <v>3067</v>
      </c>
      <c r="AU236" s="276"/>
      <c r="AV236" s="276"/>
      <c r="HJ236" s="168"/>
      <c r="HM236" s="157"/>
      <c r="HS236" s="93"/>
      <c r="HX236" s="85"/>
      <c r="ID236" s="168"/>
    </row>
    <row r="237" spans="39:238">
      <c r="AS237" s="272"/>
      <c r="AT237" s="272"/>
      <c r="HJ237" s="168"/>
      <c r="HM237" s="157"/>
      <c r="HS237" s="93"/>
      <c r="HX237" s="85"/>
      <c r="ID237" s="168"/>
    </row>
    <row r="238" spans="39:238">
      <c r="AS238" s="272"/>
      <c r="AT238" s="272"/>
      <c r="HJ238" s="168"/>
      <c r="HM238" s="157"/>
      <c r="HS238" s="93"/>
      <c r="HX238" s="85"/>
      <c r="ID238" s="168"/>
    </row>
    <row r="239" spans="39:238">
      <c r="AM239" s="1305" t="s">
        <v>1992</v>
      </c>
      <c r="AN239" s="1305" t="s">
        <v>437</v>
      </c>
      <c r="AO239" s="1304" t="s">
        <v>1993</v>
      </c>
      <c r="AP239" s="1304" t="s">
        <v>1994</v>
      </c>
      <c r="AS239" s="1304" t="s">
        <v>1992</v>
      </c>
      <c r="AT239" s="1305" t="s">
        <v>437</v>
      </c>
      <c r="AU239" s="1304" t="s">
        <v>1993</v>
      </c>
      <c r="AV239" s="1304" t="s">
        <v>1994</v>
      </c>
      <c r="HJ239" s="168"/>
      <c r="HM239" s="157"/>
      <c r="HS239" s="93"/>
      <c r="HX239" s="85"/>
      <c r="ID239" s="168"/>
    </row>
    <row r="240" spans="39:238">
      <c r="AM240" s="1306"/>
      <c r="AN240" s="1306"/>
      <c r="AO240" s="1304"/>
      <c r="AP240" s="1304"/>
      <c r="AS240" s="1304"/>
      <c r="AT240" s="1306"/>
      <c r="AU240" s="1304"/>
      <c r="AV240" s="1304"/>
      <c r="HJ240" s="168"/>
      <c r="HM240" s="157"/>
      <c r="HS240" s="93"/>
      <c r="HX240" s="85"/>
      <c r="ID240" s="168"/>
    </row>
    <row r="241" spans="39:238">
      <c r="AM241" s="273">
        <v>45785</v>
      </c>
      <c r="AN241" s="274" t="s">
        <v>1611</v>
      </c>
      <c r="AO241" s="274"/>
      <c r="AP241" s="274"/>
      <c r="AS241" s="273">
        <v>45813</v>
      </c>
      <c r="AT241" s="274" t="s">
        <v>1611</v>
      </c>
      <c r="AU241" s="274"/>
      <c r="AV241" s="274"/>
      <c r="HJ241" s="168"/>
      <c r="HM241" s="157"/>
      <c r="HS241" s="93"/>
      <c r="HX241" s="85"/>
      <c r="ID241" s="168"/>
    </row>
    <row r="242" spans="39:238">
      <c r="AM242" s="273">
        <v>45787</v>
      </c>
      <c r="AN242" s="274" t="s">
        <v>1611</v>
      </c>
      <c r="AO242" s="274"/>
      <c r="AP242" s="274"/>
      <c r="AS242" s="273">
        <v>45815</v>
      </c>
      <c r="AT242" s="274" t="s">
        <v>1611</v>
      </c>
      <c r="AU242" s="274"/>
      <c r="AV242" s="274"/>
      <c r="HJ242" s="168"/>
      <c r="HM242" s="157"/>
      <c r="HS242" s="93"/>
      <c r="HX242" s="85"/>
      <c r="ID242" s="168"/>
    </row>
    <row r="243" spans="39:238">
      <c r="AM243" s="275">
        <v>45792</v>
      </c>
      <c r="AN243" s="276" t="s">
        <v>1611</v>
      </c>
      <c r="AO243" s="276"/>
      <c r="AP243" s="276"/>
      <c r="AS243" s="275">
        <v>45820</v>
      </c>
      <c r="AT243" s="276" t="s">
        <v>1611</v>
      </c>
      <c r="AU243" s="276"/>
      <c r="AV243" s="276"/>
      <c r="HJ243" s="168"/>
      <c r="HM243" s="157"/>
      <c r="HS243" s="93"/>
      <c r="HX243" s="85"/>
      <c r="ID243" s="168"/>
    </row>
    <row r="244" spans="39:238">
      <c r="AM244" s="275">
        <v>45794</v>
      </c>
      <c r="AN244" s="276" t="s">
        <v>1611</v>
      </c>
      <c r="AO244" s="276"/>
      <c r="AP244" s="276"/>
      <c r="AS244" s="275">
        <v>45822</v>
      </c>
      <c r="AT244" s="276" t="s">
        <v>1611</v>
      </c>
      <c r="AU244" s="276"/>
      <c r="AV244" s="276"/>
      <c r="HJ244" s="168"/>
      <c r="HM244" s="157"/>
      <c r="HS244" s="93"/>
      <c r="HX244" s="85"/>
      <c r="ID244" s="168"/>
    </row>
    <row r="245" spans="39:238">
      <c r="AM245" s="273">
        <v>45799</v>
      </c>
      <c r="AN245" s="274" t="s">
        <v>1611</v>
      </c>
      <c r="AO245" s="274"/>
      <c r="AP245" s="274"/>
      <c r="AS245" s="273">
        <v>45827</v>
      </c>
      <c r="AT245" s="274" t="s">
        <v>1611</v>
      </c>
      <c r="AU245" s="274"/>
      <c r="AV245" s="274"/>
      <c r="HJ245" s="168"/>
      <c r="HM245" s="157"/>
      <c r="HS245" s="93"/>
      <c r="HX245" s="85"/>
      <c r="ID245" s="168"/>
    </row>
    <row r="246" spans="39:238">
      <c r="AM246" s="273">
        <v>45801</v>
      </c>
      <c r="AN246" s="274" t="s">
        <v>1611</v>
      </c>
      <c r="AO246" s="274"/>
      <c r="AP246" s="274"/>
      <c r="AS246" s="273">
        <v>45829</v>
      </c>
      <c r="AT246" s="274" t="s">
        <v>1611</v>
      </c>
      <c r="AU246" s="274"/>
      <c r="AV246" s="274"/>
      <c r="HJ246" s="168"/>
      <c r="HM246" s="157"/>
      <c r="HS246" s="93"/>
      <c r="HX246" s="85"/>
      <c r="ID246" s="168"/>
    </row>
    <row r="247" spans="39:238">
      <c r="AM247" s="275">
        <v>45806</v>
      </c>
      <c r="AN247" s="276" t="s">
        <v>1611</v>
      </c>
      <c r="AO247" s="276"/>
      <c r="AP247" s="276"/>
      <c r="AS247" s="275">
        <v>45834</v>
      </c>
      <c r="AT247" s="276" t="s">
        <v>1611</v>
      </c>
      <c r="AU247" s="276"/>
      <c r="AV247" s="276"/>
      <c r="HJ247" s="168"/>
      <c r="HM247" s="157"/>
      <c r="HS247" s="93"/>
      <c r="HX247" s="85"/>
      <c r="ID247" s="168"/>
    </row>
    <row r="248" spans="39:238">
      <c r="AM248" s="275">
        <v>45808</v>
      </c>
      <c r="AN248" s="276" t="s">
        <v>1611</v>
      </c>
      <c r="AO248" s="276"/>
      <c r="AP248" s="276"/>
      <c r="AS248" s="275">
        <v>45836</v>
      </c>
      <c r="AT248" s="276" t="s">
        <v>1611</v>
      </c>
      <c r="AU248" s="276"/>
      <c r="AV248" s="276"/>
      <c r="HJ248" s="168"/>
      <c r="HM248" s="157"/>
      <c r="HS248" s="93"/>
      <c r="HX248" s="85"/>
      <c r="ID248" s="168"/>
    </row>
    <row r="249" spans="39:238">
      <c r="AS249" s="272"/>
      <c r="AT249" s="272"/>
      <c r="HJ249" s="168"/>
      <c r="HM249" s="157"/>
      <c r="HS249" s="93"/>
      <c r="HX249" s="85"/>
      <c r="ID249" s="168"/>
    </row>
    <row r="250" spans="39:238">
      <c r="AS250" s="272"/>
      <c r="AT250" s="272"/>
      <c r="HJ250" s="168"/>
      <c r="HM250" s="157"/>
      <c r="HS250" s="93"/>
      <c r="HX250" s="85"/>
      <c r="ID250" s="168"/>
    </row>
    <row r="251" spans="39:238">
      <c r="AM251" s="1305" t="s">
        <v>1992</v>
      </c>
      <c r="AN251" s="1305" t="s">
        <v>437</v>
      </c>
      <c r="AO251" s="1304" t="s">
        <v>1993</v>
      </c>
      <c r="AP251" s="1304" t="s">
        <v>1994</v>
      </c>
      <c r="AS251" s="1304" t="s">
        <v>1992</v>
      </c>
      <c r="AT251" s="1305" t="s">
        <v>437</v>
      </c>
      <c r="AU251" s="1304" t="s">
        <v>1993</v>
      </c>
      <c r="AV251" s="1304" t="s">
        <v>1994</v>
      </c>
      <c r="HJ251" s="168"/>
      <c r="HM251" s="157"/>
      <c r="HS251" s="93"/>
      <c r="HX251" s="85"/>
      <c r="ID251" s="168"/>
    </row>
    <row r="252" spans="39:238">
      <c r="AM252" s="1306"/>
      <c r="AN252" s="1306"/>
      <c r="AO252" s="1304"/>
      <c r="AP252" s="1304"/>
      <c r="AS252" s="1304"/>
      <c r="AT252" s="1306"/>
      <c r="AU252" s="1304"/>
      <c r="AV252" s="1304"/>
      <c r="HJ252" s="168"/>
      <c r="HM252" s="157"/>
      <c r="HS252" s="93"/>
      <c r="HX252" s="85"/>
      <c r="ID252" s="168"/>
    </row>
    <row r="253" spans="39:238">
      <c r="AM253" s="273">
        <v>45782</v>
      </c>
      <c r="AN253" s="274" t="s">
        <v>2983</v>
      </c>
      <c r="AO253" s="274"/>
      <c r="AP253" s="274"/>
      <c r="AS253" s="273">
        <v>45810</v>
      </c>
      <c r="AT253" s="274" t="s">
        <v>2983</v>
      </c>
      <c r="AU253" s="274"/>
      <c r="AV253" s="274"/>
      <c r="HJ253" s="168"/>
      <c r="HM253" s="157"/>
      <c r="HS253" s="93"/>
      <c r="HX253" s="85"/>
      <c r="ID253" s="168"/>
    </row>
    <row r="254" spans="39:238">
      <c r="AM254" s="273" t="s">
        <v>3074</v>
      </c>
      <c r="AN254" s="274" t="s">
        <v>2983</v>
      </c>
      <c r="AO254" s="274"/>
      <c r="AP254" s="274"/>
      <c r="AS254" s="273" t="s">
        <v>3075</v>
      </c>
      <c r="AT254" s="274" t="s">
        <v>2983</v>
      </c>
      <c r="AU254" s="274"/>
      <c r="AV254" s="274"/>
      <c r="HJ254" s="168"/>
      <c r="HM254" s="157"/>
      <c r="HS254" s="93"/>
      <c r="HX254" s="85"/>
      <c r="ID254" s="168"/>
    </row>
    <row r="255" spans="39:238">
      <c r="AM255" s="273">
        <v>45787</v>
      </c>
      <c r="AN255" s="274" t="s">
        <v>2983</v>
      </c>
      <c r="AO255" s="274"/>
      <c r="AP255" s="274"/>
      <c r="AS255" s="273">
        <v>45816</v>
      </c>
      <c r="AT255" s="274" t="s">
        <v>2983</v>
      </c>
      <c r="AU255" s="274"/>
      <c r="AV255" s="274"/>
      <c r="HJ255" s="168"/>
      <c r="HM255" s="157"/>
      <c r="HS255" s="93"/>
      <c r="HX255" s="85"/>
      <c r="ID255" s="168"/>
    </row>
    <row r="256" spans="39:238">
      <c r="AM256" s="275">
        <v>45789</v>
      </c>
      <c r="AN256" s="276" t="s">
        <v>2983</v>
      </c>
      <c r="AO256" s="276"/>
      <c r="AP256" s="276"/>
      <c r="AS256" s="275">
        <v>45817</v>
      </c>
      <c r="AT256" s="276" t="s">
        <v>2983</v>
      </c>
      <c r="AU256" s="276"/>
      <c r="AV256" s="276"/>
      <c r="HJ256" s="168"/>
      <c r="HM256" s="157"/>
      <c r="HS256" s="93"/>
      <c r="HX256" s="85"/>
      <c r="ID256" s="168"/>
    </row>
    <row r="257" spans="39:238">
      <c r="AM257" s="275" t="s">
        <v>3076</v>
      </c>
      <c r="AN257" s="276" t="s">
        <v>2983</v>
      </c>
      <c r="AO257" s="276"/>
      <c r="AP257" s="276"/>
      <c r="AS257" s="275" t="s">
        <v>3077</v>
      </c>
      <c r="AT257" s="276" t="s">
        <v>2983</v>
      </c>
      <c r="AU257" s="276"/>
      <c r="AV257" s="276"/>
      <c r="HJ257" s="168"/>
      <c r="HM257" s="157"/>
      <c r="HS257" s="93"/>
      <c r="HX257" s="85"/>
      <c r="ID257" s="168"/>
    </row>
    <row r="258" spans="39:238">
      <c r="AM258" s="275">
        <v>45794</v>
      </c>
      <c r="AN258" s="276" t="s">
        <v>2983</v>
      </c>
      <c r="AO258" s="276"/>
      <c r="AP258" s="276"/>
      <c r="AS258" s="275">
        <v>45822</v>
      </c>
      <c r="AT258" s="276" t="s">
        <v>2983</v>
      </c>
      <c r="AU258" s="276"/>
      <c r="AV258" s="276"/>
      <c r="HJ258" s="168"/>
      <c r="HM258" s="157"/>
      <c r="HS258" s="93"/>
      <c r="HX258" s="85"/>
      <c r="ID258" s="168"/>
    </row>
    <row r="259" spans="39:238">
      <c r="AM259" s="273">
        <v>45796</v>
      </c>
      <c r="AN259" s="274" t="s">
        <v>2983</v>
      </c>
      <c r="AO259" s="274"/>
      <c r="AP259" s="274"/>
      <c r="AS259" s="273">
        <v>45824</v>
      </c>
      <c r="AT259" s="274" t="s">
        <v>2983</v>
      </c>
      <c r="AU259" s="274"/>
      <c r="AV259" s="274"/>
      <c r="HJ259" s="168"/>
      <c r="HM259" s="157"/>
      <c r="HS259" s="93"/>
      <c r="HX259" s="85"/>
      <c r="ID259" s="168"/>
    </row>
    <row r="260" spans="39:238">
      <c r="AM260" s="273" t="s">
        <v>3078</v>
      </c>
      <c r="AN260" s="274" t="s">
        <v>2983</v>
      </c>
      <c r="AO260" s="274"/>
      <c r="AP260" s="274"/>
      <c r="AS260" s="273" t="s">
        <v>3079</v>
      </c>
      <c r="AT260" s="274" t="s">
        <v>2983</v>
      </c>
      <c r="AU260" s="274"/>
      <c r="AV260" s="274"/>
      <c r="HJ260" s="168"/>
      <c r="HM260" s="157"/>
      <c r="HS260" s="93"/>
      <c r="HX260" s="85"/>
      <c r="ID260" s="168"/>
    </row>
    <row r="261" spans="39:238">
      <c r="AM261" s="273">
        <v>45801</v>
      </c>
      <c r="AN261" s="274" t="s">
        <v>2983</v>
      </c>
      <c r="AO261" s="274"/>
      <c r="AP261" s="274"/>
      <c r="AS261" s="273">
        <v>45829</v>
      </c>
      <c r="AT261" s="274" t="s">
        <v>2983</v>
      </c>
      <c r="AU261" s="274"/>
      <c r="AV261" s="274"/>
      <c r="HJ261" s="168"/>
      <c r="HM261" s="157"/>
      <c r="HS261" s="93"/>
      <c r="HX261" s="85"/>
      <c r="ID261" s="168"/>
    </row>
    <row r="262" spans="39:238">
      <c r="AM262" s="275">
        <v>45803</v>
      </c>
      <c r="AN262" s="276" t="s">
        <v>2983</v>
      </c>
      <c r="AO262" s="276"/>
      <c r="AP262" s="276"/>
      <c r="AS262" s="275">
        <v>45831</v>
      </c>
      <c r="AT262" s="276" t="s">
        <v>2983</v>
      </c>
      <c r="AU262" s="276"/>
      <c r="AV262" s="276"/>
      <c r="HJ262" s="168"/>
      <c r="HM262" s="157"/>
      <c r="HS262" s="93"/>
      <c r="HX262" s="85"/>
      <c r="ID262" s="168"/>
    </row>
    <row r="263" spans="39:238">
      <c r="AM263" s="275">
        <v>45807</v>
      </c>
      <c r="AN263" s="276" t="s">
        <v>2983</v>
      </c>
      <c r="AO263" s="276"/>
      <c r="AP263" s="276"/>
      <c r="AS263" s="275">
        <v>45835</v>
      </c>
      <c r="AT263" s="276" t="s">
        <v>2983</v>
      </c>
      <c r="AU263" s="276"/>
      <c r="AV263" s="276"/>
      <c r="HJ263" s="168"/>
      <c r="HM263" s="157"/>
      <c r="HS263" s="93"/>
      <c r="HX263" s="85"/>
      <c r="ID263" s="168"/>
    </row>
    <row r="264" spans="39:238">
      <c r="AS264" s="272"/>
      <c r="AT264" s="272"/>
      <c r="HJ264" s="168"/>
      <c r="HM264" s="157"/>
      <c r="HS264" s="93"/>
      <c r="HX264" s="85"/>
      <c r="ID264" s="168"/>
    </row>
    <row r="265" spans="39:238">
      <c r="AS265" s="272"/>
      <c r="AT265" s="272"/>
      <c r="HJ265" s="168"/>
      <c r="HM265" s="157"/>
      <c r="HS265" s="93"/>
      <c r="HX265" s="85"/>
      <c r="ID265" s="168"/>
    </row>
    <row r="266" spans="39:238">
      <c r="AM266" s="1305" t="s">
        <v>1992</v>
      </c>
      <c r="AN266" s="1305" t="s">
        <v>437</v>
      </c>
      <c r="AO266" s="1304" t="s">
        <v>1993</v>
      </c>
      <c r="AP266" s="1304" t="s">
        <v>1994</v>
      </c>
      <c r="AS266" s="1304" t="s">
        <v>1992</v>
      </c>
      <c r="AT266" s="1305" t="s">
        <v>437</v>
      </c>
      <c r="AU266" s="1304" t="s">
        <v>1993</v>
      </c>
      <c r="AV266" s="1304" t="s">
        <v>1994</v>
      </c>
      <c r="HJ266" s="168"/>
      <c r="HM266" s="157"/>
      <c r="HS266" s="93"/>
      <c r="HX266" s="85"/>
      <c r="ID266" s="168"/>
    </row>
    <row r="267" spans="39:238">
      <c r="AM267" s="1306"/>
      <c r="AN267" s="1306"/>
      <c r="AO267" s="1304"/>
      <c r="AP267" s="1304"/>
      <c r="AS267" s="1304"/>
      <c r="AT267" s="1306"/>
      <c r="AU267" s="1304"/>
      <c r="AV267" s="1304"/>
      <c r="HJ267" s="168"/>
      <c r="HM267" s="157"/>
      <c r="HS267" s="93"/>
      <c r="HX267" s="85"/>
      <c r="ID267" s="168"/>
    </row>
    <row r="268" spans="39:238">
      <c r="AM268" s="273">
        <v>45783</v>
      </c>
      <c r="AN268" s="274" t="s">
        <v>3080</v>
      </c>
      <c r="AO268" s="274"/>
      <c r="AP268" s="274"/>
      <c r="AS268" s="273">
        <v>45811</v>
      </c>
      <c r="AT268" s="274" t="s">
        <v>3080</v>
      </c>
      <c r="AU268" s="274"/>
      <c r="AV268" s="274"/>
      <c r="HJ268" s="168"/>
      <c r="HM268" s="157"/>
      <c r="HS268" s="93"/>
      <c r="HX268" s="85"/>
      <c r="ID268" s="168"/>
    </row>
    <row r="269" spans="39:238">
      <c r="AM269" s="273">
        <v>45787</v>
      </c>
      <c r="AN269" s="274" t="s">
        <v>3080</v>
      </c>
      <c r="AO269" s="274"/>
      <c r="AP269" s="274"/>
      <c r="AS269" s="273">
        <v>45815</v>
      </c>
      <c r="AT269" s="274" t="s">
        <v>3080</v>
      </c>
      <c r="AU269" s="274"/>
      <c r="AV269" s="274"/>
      <c r="HJ269" s="168"/>
      <c r="HM269" s="157"/>
      <c r="HS269" s="93"/>
      <c r="HX269" s="85"/>
      <c r="ID269" s="168"/>
    </row>
    <row r="270" spans="39:238">
      <c r="AM270" s="275">
        <v>45790</v>
      </c>
      <c r="AN270" s="276" t="s">
        <v>3080</v>
      </c>
      <c r="AO270" s="276"/>
      <c r="AP270" s="276"/>
      <c r="AS270" s="275">
        <v>45818</v>
      </c>
      <c r="AT270" s="276" t="s">
        <v>3080</v>
      </c>
      <c r="AU270" s="276"/>
      <c r="AV270" s="276"/>
      <c r="HJ270" s="168"/>
      <c r="HM270" s="157"/>
      <c r="HS270" s="93"/>
      <c r="HX270" s="85"/>
      <c r="ID270" s="168"/>
    </row>
    <row r="271" spans="39:238">
      <c r="AM271" s="275">
        <v>45794</v>
      </c>
      <c r="AN271" s="276" t="s">
        <v>3080</v>
      </c>
      <c r="AO271" s="276"/>
      <c r="AP271" s="276"/>
      <c r="AS271" s="275">
        <v>45822</v>
      </c>
      <c r="AT271" s="276" t="s">
        <v>3080</v>
      </c>
      <c r="AU271" s="276"/>
      <c r="AV271" s="276"/>
      <c r="HJ271" s="168"/>
      <c r="HM271" s="157"/>
      <c r="HS271" s="93"/>
      <c r="HX271" s="85"/>
      <c r="ID271" s="168"/>
    </row>
    <row r="272" spans="39:238">
      <c r="AM272" s="273">
        <v>45797</v>
      </c>
      <c r="AN272" s="274" t="s">
        <v>3080</v>
      </c>
      <c r="AO272" s="274"/>
      <c r="AP272" s="274"/>
      <c r="AS272" s="273">
        <v>45825</v>
      </c>
      <c r="AT272" s="274" t="s">
        <v>3080</v>
      </c>
      <c r="AU272" s="274"/>
      <c r="AV272" s="274"/>
      <c r="HJ272" s="168"/>
      <c r="HM272" s="157"/>
      <c r="HS272" s="93"/>
      <c r="HX272" s="85"/>
      <c r="ID272" s="168"/>
    </row>
    <row r="273" spans="39:238">
      <c r="AM273" s="273">
        <v>45801</v>
      </c>
      <c r="AN273" s="274" t="s">
        <v>3080</v>
      </c>
      <c r="AO273" s="274"/>
      <c r="AP273" s="274"/>
      <c r="AS273" s="273">
        <v>45829</v>
      </c>
      <c r="AT273" s="274" t="s">
        <v>3080</v>
      </c>
      <c r="AU273" s="274"/>
      <c r="AV273" s="274"/>
      <c r="HJ273" s="168"/>
      <c r="HM273" s="157"/>
      <c r="HS273" s="93"/>
      <c r="HX273" s="85"/>
      <c r="ID273" s="168"/>
    </row>
    <row r="274" spans="39:238">
      <c r="AM274" s="275">
        <v>45804</v>
      </c>
      <c r="AN274" s="276" t="s">
        <v>3080</v>
      </c>
      <c r="AO274" s="276"/>
      <c r="AP274" s="276"/>
      <c r="AS274" s="275">
        <v>45832</v>
      </c>
      <c r="AT274" s="276" t="s">
        <v>3080</v>
      </c>
      <c r="AU274" s="276"/>
      <c r="AV274" s="276"/>
      <c r="HJ274" s="168"/>
      <c r="HM274" s="157"/>
      <c r="HS274" s="93"/>
      <c r="HX274" s="85"/>
      <c r="ID274" s="168"/>
    </row>
    <row r="275" spans="39:238">
      <c r="AM275" s="275">
        <v>45808</v>
      </c>
      <c r="AN275" s="276" t="s">
        <v>3080</v>
      </c>
      <c r="AO275" s="276"/>
      <c r="AP275" s="276"/>
      <c r="AS275" s="275">
        <v>45836</v>
      </c>
      <c r="AT275" s="276" t="s">
        <v>3080</v>
      </c>
      <c r="AU275" s="276"/>
      <c r="AV275" s="276"/>
      <c r="HJ275" s="168"/>
      <c r="HM275" s="157"/>
      <c r="HS275" s="93"/>
      <c r="HX275" s="85"/>
      <c r="ID275" s="168"/>
    </row>
    <row r="276" spans="39:238">
      <c r="AS276" s="272"/>
      <c r="AT276" s="272"/>
      <c r="HJ276" s="168"/>
      <c r="HM276" s="157"/>
      <c r="HS276" s="93"/>
      <c r="HX276" s="85"/>
      <c r="ID276" s="168"/>
    </row>
    <row r="277" spans="39:238">
      <c r="AS277" s="272"/>
      <c r="AT277" s="272"/>
      <c r="HJ277" s="168"/>
      <c r="HM277" s="157"/>
      <c r="HS277" s="93"/>
      <c r="HX277" s="85"/>
      <c r="ID277" s="168"/>
    </row>
    <row r="278" spans="39:238">
      <c r="AS278" s="272"/>
      <c r="AT278" s="272"/>
      <c r="HJ278" s="168"/>
      <c r="HM278" s="157"/>
      <c r="HS278" s="93"/>
      <c r="HX278" s="85"/>
      <c r="ID278" s="168"/>
    </row>
    <row r="279" spans="39:238">
      <c r="AS279" s="272"/>
      <c r="AT279" s="272"/>
      <c r="HJ279" s="168"/>
      <c r="HM279" s="157"/>
      <c r="HS279" s="93"/>
      <c r="HX279" s="85"/>
      <c r="ID279" s="168"/>
    </row>
    <row r="280" spans="39:238">
      <c r="AS280" s="272"/>
      <c r="AT280" s="272"/>
      <c r="HJ280" s="168"/>
      <c r="HM280" s="157"/>
      <c r="HS280" s="93"/>
      <c r="HX280" s="85"/>
      <c r="ID280" s="168"/>
    </row>
    <row r="281" spans="39:238">
      <c r="AS281" s="272"/>
      <c r="AT281" s="272"/>
      <c r="HJ281" s="168"/>
      <c r="HM281" s="157"/>
      <c r="HS281" s="93"/>
      <c r="HX281" s="85"/>
      <c r="ID281" s="168"/>
    </row>
    <row r="282" spans="39:238">
      <c r="AS282" s="272"/>
      <c r="AT282" s="272"/>
      <c r="HJ282" s="168"/>
      <c r="HM282" s="157"/>
      <c r="HS282" s="93"/>
      <c r="HX282" s="85"/>
      <c r="ID282" s="168"/>
    </row>
    <row r="283" spans="39:238">
      <c r="HJ283" s="168"/>
      <c r="HM283" s="157"/>
      <c r="HS283" s="93"/>
      <c r="HX283" s="85"/>
      <c r="ID283" s="168"/>
    </row>
    <row r="284" spans="39:238">
      <c r="HJ284" s="168"/>
      <c r="HM284" s="157"/>
      <c r="HS284" s="93"/>
      <c r="HX284" s="85"/>
      <c r="ID284" s="168"/>
    </row>
    <row r="285" spans="39:238">
      <c r="HJ285" s="168"/>
      <c r="HM285" s="157"/>
      <c r="HS285" s="93"/>
      <c r="HX285" s="85"/>
      <c r="ID285" s="168"/>
    </row>
    <row r="286" spans="39:238">
      <c r="HJ286" s="168"/>
      <c r="HM286" s="157"/>
      <c r="HS286" s="93"/>
      <c r="HX286" s="85"/>
      <c r="ID286" s="168"/>
    </row>
    <row r="287" spans="39:238">
      <c r="HJ287" s="168"/>
      <c r="HM287" s="157"/>
      <c r="HS287" s="93"/>
      <c r="HX287" s="85"/>
      <c r="ID287" s="168"/>
    </row>
    <row r="288" spans="39:238">
      <c r="HJ288" s="168"/>
      <c r="HM288" s="157"/>
      <c r="HS288" s="93"/>
      <c r="HX288" s="85"/>
      <c r="ID288" s="168"/>
    </row>
    <row r="289" spans="218:238">
      <c r="HJ289" s="168"/>
      <c r="HM289" s="157"/>
      <c r="HS289" s="93"/>
      <c r="HX289" s="85"/>
      <c r="ID289" s="168"/>
    </row>
    <row r="290" spans="218:238">
      <c r="HJ290" s="168"/>
      <c r="HM290" s="157"/>
      <c r="HS290" s="93"/>
      <c r="HX290" s="85"/>
      <c r="ID290" s="168"/>
    </row>
    <row r="291" spans="218:238">
      <c r="HJ291" s="168"/>
      <c r="HM291" s="157"/>
      <c r="HS291" s="93"/>
      <c r="HX291" s="85"/>
      <c r="ID291" s="168"/>
    </row>
    <row r="292" spans="218:238">
      <c r="HJ292" s="168"/>
      <c r="HM292" s="157"/>
      <c r="HS292" s="93"/>
      <c r="HX292" s="85"/>
      <c r="ID292" s="168"/>
    </row>
    <row r="293" spans="218:238">
      <c r="HJ293" s="168"/>
      <c r="HM293" s="157"/>
      <c r="HS293" s="93"/>
      <c r="HX293" s="85"/>
      <c r="ID293" s="168"/>
    </row>
    <row r="294" spans="218:238">
      <c r="HJ294" s="168"/>
      <c r="HM294" s="157"/>
      <c r="HS294" s="93"/>
      <c r="HX294" s="85"/>
      <c r="ID294" s="168"/>
    </row>
    <row r="295" spans="218:238">
      <c r="HJ295" s="168"/>
      <c r="HM295" s="157"/>
      <c r="HS295" s="93"/>
      <c r="HX295" s="85"/>
      <c r="ID295" s="168"/>
    </row>
    <row r="296" spans="218:238">
      <c r="HJ296" s="168"/>
      <c r="HM296" s="157"/>
      <c r="HS296" s="93"/>
      <c r="HX296" s="85"/>
      <c r="ID296" s="168"/>
    </row>
    <row r="297" spans="218:238">
      <c r="HJ297" s="168"/>
      <c r="HM297" s="157"/>
      <c r="HS297" s="93"/>
      <c r="HX297" s="85"/>
      <c r="ID297" s="168"/>
    </row>
    <row r="298" spans="218:238">
      <c r="HJ298" s="168"/>
      <c r="HM298" s="157"/>
      <c r="HS298" s="93"/>
      <c r="HX298" s="85"/>
      <c r="ID298" s="168"/>
    </row>
    <row r="299" spans="218:238">
      <c r="HJ299" s="168"/>
      <c r="HM299" s="157"/>
      <c r="HS299" s="93"/>
      <c r="HX299" s="85"/>
      <c r="ID299" s="168"/>
    </row>
    <row r="300" spans="218:238">
      <c r="HJ300" s="168"/>
      <c r="HM300" s="157"/>
      <c r="HS300" s="93"/>
      <c r="HX300" s="85"/>
      <c r="ID300" s="168"/>
    </row>
    <row r="301" spans="218:238">
      <c r="HJ301" s="168"/>
      <c r="HM301" s="157"/>
      <c r="HS301" s="93"/>
      <c r="HX301" s="85"/>
      <c r="ID301" s="168"/>
    </row>
    <row r="302" spans="218:238">
      <c r="HJ302" s="168"/>
      <c r="HM302" s="157"/>
      <c r="HS302" s="93"/>
      <c r="HX302" s="85"/>
      <c r="ID302" s="168"/>
    </row>
    <row r="303" spans="218:238">
      <c r="HJ303" s="168"/>
      <c r="HM303" s="157"/>
      <c r="HS303" s="93"/>
      <c r="HX303" s="85"/>
      <c r="ID303" s="168"/>
    </row>
    <row r="304" spans="218:238">
      <c r="HJ304" s="168"/>
      <c r="HM304" s="157"/>
      <c r="HS304" s="93"/>
      <c r="HX304" s="85"/>
      <c r="ID304" s="168"/>
    </row>
    <row r="305" spans="218:238">
      <c r="HJ305" s="168"/>
      <c r="HM305" s="157"/>
      <c r="HS305" s="93"/>
      <c r="HX305" s="85"/>
      <c r="ID305" s="168"/>
    </row>
    <row r="306" spans="218:238">
      <c r="HJ306" s="168"/>
      <c r="HM306" s="157"/>
      <c r="HS306" s="93"/>
      <c r="HX306" s="85"/>
      <c r="ID306" s="168"/>
    </row>
    <row r="307" spans="218:238">
      <c r="HJ307" s="168"/>
      <c r="HM307" s="157"/>
      <c r="HS307" s="93"/>
      <c r="HX307" s="85"/>
      <c r="ID307" s="168"/>
    </row>
    <row r="308" spans="218:238">
      <c r="HJ308" s="168"/>
      <c r="HM308" s="157"/>
      <c r="HS308" s="93"/>
      <c r="HX308" s="85"/>
      <c r="ID308" s="168"/>
    </row>
    <row r="309" spans="218:238">
      <c r="HJ309" s="168"/>
      <c r="HM309" s="157"/>
      <c r="HS309" s="93"/>
      <c r="HX309" s="85"/>
      <c r="ID309" s="168"/>
    </row>
    <row r="310" spans="218:238">
      <c r="HJ310" s="168"/>
      <c r="HM310" s="157"/>
      <c r="HS310" s="93"/>
      <c r="HX310" s="85"/>
      <c r="ID310" s="168"/>
    </row>
    <row r="311" spans="218:238">
      <c r="HJ311" s="168"/>
      <c r="HM311" s="157"/>
      <c r="HS311" s="93"/>
      <c r="HX311" s="85"/>
      <c r="ID311" s="168"/>
    </row>
    <row r="312" spans="218:238">
      <c r="HJ312" s="168"/>
      <c r="HM312" s="157"/>
      <c r="HS312" s="93"/>
      <c r="HX312" s="85"/>
      <c r="ID312" s="168"/>
    </row>
    <row r="313" spans="218:238">
      <c r="HJ313" s="168"/>
      <c r="HM313" s="157"/>
      <c r="HS313" s="93"/>
      <c r="HX313" s="85"/>
      <c r="ID313" s="168"/>
    </row>
    <row r="314" spans="218:238">
      <c r="HJ314" s="168"/>
      <c r="HM314" s="157"/>
      <c r="HS314" s="93"/>
      <c r="HX314" s="85"/>
      <c r="ID314" s="168"/>
    </row>
    <row r="315" spans="218:238">
      <c r="HJ315" s="168"/>
      <c r="HM315" s="157"/>
      <c r="HS315" s="93"/>
      <c r="HX315" s="85"/>
      <c r="ID315" s="168"/>
    </row>
    <row r="316" spans="218:238">
      <c r="HJ316" s="168"/>
      <c r="HM316" s="157"/>
      <c r="HS316" s="93"/>
      <c r="HX316" s="85"/>
      <c r="ID316" s="168"/>
    </row>
    <row r="317" spans="218:238">
      <c r="HJ317" s="168"/>
      <c r="HM317" s="157"/>
      <c r="HS317" s="93"/>
      <c r="HX317" s="85"/>
      <c r="ID317" s="168"/>
    </row>
    <row r="318" spans="218:238">
      <c r="HJ318" s="168"/>
      <c r="HM318" s="157"/>
      <c r="HS318" s="93"/>
      <c r="HX318" s="85"/>
      <c r="ID318" s="168"/>
    </row>
    <row r="319" spans="218:238">
      <c r="HJ319" s="168"/>
      <c r="HM319" s="157"/>
      <c r="HS319" s="93"/>
      <c r="HX319" s="85"/>
      <c r="ID319" s="168"/>
    </row>
    <row r="320" spans="218:238">
      <c r="HJ320" s="168"/>
      <c r="HM320" s="157"/>
      <c r="HS320" s="93"/>
      <c r="HX320" s="85"/>
      <c r="ID320" s="168"/>
    </row>
    <row r="321" spans="218:238">
      <c r="HJ321" s="168"/>
      <c r="HM321" s="157"/>
      <c r="HS321" s="93"/>
      <c r="HX321" s="85"/>
      <c r="ID321" s="168"/>
    </row>
    <row r="322" spans="218:238">
      <c r="HJ322" s="168"/>
      <c r="HM322" s="157"/>
      <c r="HS322" s="93"/>
      <c r="HX322" s="85"/>
      <c r="ID322" s="168"/>
    </row>
    <row r="323" spans="218:238">
      <c r="HJ323" s="168"/>
      <c r="HM323" s="157"/>
      <c r="HS323" s="93"/>
      <c r="HX323" s="85"/>
      <c r="ID323" s="168"/>
    </row>
    <row r="324" spans="218:238">
      <c r="HJ324" s="168"/>
      <c r="HM324" s="157"/>
      <c r="HS324" s="93"/>
      <c r="HX324" s="85"/>
      <c r="ID324" s="168"/>
    </row>
    <row r="325" spans="218:238">
      <c r="HJ325" s="168"/>
      <c r="HM325" s="157"/>
      <c r="HS325" s="93"/>
      <c r="HX325" s="85"/>
      <c r="ID325" s="168"/>
    </row>
    <row r="326" spans="218:238">
      <c r="HJ326" s="168"/>
      <c r="HM326" s="157"/>
      <c r="HS326" s="93"/>
      <c r="HX326" s="85"/>
      <c r="ID326" s="168"/>
    </row>
    <row r="327" spans="218:238">
      <c r="HJ327" s="168"/>
      <c r="HM327" s="157"/>
      <c r="HS327" s="93"/>
      <c r="HX327" s="85"/>
      <c r="ID327" s="168"/>
    </row>
    <row r="328" spans="218:238">
      <c r="HJ328" s="168"/>
      <c r="HM328" s="157"/>
      <c r="HS328" s="93"/>
      <c r="HX328" s="85"/>
      <c r="ID328" s="168"/>
    </row>
    <row r="329" spans="218:238">
      <c r="HJ329" s="168"/>
      <c r="HM329" s="157"/>
      <c r="HS329" s="93"/>
      <c r="HX329" s="85"/>
      <c r="ID329" s="168"/>
    </row>
    <row r="330" spans="218:238">
      <c r="HJ330" s="168"/>
      <c r="HM330" s="157"/>
      <c r="HS330" s="93"/>
      <c r="HX330" s="85"/>
      <c r="ID330" s="168"/>
    </row>
    <row r="331" spans="218:238">
      <c r="HJ331" s="168"/>
      <c r="HM331" s="157"/>
      <c r="HS331" s="93"/>
      <c r="HX331" s="85"/>
      <c r="ID331" s="168"/>
    </row>
    <row r="332" spans="218:238">
      <c r="HJ332" s="168"/>
      <c r="HM332" s="157"/>
      <c r="HS332" s="93"/>
      <c r="HX332" s="85"/>
      <c r="ID332" s="168"/>
    </row>
    <row r="333" spans="218:238">
      <c r="HJ333" s="168"/>
      <c r="HM333" s="157"/>
      <c r="HS333" s="93"/>
      <c r="HX333" s="85"/>
      <c r="ID333" s="168"/>
    </row>
    <row r="334" spans="218:238">
      <c r="HJ334" s="168"/>
      <c r="HM334" s="157"/>
      <c r="HS334" s="93"/>
      <c r="HX334" s="85"/>
      <c r="ID334" s="168"/>
    </row>
    <row r="335" spans="218:238">
      <c r="HJ335" s="168"/>
      <c r="HM335" s="157"/>
      <c r="HS335" s="93"/>
      <c r="HX335" s="85"/>
      <c r="ID335" s="168"/>
    </row>
    <row r="336" spans="218:238">
      <c r="HJ336" s="168"/>
      <c r="HM336" s="157"/>
      <c r="HS336" s="93"/>
      <c r="HX336" s="85"/>
      <c r="ID336" s="168"/>
    </row>
    <row r="337" spans="218:238">
      <c r="HJ337" s="168"/>
      <c r="HM337" s="157"/>
      <c r="HS337" s="93"/>
      <c r="HX337" s="85"/>
      <c r="ID337" s="168"/>
    </row>
    <row r="338" spans="218:238">
      <c r="HJ338" s="168"/>
      <c r="HM338" s="157"/>
      <c r="HS338" s="93"/>
      <c r="HX338" s="85"/>
      <c r="ID338" s="168"/>
    </row>
    <row r="339" spans="218:238">
      <c r="HJ339" s="168"/>
      <c r="HM339" s="157"/>
      <c r="HS339" s="93"/>
      <c r="HX339" s="85"/>
      <c r="ID339" s="168"/>
    </row>
    <row r="340" spans="218:238">
      <c r="HJ340" s="168"/>
      <c r="HM340" s="157"/>
      <c r="HS340" s="93"/>
      <c r="HX340" s="85"/>
      <c r="ID340" s="168"/>
    </row>
    <row r="341" spans="218:238">
      <c r="HJ341" s="168"/>
      <c r="HM341" s="157"/>
      <c r="HS341" s="93"/>
      <c r="HX341" s="85"/>
      <c r="ID341" s="168"/>
    </row>
    <row r="342" spans="218:238">
      <c r="HJ342" s="168"/>
      <c r="HM342" s="157"/>
      <c r="HS342" s="93"/>
      <c r="HX342" s="85"/>
      <c r="ID342" s="168"/>
    </row>
    <row r="343" spans="218:238">
      <c r="HJ343" s="168"/>
      <c r="HM343" s="157"/>
      <c r="HS343" s="93"/>
      <c r="HX343" s="85"/>
      <c r="ID343" s="168"/>
    </row>
    <row r="344" spans="218:238">
      <c r="HJ344" s="168"/>
      <c r="HM344" s="157"/>
      <c r="HS344" s="93"/>
      <c r="HX344" s="85"/>
      <c r="ID344" s="168"/>
    </row>
    <row r="345" spans="218:238">
      <c r="HJ345" s="168"/>
      <c r="HM345" s="157"/>
      <c r="HS345" s="93"/>
      <c r="HX345" s="85"/>
      <c r="ID345" s="168"/>
    </row>
    <row r="346" spans="218:238">
      <c r="HJ346" s="168"/>
      <c r="HM346" s="157"/>
      <c r="HS346" s="93"/>
      <c r="HX346" s="85"/>
      <c r="ID346" s="168"/>
    </row>
    <row r="347" spans="218:238">
      <c r="HJ347" s="168"/>
      <c r="HM347" s="157"/>
      <c r="HS347" s="93"/>
      <c r="HX347" s="85"/>
      <c r="ID347" s="168"/>
    </row>
    <row r="348" spans="218:238">
      <c r="HJ348" s="168"/>
      <c r="HM348" s="157"/>
      <c r="HS348" s="93"/>
      <c r="HX348" s="85"/>
      <c r="ID348" s="168"/>
    </row>
    <row r="349" spans="218:238">
      <c r="HJ349" s="168"/>
      <c r="HM349" s="157"/>
      <c r="HS349" s="93"/>
      <c r="HX349" s="85"/>
      <c r="ID349" s="168"/>
    </row>
    <row r="350" spans="218:238">
      <c r="HJ350" s="168"/>
      <c r="HM350" s="157"/>
      <c r="HS350" s="93"/>
      <c r="HX350" s="85"/>
      <c r="ID350" s="168"/>
    </row>
    <row r="351" spans="218:238">
      <c r="HJ351" s="168"/>
      <c r="HM351" s="157"/>
      <c r="HS351" s="93"/>
      <c r="HX351" s="85"/>
      <c r="ID351" s="168"/>
    </row>
    <row r="352" spans="218:238">
      <c r="HJ352" s="168"/>
      <c r="HM352" s="157"/>
      <c r="HS352" s="93"/>
      <c r="HX352" s="85"/>
      <c r="ID352" s="168"/>
    </row>
    <row r="353" spans="218:238">
      <c r="HJ353" s="168"/>
      <c r="HM353" s="157"/>
      <c r="HS353" s="93"/>
      <c r="HX353" s="85"/>
      <c r="ID353" s="168"/>
    </row>
    <row r="354" spans="218:238">
      <c r="HJ354" s="168"/>
      <c r="HM354" s="157"/>
      <c r="HS354" s="93"/>
      <c r="HX354" s="85"/>
      <c r="ID354" s="168"/>
    </row>
    <row r="355" spans="218:238">
      <c r="HJ355" s="168"/>
      <c r="HM355" s="157"/>
      <c r="HS355" s="93"/>
      <c r="HX355" s="85"/>
      <c r="ID355" s="168"/>
    </row>
    <row r="356" spans="218:238">
      <c r="HJ356" s="168"/>
      <c r="HM356" s="157"/>
      <c r="HS356" s="93"/>
      <c r="HX356" s="85"/>
      <c r="ID356" s="168"/>
    </row>
    <row r="357" spans="218:238">
      <c r="HJ357" s="168"/>
      <c r="HM357" s="157"/>
      <c r="HS357" s="93"/>
      <c r="HX357" s="85"/>
      <c r="ID357" s="168"/>
    </row>
    <row r="358" spans="218:238">
      <c r="HJ358" s="168"/>
      <c r="HM358" s="157"/>
      <c r="HS358" s="93"/>
      <c r="HX358" s="85"/>
      <c r="ID358" s="168"/>
    </row>
    <row r="359" spans="218:238">
      <c r="HJ359" s="168"/>
      <c r="HM359" s="157"/>
      <c r="HS359" s="93"/>
      <c r="HX359" s="85"/>
      <c r="ID359" s="168"/>
    </row>
    <row r="360" spans="218:238">
      <c r="HJ360" s="168"/>
      <c r="HM360" s="157"/>
      <c r="HS360" s="93"/>
      <c r="HX360" s="85"/>
      <c r="ID360" s="168"/>
    </row>
    <row r="361" spans="218:238">
      <c r="HJ361" s="168"/>
      <c r="HM361" s="157"/>
      <c r="HS361" s="93"/>
      <c r="HX361" s="85"/>
      <c r="ID361" s="168"/>
    </row>
    <row r="362" spans="218:238">
      <c r="HJ362" s="168"/>
      <c r="HM362" s="157"/>
      <c r="HS362" s="93"/>
      <c r="HX362" s="85"/>
      <c r="ID362" s="168"/>
    </row>
    <row r="363" spans="218:238">
      <c r="HJ363" s="168"/>
      <c r="HM363" s="157"/>
      <c r="HS363" s="93"/>
      <c r="HX363" s="85"/>
      <c r="ID363" s="168"/>
    </row>
    <row r="364" spans="218:238">
      <c r="HJ364" s="168"/>
      <c r="HM364" s="157"/>
      <c r="HS364" s="93"/>
      <c r="HX364" s="85"/>
      <c r="ID364" s="168"/>
    </row>
    <row r="365" spans="218:238">
      <c r="HJ365" s="168"/>
      <c r="HM365" s="157"/>
      <c r="HS365" s="93"/>
      <c r="HX365" s="85"/>
      <c r="ID365" s="168"/>
    </row>
    <row r="366" spans="218:238">
      <c r="HJ366" s="168"/>
      <c r="HM366" s="157"/>
      <c r="HS366" s="93"/>
      <c r="HX366" s="85"/>
      <c r="ID366" s="168"/>
    </row>
    <row r="367" spans="218:238">
      <c r="HJ367" s="168"/>
      <c r="HM367" s="157"/>
      <c r="HS367" s="93"/>
      <c r="HX367" s="85"/>
      <c r="ID367" s="168"/>
    </row>
    <row r="368" spans="218:238">
      <c r="HJ368" s="168"/>
      <c r="HM368" s="157"/>
      <c r="HS368" s="93"/>
      <c r="HX368" s="85"/>
      <c r="ID368" s="168"/>
    </row>
    <row r="369" spans="218:238">
      <c r="HJ369" s="168"/>
      <c r="HM369" s="157"/>
      <c r="HS369" s="93"/>
      <c r="HX369" s="85"/>
      <c r="ID369" s="168"/>
    </row>
    <row r="370" spans="218:238">
      <c r="HJ370" s="168"/>
      <c r="HM370" s="157"/>
      <c r="HS370" s="93"/>
      <c r="HX370" s="85"/>
      <c r="ID370" s="168"/>
    </row>
    <row r="371" spans="218:238">
      <c r="HJ371" s="168"/>
      <c r="HM371" s="157"/>
      <c r="HS371" s="93"/>
      <c r="HX371" s="85"/>
      <c r="ID371" s="168"/>
    </row>
    <row r="372" spans="218:238">
      <c r="HJ372" s="168"/>
      <c r="HM372" s="157"/>
      <c r="HS372" s="93"/>
      <c r="HX372" s="85"/>
      <c r="ID372" s="168"/>
    </row>
    <row r="373" spans="218:238">
      <c r="HJ373" s="168"/>
      <c r="HM373" s="157"/>
      <c r="HS373" s="93"/>
      <c r="HX373" s="85"/>
      <c r="ID373" s="168"/>
    </row>
    <row r="374" spans="218:238">
      <c r="HJ374" s="168"/>
      <c r="HM374" s="157"/>
      <c r="HS374" s="93"/>
      <c r="HX374" s="85"/>
      <c r="ID374" s="168"/>
    </row>
    <row r="375" spans="218:238">
      <c r="HJ375" s="168"/>
      <c r="HM375" s="157"/>
      <c r="HS375" s="93"/>
      <c r="HX375" s="85"/>
      <c r="ID375" s="168"/>
    </row>
    <row r="376" spans="218:238">
      <c r="HJ376" s="168"/>
      <c r="HM376" s="157"/>
      <c r="HS376" s="93"/>
      <c r="HX376" s="85"/>
      <c r="ID376" s="168"/>
    </row>
    <row r="377" spans="218:238">
      <c r="HJ377" s="168"/>
      <c r="HM377" s="157"/>
      <c r="HS377" s="93"/>
      <c r="HX377" s="85"/>
      <c r="ID377" s="168"/>
    </row>
    <row r="378" spans="218:238">
      <c r="HJ378" s="168"/>
      <c r="HM378" s="157"/>
      <c r="HS378" s="93"/>
      <c r="HX378" s="85"/>
      <c r="ID378" s="168"/>
    </row>
    <row r="379" spans="218:238">
      <c r="HJ379" s="168"/>
      <c r="HM379" s="157"/>
      <c r="HS379" s="93"/>
      <c r="HX379" s="85"/>
      <c r="ID379" s="168"/>
    </row>
    <row r="380" spans="218:238">
      <c r="HJ380" s="168"/>
      <c r="HM380" s="157"/>
      <c r="HS380" s="93"/>
      <c r="HX380" s="85"/>
      <c r="ID380" s="168"/>
    </row>
    <row r="381" spans="218:238">
      <c r="HJ381" s="168"/>
      <c r="HM381" s="157"/>
      <c r="HS381" s="93"/>
      <c r="HX381" s="85"/>
      <c r="ID381" s="168"/>
    </row>
    <row r="382" spans="218:238">
      <c r="HJ382" s="168"/>
      <c r="HM382" s="157"/>
      <c r="HS382" s="93"/>
      <c r="HX382" s="85"/>
      <c r="ID382" s="168"/>
    </row>
    <row r="383" spans="218:238">
      <c r="HJ383" s="168"/>
      <c r="HM383" s="157"/>
      <c r="HS383" s="93"/>
      <c r="HX383" s="85"/>
      <c r="ID383" s="168"/>
    </row>
    <row r="384" spans="218:238">
      <c r="HJ384" s="168"/>
      <c r="HM384" s="157"/>
      <c r="HS384" s="93"/>
      <c r="HX384" s="85"/>
      <c r="ID384" s="168"/>
    </row>
    <row r="385" spans="218:238">
      <c r="HJ385" s="168"/>
      <c r="HM385" s="157"/>
      <c r="HS385" s="93"/>
      <c r="HX385" s="85"/>
      <c r="ID385" s="168"/>
    </row>
    <row r="386" spans="218:238">
      <c r="HJ386" s="168"/>
      <c r="HM386" s="157"/>
      <c r="HS386" s="93"/>
      <c r="HX386" s="85"/>
      <c r="ID386" s="168"/>
    </row>
    <row r="387" spans="218:238">
      <c r="HJ387" s="168"/>
      <c r="HM387" s="157"/>
      <c r="HS387" s="93"/>
      <c r="HX387" s="85"/>
      <c r="ID387" s="168"/>
    </row>
    <row r="388" spans="218:238">
      <c r="HJ388" s="168"/>
      <c r="HM388" s="157"/>
      <c r="HS388" s="93"/>
      <c r="HX388" s="85"/>
      <c r="ID388" s="168"/>
    </row>
    <row r="389" spans="218:238">
      <c r="HJ389" s="168"/>
      <c r="HM389" s="157"/>
      <c r="HS389" s="93"/>
      <c r="HX389" s="85"/>
      <c r="ID389" s="168"/>
    </row>
    <row r="390" spans="218:238">
      <c r="HJ390" s="168"/>
      <c r="HM390" s="157"/>
      <c r="HS390" s="93"/>
      <c r="HX390" s="85"/>
      <c r="ID390" s="168"/>
    </row>
    <row r="391" spans="218:238">
      <c r="HJ391" s="168"/>
      <c r="HM391" s="157"/>
      <c r="HS391" s="93"/>
      <c r="HX391" s="85"/>
      <c r="ID391" s="168"/>
    </row>
    <row r="392" spans="218:238">
      <c r="HJ392" s="168"/>
      <c r="HM392" s="157"/>
      <c r="HS392" s="93"/>
      <c r="HX392" s="85"/>
      <c r="ID392" s="168"/>
    </row>
    <row r="393" spans="218:238">
      <c r="HJ393" s="168"/>
      <c r="HM393" s="157"/>
      <c r="HS393" s="93"/>
      <c r="HX393" s="85"/>
      <c r="ID393" s="168"/>
    </row>
    <row r="394" spans="218:238">
      <c r="HJ394" s="168"/>
      <c r="HM394" s="157"/>
      <c r="HS394" s="93"/>
      <c r="HX394" s="85"/>
      <c r="ID394" s="168"/>
    </row>
    <row r="395" spans="218:238">
      <c r="HJ395" s="168"/>
      <c r="HM395" s="157"/>
      <c r="HS395" s="93"/>
      <c r="HX395" s="85"/>
      <c r="ID395" s="168"/>
    </row>
    <row r="396" spans="218:238">
      <c r="HJ396" s="168"/>
      <c r="HM396" s="157"/>
      <c r="HS396" s="93"/>
      <c r="HX396" s="85"/>
      <c r="ID396" s="168"/>
    </row>
    <row r="397" spans="218:238">
      <c r="HJ397" s="168"/>
      <c r="HM397" s="157"/>
      <c r="HS397" s="93"/>
      <c r="HX397" s="85"/>
      <c r="ID397" s="168"/>
    </row>
    <row r="398" spans="218:238">
      <c r="HJ398" s="168"/>
      <c r="HM398" s="157"/>
      <c r="HS398" s="93"/>
      <c r="HX398" s="85"/>
      <c r="ID398" s="168"/>
    </row>
    <row r="399" spans="218:238">
      <c r="HJ399" s="168"/>
      <c r="HM399" s="157"/>
      <c r="HS399" s="93"/>
      <c r="HX399" s="85"/>
      <c r="ID399" s="168"/>
    </row>
    <row r="400" spans="218:238">
      <c r="HJ400" s="168"/>
      <c r="HM400" s="157"/>
      <c r="HS400" s="93"/>
      <c r="HX400" s="85"/>
      <c r="ID400" s="168"/>
    </row>
    <row r="401" spans="218:238">
      <c r="HJ401" s="168"/>
      <c r="HM401" s="157"/>
      <c r="HS401" s="93"/>
      <c r="HX401" s="85"/>
      <c r="ID401" s="168"/>
    </row>
    <row r="402" spans="218:238">
      <c r="HJ402" s="168"/>
      <c r="HM402" s="157"/>
      <c r="HS402" s="93"/>
      <c r="HX402" s="85"/>
      <c r="ID402" s="168"/>
    </row>
    <row r="403" spans="218:238">
      <c r="HJ403" s="168"/>
      <c r="HM403" s="157"/>
      <c r="HS403" s="93"/>
      <c r="HX403" s="85"/>
      <c r="ID403" s="168"/>
    </row>
    <row r="404" spans="218:238">
      <c r="HJ404" s="168"/>
      <c r="HM404" s="157"/>
      <c r="HS404" s="93"/>
      <c r="HX404" s="85"/>
      <c r="ID404" s="168"/>
    </row>
    <row r="405" spans="218:238">
      <c r="HJ405" s="168"/>
      <c r="HM405" s="157"/>
      <c r="HS405" s="93"/>
      <c r="HX405" s="85"/>
      <c r="ID405" s="168"/>
    </row>
    <row r="406" spans="218:238">
      <c r="HJ406" s="168"/>
      <c r="HM406" s="157"/>
      <c r="HS406" s="93"/>
      <c r="HX406" s="85"/>
      <c r="ID406" s="168"/>
    </row>
    <row r="407" spans="218:238">
      <c r="HJ407" s="168"/>
      <c r="HM407" s="157"/>
      <c r="HS407" s="93"/>
      <c r="HX407" s="85"/>
      <c r="ID407" s="168"/>
    </row>
    <row r="408" spans="218:238">
      <c r="HJ408" s="168"/>
      <c r="HM408" s="157"/>
      <c r="HS408" s="93"/>
      <c r="HX408" s="85"/>
      <c r="ID408" s="168"/>
    </row>
    <row r="409" spans="218:238">
      <c r="HJ409" s="168"/>
      <c r="HM409" s="157"/>
      <c r="HS409" s="93"/>
      <c r="HX409" s="85"/>
      <c r="ID409" s="168"/>
    </row>
    <row r="410" spans="218:238">
      <c r="HJ410" s="168"/>
      <c r="HM410" s="157"/>
      <c r="HS410" s="93"/>
      <c r="HX410" s="85"/>
      <c r="ID410" s="168"/>
    </row>
    <row r="411" spans="218:238">
      <c r="HJ411" s="168"/>
      <c r="HM411" s="157"/>
      <c r="HS411" s="93"/>
      <c r="HX411" s="85"/>
      <c r="ID411" s="168"/>
    </row>
    <row r="412" spans="218:238">
      <c r="HJ412" s="168"/>
      <c r="HM412" s="157"/>
      <c r="HS412" s="93"/>
      <c r="HX412" s="85"/>
      <c r="ID412" s="168"/>
    </row>
    <row r="413" spans="218:238">
      <c r="HJ413" s="168"/>
      <c r="HM413" s="157"/>
      <c r="HS413" s="93"/>
      <c r="HX413" s="85"/>
      <c r="ID413" s="168"/>
    </row>
    <row r="414" spans="218:238">
      <c r="HJ414" s="168"/>
      <c r="HM414" s="157"/>
      <c r="HS414" s="93"/>
      <c r="HX414" s="85"/>
      <c r="ID414" s="168"/>
    </row>
    <row r="415" spans="218:238">
      <c r="HJ415" s="168"/>
      <c r="HM415" s="157"/>
      <c r="HS415" s="93"/>
      <c r="HX415" s="85"/>
      <c r="ID415" s="168"/>
    </row>
    <row r="416" spans="218:238">
      <c r="HJ416" s="168"/>
      <c r="HM416" s="157"/>
      <c r="HS416" s="93"/>
      <c r="HX416" s="85"/>
      <c r="ID416" s="168"/>
    </row>
    <row r="417" spans="218:238">
      <c r="HJ417" s="168"/>
      <c r="HM417" s="157"/>
      <c r="HS417" s="93"/>
      <c r="HX417" s="85"/>
      <c r="ID417" s="168"/>
    </row>
    <row r="418" spans="218:238">
      <c r="HJ418" s="168"/>
      <c r="HM418" s="157"/>
      <c r="HS418" s="93"/>
      <c r="HX418" s="85"/>
      <c r="ID418" s="168"/>
    </row>
    <row r="419" spans="218:238">
      <c r="HJ419" s="168"/>
      <c r="HM419" s="157"/>
      <c r="HS419" s="93"/>
      <c r="HX419" s="85"/>
      <c r="ID419" s="168"/>
    </row>
    <row r="420" spans="218:238">
      <c r="HJ420" s="168"/>
      <c r="HM420" s="157"/>
      <c r="HS420" s="93"/>
      <c r="HX420" s="85"/>
      <c r="ID420" s="168"/>
    </row>
    <row r="421" spans="218:238">
      <c r="HJ421" s="168"/>
      <c r="HM421" s="157"/>
      <c r="HS421" s="93"/>
      <c r="HX421" s="85"/>
      <c r="ID421" s="168"/>
    </row>
    <row r="422" spans="218:238">
      <c r="HJ422" s="168"/>
      <c r="HM422" s="157"/>
      <c r="HS422" s="93"/>
      <c r="HX422" s="85"/>
      <c r="ID422" s="168"/>
    </row>
    <row r="423" spans="218:238">
      <c r="HJ423" s="168"/>
      <c r="HM423" s="157"/>
      <c r="HS423" s="93"/>
      <c r="HX423" s="85"/>
      <c r="ID423" s="168"/>
    </row>
    <row r="424" spans="218:238">
      <c r="HJ424" s="168"/>
      <c r="HM424" s="157"/>
      <c r="HS424" s="93"/>
      <c r="HX424" s="85"/>
      <c r="ID424" s="168"/>
    </row>
    <row r="425" spans="218:238">
      <c r="HJ425" s="168"/>
      <c r="HM425" s="157"/>
      <c r="HS425" s="93"/>
      <c r="HX425" s="85"/>
      <c r="ID425" s="168"/>
    </row>
  </sheetData>
  <mergeCells count="240">
    <mergeCell ref="AM3:AM4"/>
    <mergeCell ref="AN3:AN4"/>
    <mergeCell ref="AO3:AO4"/>
    <mergeCell ref="AP3:AP4"/>
    <mergeCell ref="AM19:AM20"/>
    <mergeCell ref="AN19:AN20"/>
    <mergeCell ref="AO19:AO20"/>
    <mergeCell ref="AP19:AP20"/>
    <mergeCell ref="AY3:AY4"/>
    <mergeCell ref="AZ3:AZ4"/>
    <mergeCell ref="AS3:AS4"/>
    <mergeCell ref="AT3:AT4"/>
    <mergeCell ref="AU3:AU4"/>
    <mergeCell ref="AV3:AV4"/>
    <mergeCell ref="AS19:AS20"/>
    <mergeCell ref="AT19:AT20"/>
    <mergeCell ref="AU19:AU20"/>
    <mergeCell ref="AV19:AV20"/>
    <mergeCell ref="BA3:BA4"/>
    <mergeCell ref="AY2:BA2"/>
    <mergeCell ref="AS251:AS252"/>
    <mergeCell ref="AT251:AT252"/>
    <mergeCell ref="AU251:AU252"/>
    <mergeCell ref="AV251:AV252"/>
    <mergeCell ref="AU239:AU240"/>
    <mergeCell ref="AV239:AV240"/>
    <mergeCell ref="AS199:AS200"/>
    <mergeCell ref="AT199:AT200"/>
    <mergeCell ref="AS179:AS180"/>
    <mergeCell ref="AT179:AT180"/>
    <mergeCell ref="AU179:AU180"/>
    <mergeCell ref="AV179:AV180"/>
    <mergeCell ref="AU199:AU200"/>
    <mergeCell ref="AV199:AV200"/>
    <mergeCell ref="AS215:AS216"/>
    <mergeCell ref="AT215:AT216"/>
    <mergeCell ref="AU215:AU216"/>
    <mergeCell ref="AV215:AV216"/>
    <mergeCell ref="AS123:AS124"/>
    <mergeCell ref="AT123:AT124"/>
    <mergeCell ref="AU123:AU124"/>
    <mergeCell ref="AV123:AV124"/>
    <mergeCell ref="AS266:AS267"/>
    <mergeCell ref="AT266:AT267"/>
    <mergeCell ref="AU266:AU267"/>
    <mergeCell ref="AV266:AV267"/>
    <mergeCell ref="AS227:AS228"/>
    <mergeCell ref="AT227:AT228"/>
    <mergeCell ref="AU227:AU228"/>
    <mergeCell ref="AV227:AV228"/>
    <mergeCell ref="AS239:AS240"/>
    <mergeCell ref="AT239:AT240"/>
    <mergeCell ref="AU143:AU144"/>
    <mergeCell ref="AV143:AV144"/>
    <mergeCell ref="AS155:AS156"/>
    <mergeCell ref="AT155:AT156"/>
    <mergeCell ref="AU155:AU156"/>
    <mergeCell ref="AV155:AV156"/>
    <mergeCell ref="AU75:AU76"/>
    <mergeCell ref="AV75:AV76"/>
    <mergeCell ref="AS91:AS92"/>
    <mergeCell ref="AT91:AT92"/>
    <mergeCell ref="AU91:AU92"/>
    <mergeCell ref="AV91:AV92"/>
    <mergeCell ref="AS107:AS108"/>
    <mergeCell ref="AT107:AT108"/>
    <mergeCell ref="AU107:AU108"/>
    <mergeCell ref="AV107:AV108"/>
    <mergeCell ref="AS75:AS76"/>
    <mergeCell ref="AT75:AT76"/>
    <mergeCell ref="AS143:AS144"/>
    <mergeCell ref="AT143:AT144"/>
    <mergeCell ref="AM155:AM156"/>
    <mergeCell ref="AN155:AN156"/>
    <mergeCell ref="AO155:AO156"/>
    <mergeCell ref="AP155:AP156"/>
    <mergeCell ref="AM179:AM180"/>
    <mergeCell ref="AN179:AN180"/>
    <mergeCell ref="AO179:AO180"/>
    <mergeCell ref="AP179:AP180"/>
    <mergeCell ref="AM123:AM124"/>
    <mergeCell ref="AN123:AN124"/>
    <mergeCell ref="AO123:AO124"/>
    <mergeCell ref="AP123:AP124"/>
    <mergeCell ref="AM143:AM144"/>
    <mergeCell ref="AN143:AN144"/>
    <mergeCell ref="AO143:AO144"/>
    <mergeCell ref="AP143:AP144"/>
    <mergeCell ref="AV31:AV32"/>
    <mergeCell ref="AS47:AS48"/>
    <mergeCell ref="AT47:AT48"/>
    <mergeCell ref="AU47:AU48"/>
    <mergeCell ref="AV47:AV48"/>
    <mergeCell ref="AS63:AS64"/>
    <mergeCell ref="AT63:AT64"/>
    <mergeCell ref="AU63:AU64"/>
    <mergeCell ref="AV63:AV64"/>
    <mergeCell ref="AS31:AS32"/>
    <mergeCell ref="AT31:AT32"/>
    <mergeCell ref="AU31:AU32"/>
    <mergeCell ref="AM266:AM267"/>
    <mergeCell ref="AN266:AN267"/>
    <mergeCell ref="AO266:AO267"/>
    <mergeCell ref="AP266:AP267"/>
    <mergeCell ref="AM227:AM228"/>
    <mergeCell ref="AN227:AN228"/>
    <mergeCell ref="AO199:AO200"/>
    <mergeCell ref="AP199:AP200"/>
    <mergeCell ref="AM215:AM216"/>
    <mergeCell ref="AN215:AN216"/>
    <mergeCell ref="AO215:AO216"/>
    <mergeCell ref="AP215:AP216"/>
    <mergeCell ref="AO227:AO228"/>
    <mergeCell ref="AP227:AP228"/>
    <mergeCell ref="AM239:AM240"/>
    <mergeCell ref="AN239:AN240"/>
    <mergeCell ref="AO239:AO240"/>
    <mergeCell ref="AP239:AP240"/>
    <mergeCell ref="AM251:AM252"/>
    <mergeCell ref="AN251:AN252"/>
    <mergeCell ref="AO251:AO252"/>
    <mergeCell ref="AP251:AP252"/>
    <mergeCell ref="AM199:AM200"/>
    <mergeCell ref="AN199:AN200"/>
    <mergeCell ref="AM91:AM92"/>
    <mergeCell ref="AN91:AN92"/>
    <mergeCell ref="AO91:AO92"/>
    <mergeCell ref="AP91:AP92"/>
    <mergeCell ref="AM107:AM108"/>
    <mergeCell ref="AN107:AN108"/>
    <mergeCell ref="AO107:AO108"/>
    <mergeCell ref="AP107:AP108"/>
    <mergeCell ref="AM47:AM48"/>
    <mergeCell ref="AN47:AN48"/>
    <mergeCell ref="AO47:AO48"/>
    <mergeCell ref="AP47:AP48"/>
    <mergeCell ref="AM63:AM64"/>
    <mergeCell ref="AN63:AN64"/>
    <mergeCell ref="AO63:AO64"/>
    <mergeCell ref="AP63:AP64"/>
    <mergeCell ref="AM75:AM76"/>
    <mergeCell ref="AN75:AN76"/>
    <mergeCell ref="AO75:AO76"/>
    <mergeCell ref="AP75:AP76"/>
    <mergeCell ref="AM31:AM32"/>
    <mergeCell ref="AN31:AN32"/>
    <mergeCell ref="AO31:AO32"/>
    <mergeCell ref="AP31:AP32"/>
    <mergeCell ref="F6:H6"/>
    <mergeCell ref="F7:H7"/>
    <mergeCell ref="F8:H8"/>
    <mergeCell ref="F9:H9"/>
    <mergeCell ref="F10:H10"/>
    <mergeCell ref="F11:H11"/>
    <mergeCell ref="F21:H21"/>
    <mergeCell ref="F22:H22"/>
    <mergeCell ref="F23:H23"/>
    <mergeCell ref="F30:H30"/>
    <mergeCell ref="F31:H31"/>
    <mergeCell ref="F32:H32"/>
    <mergeCell ref="AA21:AB21"/>
    <mergeCell ref="AA22:AB22"/>
    <mergeCell ref="AA23:AB23"/>
    <mergeCell ref="AA24:AB24"/>
    <mergeCell ref="F1:H1"/>
    <mergeCell ref="O1:P1"/>
    <mergeCell ref="F2:H2"/>
    <mergeCell ref="F3:H3"/>
    <mergeCell ref="F4:H4"/>
    <mergeCell ref="F5:H5"/>
    <mergeCell ref="F18:H18"/>
    <mergeCell ref="F19:H19"/>
    <mergeCell ref="F20:H20"/>
    <mergeCell ref="F12:H12"/>
    <mergeCell ref="F13:H13"/>
    <mergeCell ref="F14:H14"/>
    <mergeCell ref="F15:H15"/>
    <mergeCell ref="F16:H16"/>
    <mergeCell ref="F17:H17"/>
    <mergeCell ref="F33:H33"/>
    <mergeCell ref="F34:H34"/>
    <mergeCell ref="F35:H35"/>
    <mergeCell ref="F24:H24"/>
    <mergeCell ref="F25:H25"/>
    <mergeCell ref="F26:H26"/>
    <mergeCell ref="F27:H27"/>
    <mergeCell ref="F28:H28"/>
    <mergeCell ref="F29:H29"/>
    <mergeCell ref="F48:H48"/>
    <mergeCell ref="F49:H49"/>
    <mergeCell ref="F42:H42"/>
    <mergeCell ref="F43:H43"/>
    <mergeCell ref="F44:H44"/>
    <mergeCell ref="F45:H45"/>
    <mergeCell ref="F46:H46"/>
    <mergeCell ref="F47:H47"/>
    <mergeCell ref="F36:H36"/>
    <mergeCell ref="F37:H37"/>
    <mergeCell ref="F38:H38"/>
    <mergeCell ref="F39:H39"/>
    <mergeCell ref="F40:H40"/>
    <mergeCell ref="F41:H41"/>
    <mergeCell ref="DI9:DM9"/>
    <mergeCell ref="DT9:DX9"/>
    <mergeCell ref="DA1:DE1"/>
    <mergeCell ref="BD1:BK1"/>
    <mergeCell ref="BN1:BZ1"/>
    <mergeCell ref="CC1:CI1"/>
    <mergeCell ref="CL1:CP1"/>
    <mergeCell ref="CS1:CX1"/>
    <mergeCell ref="DF2:DF3"/>
    <mergeCell ref="BL2:BL3"/>
    <mergeCell ref="CA2:CA3"/>
    <mergeCell ref="CJ2:CJ3"/>
    <mergeCell ref="CQ2:CQ3"/>
    <mergeCell ref="CY2:CY3"/>
    <mergeCell ref="JH1:JW1"/>
    <mergeCell ref="JH2:JW2"/>
    <mergeCell ref="JH9:JW9"/>
    <mergeCell ref="KH1:KW1"/>
    <mergeCell ref="KH2:KW2"/>
    <mergeCell ref="KH9:KW9"/>
    <mergeCell ref="DN33:DQ39"/>
    <mergeCell ref="DI40:DM40"/>
    <mergeCell ref="DN41:DQ49"/>
    <mergeCell ref="ER1:ES1"/>
    <mergeCell ref="FE1:FF1"/>
    <mergeCell ref="GM1:HB1"/>
    <mergeCell ref="GM2:HB2"/>
    <mergeCell ref="GM9:HB9"/>
    <mergeCell ref="DN10:DQ15"/>
    <mergeCell ref="DI16:DM16"/>
    <mergeCell ref="DN17:DQ23"/>
    <mergeCell ref="DI24:DM24"/>
    <mergeCell ref="DN25:DQ31"/>
    <mergeCell ref="DI32:DM32"/>
    <mergeCell ref="DN1:DQ1"/>
    <mergeCell ref="DI2:DM2"/>
    <mergeCell ref="DT2:DX2"/>
    <mergeCell ref="DN3:DQ8"/>
  </mergeCells>
  <hyperlinks>
    <hyperlink ref="T24" r:id="rId1" xr:uid="{0C19DF7C-2790-4D8A-9E4D-1AA228E0E5CD}"/>
    <hyperlink ref="T22" r:id="rId2" xr:uid="{588F2C86-4471-489A-B873-82B0B526149E}"/>
    <hyperlink ref="T21" r:id="rId3" xr:uid="{0BC1EBC1-7715-473E-A1B0-9241B49207A1}"/>
    <hyperlink ref="T20" r:id="rId4" xr:uid="{EEEB62FF-D9DC-457D-8000-1B308B302112}"/>
    <hyperlink ref="T16" r:id="rId5" xr:uid="{B5A4C56C-FA0C-4AE9-B453-5548FF85BBCB}"/>
    <hyperlink ref="T19" r:id="rId6" xr:uid="{B69F2382-DE15-4BDA-81E0-23174EC67EE1}"/>
    <hyperlink ref="T18" r:id="rId7" xr:uid="{E90B1E8F-D00B-433E-A933-341BA750F72E}"/>
    <hyperlink ref="T17" r:id="rId8" xr:uid="{C9245F16-2C90-4540-83FD-A5353182BEF1}"/>
    <hyperlink ref="T15" r:id="rId9" xr:uid="{14AE2591-586B-4FD9-B97C-568B6EBE9F2F}"/>
    <hyperlink ref="T14" r:id="rId10" xr:uid="{990B387F-375B-48CA-99CE-507BB7CB8618}"/>
    <hyperlink ref="T13" r:id="rId11" xr:uid="{54C80646-1C27-4EB8-954A-03F9AE6E828E}"/>
    <hyperlink ref="T12" r:id="rId12" xr:uid="{201E8640-1E82-49A4-95BD-7526B79375E6}"/>
    <hyperlink ref="T11" r:id="rId13" xr:uid="{39F4D5DD-2CAE-450B-8CA0-F8161286214E}"/>
    <hyperlink ref="T10" r:id="rId14" xr:uid="{C8BBD20B-8C28-4120-9CD9-CA061426B34E}"/>
    <hyperlink ref="T9" r:id="rId15" xr:uid="{632F6314-96D7-46C8-B492-A90C4A2C280E}"/>
    <hyperlink ref="T8" r:id="rId16" xr:uid="{E372C09A-2955-4FA7-883D-2C178CF64EBA}"/>
    <hyperlink ref="T7" r:id="rId17" xr:uid="{21B8EFCA-F74E-4BD4-8205-BDBC8F8841F7}"/>
    <hyperlink ref="T4" r:id="rId18" xr:uid="{B1F4C0ED-2AB8-48AD-9E2D-BAEF1FC1DAA7}"/>
    <hyperlink ref="T3" r:id="rId19" xr:uid="{1073E492-90D4-4925-9E04-9FD061DB23E5}"/>
    <hyperlink ref="T2" r:id="rId20" xr:uid="{D9C4DA9B-869A-4F71-9DB5-BEA5C9347B66}"/>
    <hyperlink ref="T5" r:id="rId21" xr:uid="{71348CBD-3765-481D-806F-2E72F9E27797}"/>
    <hyperlink ref="T6" r:id="rId22" xr:uid="{D9E58D52-01CC-416D-B7A2-FAB23CB29155}"/>
    <hyperlink ref="E2" r:id="rId23" xr:uid="{8E70A9A4-1311-439F-8192-65418851525A}"/>
    <hyperlink ref="E3" r:id="rId24" xr:uid="{F9299AB6-CD7B-45F3-A113-FF6CDEED1731}"/>
    <hyperlink ref="E4" r:id="rId25" xr:uid="{E614AC09-0303-47FA-B7AC-F2DB50CC73EC}"/>
    <hyperlink ref="E5" r:id="rId26" xr:uid="{AB3CAD5F-0BAB-40ED-A63D-7970FA811641}"/>
    <hyperlink ref="E6" r:id="rId27" xr:uid="{DD6CC68F-1B63-4B1F-8E41-8639E16F2671}"/>
    <hyperlink ref="E7" r:id="rId28" xr:uid="{C421D771-DC0F-4791-A9BB-52FC9137FCFE}"/>
    <hyperlink ref="E8" r:id="rId29" xr:uid="{7BAD9054-F16F-4E9E-8A55-83C64449135C}"/>
    <hyperlink ref="E9" r:id="rId30" xr:uid="{2DA39E8F-040C-48AD-ADB6-4A5F88A09349}"/>
    <hyperlink ref="E10" r:id="rId31" xr:uid="{16832170-C76E-4560-BA76-E032F0B47CEC}"/>
    <hyperlink ref="E11" r:id="rId32" xr:uid="{EA777DBD-5CFF-4C33-BF9A-0ACD3FA2DCFA}"/>
    <hyperlink ref="E12" r:id="rId33" xr:uid="{1C29F1EF-E9F8-479F-9D3D-3FC25D09AC9E}"/>
    <hyperlink ref="E13" r:id="rId34" xr:uid="{E85979BF-19E4-4916-853C-B0419C84977E}"/>
    <hyperlink ref="E14" r:id="rId35" xr:uid="{69A09939-6355-4C52-8CAD-33E2A2928E2A}"/>
    <hyperlink ref="E16" r:id="rId36" xr:uid="{70995D75-2962-4808-8AB3-D044F3E3E20E}"/>
    <hyperlink ref="E17" r:id="rId37" xr:uid="{572EFC94-1A72-47A1-8541-082808CA2C67}"/>
    <hyperlink ref="E18" r:id="rId38" xr:uid="{59C053DE-8CC9-4098-A60A-7C670C8B00CE}"/>
    <hyperlink ref="E20" r:id="rId39" xr:uid="{DCFF28C2-F997-415A-AF6B-E7FAC59BAD12}"/>
    <hyperlink ref="E21" r:id="rId40" xr:uid="{4AD44BD9-59EA-4F94-833C-DBDE8767689F}"/>
    <hyperlink ref="E22" r:id="rId41" xr:uid="{B252E135-A76B-4C0C-A8EC-0672AFB7E0FA}"/>
    <hyperlink ref="E23" r:id="rId42" xr:uid="{00645FEB-02BE-443C-9E60-AFA7A0EC3276}"/>
    <hyperlink ref="E24" r:id="rId43" xr:uid="{0CA15376-27D0-4420-A4E1-A926ABF50978}"/>
    <hyperlink ref="E25" r:id="rId44" xr:uid="{3F39C35F-6980-4D18-8934-F17E2E4E493A}"/>
    <hyperlink ref="E27" r:id="rId45" xr:uid="{95ACDDBD-0204-4EE4-B8F5-57C166836EDE}"/>
    <hyperlink ref="E28" r:id="rId46" xr:uid="{C9686BFA-B906-49E9-BD74-D0E226953C98}"/>
    <hyperlink ref="E29" r:id="rId47" xr:uid="{B23B09F7-5DAD-413C-9FDA-37D239CFF169}"/>
    <hyperlink ref="E30" r:id="rId48" xr:uid="{E9CECECA-BAF6-43CA-BB54-600B6FC18D5F}"/>
    <hyperlink ref="E31" r:id="rId49" xr:uid="{37152B70-3226-4094-8C09-59832AE6E991}"/>
    <hyperlink ref="E32" r:id="rId50" xr:uid="{334DE96C-9F15-4088-B78F-2E279FEAC69D}"/>
    <hyperlink ref="E33" r:id="rId51" xr:uid="{D76A6C37-46E0-4EDC-8C05-947610560864}"/>
    <hyperlink ref="E34" r:id="rId52" xr:uid="{7D5A5654-AEBE-4FFA-9608-06BA07A91342}"/>
    <hyperlink ref="E35" r:id="rId53" xr:uid="{86E443E1-80E5-48A5-B06E-A89BB710F646}"/>
    <hyperlink ref="E36" r:id="rId54" xr:uid="{67369E37-24F1-4CA0-B9E9-9741351292C3}"/>
    <hyperlink ref="E37" r:id="rId55" xr:uid="{88D25384-33DC-4BE8-82DF-41CA5AE99D7D}"/>
    <hyperlink ref="E38" r:id="rId56" xr:uid="{2B8FA936-6EF3-44C8-A60A-0416117030DD}"/>
    <hyperlink ref="E39" r:id="rId57" xr:uid="{F66D7BA5-6613-4C81-B727-1AEE57C6D637}"/>
    <hyperlink ref="E40" r:id="rId58" xr:uid="{F18A0532-40B5-4C2B-811F-5851DF243387}"/>
    <hyperlink ref="E41" r:id="rId59" xr:uid="{E7DE3EFD-DDB0-43D0-AE1F-37C70C048FB4}"/>
    <hyperlink ref="E42" r:id="rId60" xr:uid="{F40B5A2B-EB5C-4090-A5FE-90D4D8DE05CC}"/>
    <hyperlink ref="E43" r:id="rId61" xr:uid="{2F9FEE6C-336C-46C3-9ED5-E69BD4712926}"/>
    <hyperlink ref="E44" r:id="rId62" xr:uid="{0DE65ED2-B6D5-423F-A77C-16AF46F71276}"/>
    <hyperlink ref="E46" r:id="rId63" xr:uid="{B0124DED-40C8-41E3-A120-35F0F3F9B10E}"/>
    <hyperlink ref="E48" r:id="rId64" xr:uid="{6A86BB6D-8840-4877-B8FC-C4599F64FA03}"/>
    <hyperlink ref="E47" r:id="rId65" xr:uid="{579F731F-456D-4F7B-AB4A-66C69C5526D1}"/>
    <hyperlink ref="E49" r:id="rId66" xr:uid="{E160EC8E-6926-4DA9-BBBA-436517CCC425}"/>
    <hyperlink ref="E15" r:id="rId67" xr:uid="{89526403-7EFB-4B15-AB94-8AB39413720D}"/>
    <hyperlink ref="E45" r:id="rId68" xr:uid="{65FF162A-91C5-406F-98D1-6999705C56DC}"/>
    <hyperlink ref="E26" r:id="rId69" xr:uid="{EDBCE8B5-0A8A-4351-8DDA-C066F6D62557}"/>
    <hyperlink ref="NN2" r:id="rId70" xr:uid="{94DD0CD0-1FD0-4A0B-AC39-5AB5C946956F}"/>
    <hyperlink ref="NN3" r:id="rId71" xr:uid="{82E89FEB-42A8-4D24-B0A1-B8D78D4B776D}"/>
    <hyperlink ref="NN4" r:id="rId72" xr:uid="{764BD893-AE82-432F-BAD0-082BF056E5F0}"/>
    <hyperlink ref="NN5" r:id="rId73" xr:uid="{725C3560-6B72-449B-AA95-AEA3435A1ABC}"/>
    <hyperlink ref="NN6" r:id="rId74" xr:uid="{3DDC0A82-887B-4ECE-8F78-B021CA2B47EA}"/>
    <hyperlink ref="NN7" r:id="rId75" xr:uid="{345EE363-2B3B-4E9F-8AB9-3ECDF2158D36}"/>
    <hyperlink ref="NN8" r:id="rId76" xr:uid="{4FF0500A-2757-4DBE-8C99-39EBA897D0BF}"/>
    <hyperlink ref="NN9" r:id="rId77" xr:uid="{E7121156-75D8-4C85-810F-B8E7EBBC97A0}"/>
    <hyperlink ref="NN10" r:id="rId78" xr:uid="{4686D1B5-0E26-47CC-9407-F40DB59E06C0}"/>
    <hyperlink ref="NN11" r:id="rId79" xr:uid="{5F5C4754-E24C-4D88-A4B3-EA42CA5CABC8}"/>
    <hyperlink ref="NN12" r:id="rId80" xr:uid="{61780E31-9142-4E98-8F9D-6846C5A4C316}"/>
  </hyperlinks>
  <pageMargins left="0.7" right="0.7" top="0.75" bottom="0.75" header="0.3" footer="0.3"/>
  <legacyDrawing r:id="rId8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9D4A-E504-41E6-B761-EDA68F6D79F6}">
  <sheetPr>
    <tabColor rgb="FFFFFF00"/>
  </sheetPr>
  <dimension ref="A1:CE106"/>
  <sheetViews>
    <sheetView zoomScale="85" zoomScaleNormal="85" workbookViewId="0">
      <pane xSplit="4" topLeftCell="AO1" activePane="topRight" state="frozen"/>
      <selection activeCell="F188" activeCellId="3" sqref="E187 F186 F189 F188"/>
      <selection pane="topRight" activeCell="AV20" sqref="AV20"/>
    </sheetView>
  </sheetViews>
  <sheetFormatPr defaultRowHeight="15"/>
  <cols>
    <col min="1" max="1" width="4.140625" style="3" bestFit="1" customWidth="1"/>
    <col min="2" max="2" width="80.42578125" style="3" customWidth="1"/>
    <col min="3" max="5" width="30.5703125" style="3" customWidth="1"/>
    <col min="6" max="6" width="52.42578125" style="3" bestFit="1" customWidth="1"/>
    <col min="7" max="7" width="34" style="3" customWidth="1"/>
    <col min="8" max="8" width="36.5703125" style="433" customWidth="1"/>
    <col min="9" max="9" width="16.42578125" style="598" customWidth="1"/>
    <col min="10" max="10" width="23.85546875" style="598" customWidth="1"/>
    <col min="11" max="11" width="34.28515625" style="598" customWidth="1"/>
    <col min="12" max="12" width="43.7109375" style="598" customWidth="1"/>
    <col min="13" max="13" width="61.7109375" style="598" customWidth="1"/>
    <col min="14" max="14" width="36.5703125" style="433" customWidth="1"/>
    <col min="15" max="15" width="16.42578125" style="598" customWidth="1"/>
    <col min="16" max="16" width="23.85546875" style="598" customWidth="1"/>
    <col min="17" max="17" width="34.28515625" style="598" customWidth="1"/>
    <col min="18" max="18" width="43.7109375" style="598" customWidth="1"/>
    <col min="19" max="20" width="61.7109375" style="598" customWidth="1"/>
    <col min="21" max="21" width="38.7109375" style="598" customWidth="1"/>
    <col min="22" max="22" width="32.42578125" style="598" customWidth="1"/>
    <col min="23" max="23" width="20.28515625" customWidth="1"/>
    <col min="24" max="24" width="20.28515625" bestFit="1" customWidth="1"/>
    <col min="25" max="25" width="30.85546875" bestFit="1" customWidth="1"/>
    <col min="26" max="26" width="26.7109375" customWidth="1"/>
    <col min="27" max="27" width="30.85546875" customWidth="1"/>
    <col min="28" max="28" width="62.140625" customWidth="1"/>
    <col min="29" max="29" width="17.28515625" customWidth="1"/>
    <col min="30" max="30" width="9.7109375" customWidth="1"/>
    <col min="31" max="31" width="20.28515625" bestFit="1" customWidth="1"/>
    <col min="32" max="32" width="16.28515625" customWidth="1"/>
    <col min="33" max="33" width="28.85546875" customWidth="1"/>
    <col min="34" max="34" width="25.28515625" customWidth="1"/>
    <col min="35" max="35" width="61.28515625" customWidth="1"/>
    <col min="36" max="36" width="20.42578125" style="81" customWidth="1"/>
    <col min="37" max="41" width="29.28515625" customWidth="1"/>
    <col min="42" max="42" width="9.140625" customWidth="1"/>
    <col min="43" max="43" width="42.5703125" customWidth="1"/>
    <col min="44" max="48" width="13.42578125" style="81" customWidth="1"/>
    <col min="56" max="56" width="17.140625" style="2" bestFit="1" customWidth="1"/>
    <col min="57" max="57" width="15.42578125" bestFit="1" customWidth="1"/>
    <col min="58" max="58" width="16" bestFit="1" customWidth="1"/>
    <col min="59" max="59" width="16.5703125" bestFit="1" customWidth="1"/>
    <col min="61" max="61" width="20.7109375" style="3" customWidth="1"/>
    <col min="62" max="62" width="19" style="3" customWidth="1"/>
    <col min="63" max="63" width="60.28515625" style="3" customWidth="1"/>
    <col min="64" max="64" width="38.140625" style="3" bestFit="1" customWidth="1"/>
    <col min="65" max="65" width="36.5703125" style="3" customWidth="1"/>
    <col min="66" max="66" width="27.140625" style="3" customWidth="1"/>
    <col min="71" max="71" width="17.28515625" bestFit="1" customWidth="1"/>
    <col min="72" max="72" width="13.85546875" bestFit="1" customWidth="1"/>
    <col min="73" max="73" width="23.85546875" customWidth="1"/>
    <col min="74" max="74" width="34.28515625" bestFit="1" customWidth="1"/>
    <col min="75" max="75" width="80.140625" bestFit="1" customWidth="1"/>
    <col min="76" max="76" width="15.85546875" customWidth="1"/>
    <col min="77" max="78" width="20.28515625" bestFit="1" customWidth="1"/>
    <col min="79" max="79" width="30.85546875" bestFit="1" customWidth="1"/>
    <col min="80" max="80" width="26.7109375" bestFit="1" customWidth="1"/>
    <col min="81" max="81" width="30.85546875" bestFit="1" customWidth="1"/>
    <col min="82" max="82" width="62.140625" customWidth="1"/>
    <col min="83" max="83" width="17.28515625" bestFit="1" customWidth="1"/>
  </cols>
  <sheetData>
    <row r="1" spans="1:83" ht="66" customHeight="1" thickBot="1">
      <c r="A1" s="1167" t="s">
        <v>58</v>
      </c>
      <c r="B1" s="1167"/>
      <c r="C1" s="1167"/>
      <c r="D1" s="1167"/>
      <c r="E1" s="1167"/>
      <c r="F1" s="1167"/>
      <c r="G1" s="1167"/>
      <c r="H1" s="1401" t="s">
        <v>3615</v>
      </c>
      <c r="I1" s="1401"/>
      <c r="J1" s="1401"/>
      <c r="K1" s="1401"/>
      <c r="L1" s="1401"/>
      <c r="M1" s="1401"/>
      <c r="N1" s="1169" t="s">
        <v>3615</v>
      </c>
      <c r="O1" s="1169"/>
      <c r="P1" s="1169"/>
      <c r="Q1" s="1169"/>
      <c r="R1" s="1169"/>
      <c r="S1" s="1169"/>
      <c r="T1" s="1169"/>
      <c r="U1" s="1169"/>
      <c r="V1" s="601"/>
      <c r="AD1" s="1166" t="s">
        <v>48</v>
      </c>
      <c r="AE1" s="1166"/>
      <c r="AF1" s="1166"/>
      <c r="AG1" s="1166"/>
      <c r="AH1" s="1166"/>
      <c r="AI1" s="1166"/>
      <c r="AJ1" s="1166"/>
      <c r="AK1" s="1166"/>
      <c r="AL1" s="1166"/>
      <c r="AM1" s="1166"/>
      <c r="AN1" s="1166"/>
      <c r="AO1" s="1166"/>
      <c r="AP1" s="1166"/>
      <c r="AQ1" s="1166"/>
      <c r="BD1" s="1189"/>
      <c r="BE1" s="1189"/>
      <c r="BF1" s="1189"/>
      <c r="BG1" s="1189"/>
      <c r="BI1" s="1395" t="s">
        <v>373</v>
      </c>
      <c r="BJ1" s="1395"/>
      <c r="BK1" s="1395"/>
      <c r="BL1" s="1395"/>
      <c r="BM1" s="1395"/>
      <c r="BN1" s="1395"/>
      <c r="BR1" s="1396" t="s">
        <v>776</v>
      </c>
      <c r="BS1" s="1396"/>
      <c r="BT1" s="1396"/>
      <c r="BU1" s="1396"/>
      <c r="BV1" s="1396"/>
      <c r="BW1" s="1396"/>
      <c r="BX1" s="186"/>
      <c r="BY1" s="1396" t="s">
        <v>48</v>
      </c>
      <c r="BZ1" s="1396"/>
      <c r="CA1" s="1396"/>
      <c r="CB1" s="1396"/>
      <c r="CC1" s="1396"/>
      <c r="CD1" s="1396"/>
      <c r="CE1" s="1396"/>
    </row>
    <row r="2" spans="1:83" s="2" customFormat="1" ht="46.5" thickTop="1" thickBot="1">
      <c r="A2" s="565" t="s">
        <v>424</v>
      </c>
      <c r="B2" s="566" t="s">
        <v>425</v>
      </c>
      <c r="C2" s="566" t="s">
        <v>426</v>
      </c>
      <c r="D2" s="566" t="s">
        <v>427</v>
      </c>
      <c r="E2" s="566" t="s">
        <v>3337</v>
      </c>
      <c r="F2" s="566" t="s">
        <v>428</v>
      </c>
      <c r="G2" s="567" t="s">
        <v>429</v>
      </c>
      <c r="H2" s="742" t="s">
        <v>430</v>
      </c>
      <c r="I2" s="742" t="s">
        <v>431</v>
      </c>
      <c r="J2" s="742" t="s">
        <v>432</v>
      </c>
      <c r="K2" s="742" t="s">
        <v>433</v>
      </c>
      <c r="L2" s="742" t="s">
        <v>434</v>
      </c>
      <c r="M2" s="742" t="s">
        <v>435</v>
      </c>
      <c r="N2" s="742" t="s">
        <v>1154</v>
      </c>
      <c r="O2" s="742" t="s">
        <v>1144</v>
      </c>
      <c r="P2" s="742" t="s">
        <v>1161</v>
      </c>
      <c r="Q2" s="742" t="s">
        <v>2678</v>
      </c>
      <c r="R2" s="742" t="s">
        <v>1169</v>
      </c>
      <c r="S2" s="742" t="s">
        <v>1192</v>
      </c>
      <c r="T2" s="742" t="s">
        <v>1187</v>
      </c>
      <c r="U2" s="598"/>
      <c r="V2" s="601"/>
      <c r="AD2" s="181" t="s">
        <v>424</v>
      </c>
      <c r="AE2" s="181" t="s">
        <v>436</v>
      </c>
      <c r="AF2" s="181" t="s">
        <v>437</v>
      </c>
      <c r="AG2" s="181" t="s">
        <v>438</v>
      </c>
      <c r="AH2" s="181" t="s">
        <v>428</v>
      </c>
      <c r="AI2" s="181" t="s">
        <v>439</v>
      </c>
      <c r="AJ2" s="473" t="s">
        <v>440</v>
      </c>
      <c r="AK2" s="181" t="s">
        <v>441</v>
      </c>
      <c r="AL2" s="181" t="s">
        <v>442</v>
      </c>
      <c r="AM2" s="181" t="s">
        <v>443</v>
      </c>
      <c r="AN2" s="181" t="s">
        <v>444</v>
      </c>
      <c r="AO2" s="181" t="s">
        <v>445</v>
      </c>
      <c r="AP2" s="181" t="s">
        <v>446</v>
      </c>
      <c r="AQ2" s="181" t="s">
        <v>3314</v>
      </c>
      <c r="AR2" s="473" t="s">
        <v>446</v>
      </c>
      <c r="AS2" s="473" t="s">
        <v>2289</v>
      </c>
      <c r="AT2" s="473" t="s">
        <v>2290</v>
      </c>
      <c r="AU2" s="473" t="s">
        <v>2291</v>
      </c>
      <c r="AV2" s="473" t="s">
        <v>2292</v>
      </c>
      <c r="BD2" s="497" t="s">
        <v>439</v>
      </c>
      <c r="BE2" s="498" t="s">
        <v>777</v>
      </c>
      <c r="BF2" s="498" t="s">
        <v>778</v>
      </c>
      <c r="BG2" s="499" t="s">
        <v>779</v>
      </c>
      <c r="BI2" s="451" t="s">
        <v>424</v>
      </c>
      <c r="BJ2" s="452" t="s">
        <v>30</v>
      </c>
      <c r="BK2" s="452" t="s">
        <v>780</v>
      </c>
      <c r="BL2" s="452" t="s">
        <v>781</v>
      </c>
      <c r="BM2" s="452" t="s">
        <v>428</v>
      </c>
      <c r="BN2" s="452" t="s">
        <v>258</v>
      </c>
      <c r="BR2" s="465" t="s">
        <v>424</v>
      </c>
      <c r="BS2" s="466" t="s">
        <v>436</v>
      </c>
      <c r="BT2" s="466" t="s">
        <v>437</v>
      </c>
      <c r="BU2" s="466" t="s">
        <v>438</v>
      </c>
      <c r="BV2" s="466" t="s">
        <v>428</v>
      </c>
      <c r="BW2" s="467" t="s">
        <v>439</v>
      </c>
      <c r="BX2" s="186"/>
      <c r="BY2" s="515" t="s">
        <v>424</v>
      </c>
      <c r="BZ2" s="516" t="s">
        <v>436</v>
      </c>
      <c r="CA2" s="516" t="s">
        <v>437</v>
      </c>
      <c r="CB2" s="516" t="s">
        <v>438</v>
      </c>
      <c r="CC2" s="516" t="s">
        <v>428</v>
      </c>
      <c r="CD2" s="517" t="s">
        <v>439</v>
      </c>
      <c r="CE2" s="525" t="s">
        <v>440</v>
      </c>
    </row>
    <row r="3" spans="1:83" ht="35.25" customHeight="1" thickTop="1">
      <c r="A3" s="564">
        <v>1</v>
      </c>
      <c r="B3" s="557" t="s">
        <v>447</v>
      </c>
      <c r="C3" s="538" t="s">
        <v>448</v>
      </c>
      <c r="D3" s="538" t="s">
        <v>449</v>
      </c>
      <c r="E3" s="538">
        <v>59</v>
      </c>
      <c r="F3" s="853" t="s">
        <v>3312</v>
      </c>
      <c r="G3" s="539">
        <v>6951957501</v>
      </c>
      <c r="H3" s="743">
        <v>5</v>
      </c>
      <c r="I3" s="744">
        <v>5</v>
      </c>
      <c r="J3" s="744" t="s">
        <v>451</v>
      </c>
      <c r="K3" s="744" t="s">
        <v>451</v>
      </c>
      <c r="L3" s="744">
        <v>9</v>
      </c>
      <c r="M3" s="745">
        <v>9</v>
      </c>
      <c r="N3" s="743" t="s">
        <v>623</v>
      </c>
      <c r="O3" s="744" t="s">
        <v>623</v>
      </c>
      <c r="P3" s="744" t="s">
        <v>623</v>
      </c>
      <c r="Q3" s="744" t="s">
        <v>500</v>
      </c>
      <c r="R3" s="744" t="s">
        <v>451</v>
      </c>
      <c r="S3" s="744" t="s">
        <v>500</v>
      </c>
      <c r="T3" s="745" t="s">
        <v>451</v>
      </c>
      <c r="V3" s="602"/>
      <c r="AD3" s="67">
        <v>1</v>
      </c>
      <c r="AE3" s="496" t="s">
        <v>496</v>
      </c>
      <c r="AF3" s="496" t="s">
        <v>497</v>
      </c>
      <c r="AG3" s="496">
        <v>6949455771</v>
      </c>
      <c r="AH3" s="883" t="s">
        <v>498</v>
      </c>
      <c r="AI3" s="496" t="s">
        <v>499</v>
      </c>
      <c r="AJ3" s="496" t="s">
        <v>457</v>
      </c>
      <c r="AK3" s="496"/>
      <c r="AL3" s="884">
        <v>9</v>
      </c>
      <c r="AM3" s="884" t="s">
        <v>500</v>
      </c>
      <c r="AN3" s="884" t="s">
        <v>451</v>
      </c>
      <c r="AO3" s="884" t="s">
        <v>451</v>
      </c>
      <c r="AP3" s="884" t="s">
        <v>623</v>
      </c>
      <c r="AQ3" s="885" t="s">
        <v>501</v>
      </c>
      <c r="AR3" s="892" t="s">
        <v>550</v>
      </c>
      <c r="AS3" s="892" t="s">
        <v>3341</v>
      </c>
      <c r="AT3" s="943" t="s">
        <v>550</v>
      </c>
      <c r="AU3" s="943" t="s">
        <v>451</v>
      </c>
      <c r="AV3" s="943" t="s">
        <v>771</v>
      </c>
      <c r="BD3" s="500" t="s">
        <v>782</v>
      </c>
      <c r="BE3" s="48">
        <f>COUNTIF(BK3:BK128,BK9)</f>
        <v>5</v>
      </c>
      <c r="BF3" s="48">
        <f>COUNTIF(BK:BK,BK18)</f>
        <v>2</v>
      </c>
      <c r="BG3" s="100">
        <f>0</f>
        <v>0</v>
      </c>
      <c r="BI3" s="368"/>
      <c r="BJ3" s="84">
        <v>45692</v>
      </c>
      <c r="BK3" s="368"/>
      <c r="BL3" s="368" t="s">
        <v>783</v>
      </c>
      <c r="BM3" s="528"/>
      <c r="BN3" s="368">
        <v>6996223866</v>
      </c>
      <c r="BO3" s="3"/>
      <c r="BR3" s="268">
        <v>1</v>
      </c>
      <c r="BS3" s="48" t="s">
        <v>518</v>
      </c>
      <c r="BT3" s="48" t="s">
        <v>784</v>
      </c>
      <c r="BU3" s="48">
        <v>6971897078</v>
      </c>
      <c r="BV3" s="460" t="s">
        <v>519</v>
      </c>
      <c r="BW3" s="461" t="s">
        <v>785</v>
      </c>
      <c r="BX3" s="2"/>
      <c r="BY3" s="518">
        <v>1</v>
      </c>
      <c r="BZ3" s="41" t="s">
        <v>452</v>
      </c>
      <c r="CA3" s="41" t="s">
        <v>453</v>
      </c>
      <c r="CB3" s="505" t="s">
        <v>454</v>
      </c>
      <c r="CC3" s="514" t="s">
        <v>455</v>
      </c>
      <c r="CD3" s="51" t="s">
        <v>456</v>
      </c>
      <c r="CE3" s="524" t="s">
        <v>457</v>
      </c>
    </row>
    <row r="4" spans="1:83" ht="28.5" customHeight="1">
      <c r="A4" s="540">
        <v>2</v>
      </c>
      <c r="B4" s="540" t="s">
        <v>447</v>
      </c>
      <c r="C4" s="3" t="s">
        <v>459</v>
      </c>
      <c r="D4" s="3" t="s">
        <v>460</v>
      </c>
      <c r="E4" s="3">
        <v>60</v>
      </c>
      <c r="F4" s="523" t="s">
        <v>461</v>
      </c>
      <c r="G4" s="541">
        <v>6993230075</v>
      </c>
      <c r="H4" s="798" t="s">
        <v>483</v>
      </c>
      <c r="I4" s="758" t="s">
        <v>483</v>
      </c>
      <c r="J4" s="433" t="s">
        <v>473</v>
      </c>
      <c r="K4" s="758" t="s">
        <v>538</v>
      </c>
      <c r="L4" s="433" t="s">
        <v>484</v>
      </c>
      <c r="M4" s="811" t="s">
        <v>3104</v>
      </c>
      <c r="N4" s="798" t="s">
        <v>3443</v>
      </c>
      <c r="O4" s="433" t="s">
        <v>3389</v>
      </c>
      <c r="P4" s="758" t="s">
        <v>3407</v>
      </c>
      <c r="Q4" s="758" t="s">
        <v>3599</v>
      </c>
      <c r="R4" s="758" t="s">
        <v>3589</v>
      </c>
      <c r="S4" s="758" t="s">
        <v>3582</v>
      </c>
      <c r="T4" s="811" t="s">
        <v>3576</v>
      </c>
      <c r="V4" s="602"/>
      <c r="AD4" s="67">
        <v>2</v>
      </c>
      <c r="AE4" s="496" t="s">
        <v>568</v>
      </c>
      <c r="AF4" s="496" t="s">
        <v>569</v>
      </c>
      <c r="AG4" s="496">
        <v>6984501017</v>
      </c>
      <c r="AH4" s="883" t="s">
        <v>570</v>
      </c>
      <c r="AI4" s="496" t="s">
        <v>560</v>
      </c>
      <c r="AJ4" s="496" t="s">
        <v>457</v>
      </c>
      <c r="AK4" s="496" t="s">
        <v>571</v>
      </c>
      <c r="AL4" s="886">
        <v>21</v>
      </c>
      <c r="AM4" s="886" t="s">
        <v>513</v>
      </c>
      <c r="AN4" s="886" t="s">
        <v>514</v>
      </c>
      <c r="AO4" s="886" t="s">
        <v>514</v>
      </c>
      <c r="AP4" s="886"/>
      <c r="AQ4" s="887" t="s">
        <v>572</v>
      </c>
      <c r="AR4" s="893" t="s">
        <v>500</v>
      </c>
      <c r="AS4" s="893" t="s">
        <v>551</v>
      </c>
      <c r="AT4" s="944" t="s">
        <v>551</v>
      </c>
      <c r="AU4" s="944" t="s">
        <v>550</v>
      </c>
      <c r="AV4" s="944" t="s">
        <v>771</v>
      </c>
      <c r="BD4" s="500" t="s">
        <v>786</v>
      </c>
      <c r="BE4" s="48">
        <f>COUNTIF(BK3:BK128,BK19)</f>
        <v>0</v>
      </c>
      <c r="BF4" s="48">
        <v>0</v>
      </c>
      <c r="BG4" s="100">
        <v>0</v>
      </c>
      <c r="BI4" s="459">
        <v>1</v>
      </c>
      <c r="BJ4" s="414">
        <v>45803</v>
      </c>
      <c r="BK4" s="3" t="s">
        <v>499</v>
      </c>
      <c r="BL4" s="3" t="s">
        <v>787</v>
      </c>
      <c r="BM4" s="412" t="s">
        <v>715</v>
      </c>
      <c r="BN4" s="3">
        <v>6945766487</v>
      </c>
      <c r="BO4" s="3"/>
      <c r="BR4" s="268">
        <v>2</v>
      </c>
      <c r="BS4" s="48" t="s">
        <v>527</v>
      </c>
      <c r="BT4" s="48" t="s">
        <v>475</v>
      </c>
      <c r="BU4" s="48">
        <v>6976606306</v>
      </c>
      <c r="BV4" s="460" t="s">
        <v>528</v>
      </c>
      <c r="BW4" s="461" t="s">
        <v>785</v>
      </c>
      <c r="BX4" s="2"/>
      <c r="BY4" s="518">
        <v>2</v>
      </c>
      <c r="BZ4" s="41" t="s">
        <v>466</v>
      </c>
      <c r="CA4" s="41" t="s">
        <v>467</v>
      </c>
      <c r="CB4" s="41">
        <v>6940828922</v>
      </c>
      <c r="CC4" s="514" t="s">
        <v>468</v>
      </c>
      <c r="CD4" s="51" t="s">
        <v>456</v>
      </c>
      <c r="CE4" s="41" t="s">
        <v>457</v>
      </c>
    </row>
    <row r="5" spans="1:83" ht="18" customHeight="1">
      <c r="A5" s="540">
        <v>3</v>
      </c>
      <c r="B5" s="540" t="s">
        <v>447</v>
      </c>
      <c r="C5" s="3" t="s">
        <v>470</v>
      </c>
      <c r="D5" s="3" t="s">
        <v>471</v>
      </c>
      <c r="E5" s="3">
        <v>58</v>
      </c>
      <c r="F5" s="523" t="s">
        <v>472</v>
      </c>
      <c r="G5" s="541">
        <v>6988403440</v>
      </c>
      <c r="H5" s="798" t="s">
        <v>591</v>
      </c>
      <c r="I5" s="433" t="s">
        <v>462</v>
      </c>
      <c r="J5" s="758" t="s">
        <v>3104</v>
      </c>
      <c r="K5" s="758" t="s">
        <v>3190</v>
      </c>
      <c r="L5" s="433" t="s">
        <v>473</v>
      </c>
      <c r="M5" s="811" t="s">
        <v>3104</v>
      </c>
      <c r="N5" s="798" t="s">
        <v>3443</v>
      </c>
      <c r="O5" s="758" t="s">
        <v>3407</v>
      </c>
      <c r="P5" s="758" t="s">
        <v>3407</v>
      </c>
      <c r="Q5" s="758" t="s">
        <v>3600</v>
      </c>
      <c r="R5" s="758" t="s">
        <v>3590</v>
      </c>
      <c r="S5" s="758" t="s">
        <v>3560</v>
      </c>
      <c r="T5" s="811" t="s">
        <v>3589</v>
      </c>
      <c r="V5" s="602"/>
      <c r="AD5" s="67">
        <v>3</v>
      </c>
      <c r="AE5" s="496" t="s">
        <v>575</v>
      </c>
      <c r="AF5" s="496" t="s">
        <v>576</v>
      </c>
      <c r="AG5" s="496">
        <v>6955515575</v>
      </c>
      <c r="AH5" s="883" t="s">
        <v>577</v>
      </c>
      <c r="AI5" s="496" t="s">
        <v>578</v>
      </c>
      <c r="AJ5" s="496" t="s">
        <v>457</v>
      </c>
      <c r="AK5" s="496"/>
      <c r="AL5" s="886">
        <v>20</v>
      </c>
      <c r="AM5" s="886" t="s">
        <v>579</v>
      </c>
      <c r="AN5" s="886" t="s">
        <v>513</v>
      </c>
      <c r="AO5" s="886" t="s">
        <v>550</v>
      </c>
      <c r="AP5" s="886" t="s">
        <v>580</v>
      </c>
      <c r="AQ5" s="887" t="s">
        <v>469</v>
      </c>
      <c r="AR5" s="893" t="s">
        <v>542</v>
      </c>
      <c r="AS5" s="893" t="s">
        <v>3345</v>
      </c>
      <c r="AT5" s="944" t="s">
        <v>3344</v>
      </c>
      <c r="AU5" s="944" t="s">
        <v>542</v>
      </c>
      <c r="AV5" s="944" t="s">
        <v>771</v>
      </c>
      <c r="BD5" s="500" t="s">
        <v>788</v>
      </c>
      <c r="BE5" s="48">
        <f>COUNTIF(BK3:BK128,BK8)</f>
        <v>8</v>
      </c>
      <c r="BF5" s="48">
        <f>COUNTIF(BK:BK,BK23)</f>
        <v>5</v>
      </c>
      <c r="BG5" s="100">
        <v>0</v>
      </c>
      <c r="BI5" s="3">
        <v>2</v>
      </c>
      <c r="BJ5" s="414">
        <v>45831</v>
      </c>
      <c r="BK5" s="3" t="s">
        <v>499</v>
      </c>
      <c r="BL5" s="3" t="s">
        <v>789</v>
      </c>
      <c r="BM5" s="412" t="s">
        <v>701</v>
      </c>
      <c r="BN5" s="3">
        <v>6989801222</v>
      </c>
      <c r="BO5" s="3"/>
      <c r="BR5" s="268">
        <v>3</v>
      </c>
      <c r="BS5" s="48" t="s">
        <v>534</v>
      </c>
      <c r="BT5" s="48" t="s">
        <v>533</v>
      </c>
      <c r="BU5" s="48">
        <v>6980272629</v>
      </c>
      <c r="BV5" s="460" t="s">
        <v>535</v>
      </c>
      <c r="BW5" s="461" t="s">
        <v>785</v>
      </c>
      <c r="BX5" s="2"/>
      <c r="BY5" s="518">
        <v>3</v>
      </c>
      <c r="BZ5" s="41" t="s">
        <v>474</v>
      </c>
      <c r="CA5" s="41" t="s">
        <v>475</v>
      </c>
      <c r="CB5" s="41">
        <v>6973739823</v>
      </c>
      <c r="CC5" s="514" t="s">
        <v>476</v>
      </c>
      <c r="CD5" s="51" t="s">
        <v>456</v>
      </c>
      <c r="CE5" s="41" t="s">
        <v>477</v>
      </c>
    </row>
    <row r="6" spans="1:83" ht="19.5" customHeight="1">
      <c r="A6" s="540">
        <v>4</v>
      </c>
      <c r="B6" s="540" t="s">
        <v>447</v>
      </c>
      <c r="C6" s="3" t="s">
        <v>479</v>
      </c>
      <c r="D6" s="3" t="s">
        <v>480</v>
      </c>
      <c r="E6" s="3">
        <v>73</v>
      </c>
      <c r="F6" s="523" t="s">
        <v>481</v>
      </c>
      <c r="G6" s="541">
        <v>6984495182</v>
      </c>
      <c r="H6" s="746" t="s">
        <v>482</v>
      </c>
      <c r="I6" s="759" t="s">
        <v>483</v>
      </c>
      <c r="J6" s="433" t="s">
        <v>662</v>
      </c>
      <c r="K6" s="433" t="s">
        <v>485</v>
      </c>
      <c r="L6" s="433" t="s">
        <v>473</v>
      </c>
      <c r="M6" s="747" t="s">
        <v>473</v>
      </c>
      <c r="N6" s="746" t="s">
        <v>2524</v>
      </c>
      <c r="O6" s="857" t="s">
        <v>2524</v>
      </c>
      <c r="P6" s="433" t="s">
        <v>3389</v>
      </c>
      <c r="Q6" s="433" t="s">
        <v>3421</v>
      </c>
      <c r="R6" s="433" t="s">
        <v>485</v>
      </c>
      <c r="S6" s="433" t="s">
        <v>3424</v>
      </c>
      <c r="T6" s="747" t="s">
        <v>451</v>
      </c>
      <c r="V6" s="602"/>
      <c r="AD6" s="67">
        <v>4</v>
      </c>
      <c r="AE6" s="496" t="s">
        <v>592</v>
      </c>
      <c r="AF6" s="496" t="s">
        <v>593</v>
      </c>
      <c r="AG6" s="496">
        <v>6948486899</v>
      </c>
      <c r="AH6" s="883" t="s">
        <v>594</v>
      </c>
      <c r="AI6" s="496" t="s">
        <v>586</v>
      </c>
      <c r="AJ6" s="496" t="s">
        <v>457</v>
      </c>
      <c r="AK6" s="496" t="s">
        <v>595</v>
      </c>
      <c r="AL6" s="886">
        <v>39</v>
      </c>
      <c r="AM6" s="886" t="s">
        <v>596</v>
      </c>
      <c r="AN6" s="886" t="s">
        <v>597</v>
      </c>
      <c r="AO6" s="886" t="s">
        <v>598</v>
      </c>
      <c r="AP6" s="886" t="s">
        <v>3223</v>
      </c>
      <c r="AQ6" s="887" t="s">
        <v>599</v>
      </c>
      <c r="AR6" s="894" t="s">
        <v>3346</v>
      </c>
      <c r="AS6" s="894" t="s">
        <v>3347</v>
      </c>
      <c r="AT6" s="945" t="s">
        <v>3346</v>
      </c>
      <c r="AU6" s="945" t="s">
        <v>3349</v>
      </c>
      <c r="AV6" s="945" t="s">
        <v>562</v>
      </c>
      <c r="BD6" s="500" t="s">
        <v>790</v>
      </c>
      <c r="BE6" s="48">
        <f>COUNTIF(BK3:BK128,BK15)</f>
        <v>6</v>
      </c>
      <c r="BF6" s="48">
        <v>0</v>
      </c>
      <c r="BG6" s="100">
        <v>0</v>
      </c>
      <c r="BI6" s="459">
        <v>3</v>
      </c>
      <c r="BJ6" s="414">
        <v>45831</v>
      </c>
      <c r="BK6" s="3" t="s">
        <v>560</v>
      </c>
      <c r="BL6" s="3" t="s">
        <v>791</v>
      </c>
      <c r="BM6" s="412" t="s">
        <v>653</v>
      </c>
      <c r="BN6" s="3">
        <v>6955298183</v>
      </c>
      <c r="BO6" s="3"/>
      <c r="BR6" s="268">
        <v>4</v>
      </c>
      <c r="BS6" s="48" t="s">
        <v>545</v>
      </c>
      <c r="BT6" s="48" t="s">
        <v>544</v>
      </c>
      <c r="BU6" s="48">
        <v>6943744160</v>
      </c>
      <c r="BV6" s="460" t="s">
        <v>546</v>
      </c>
      <c r="BW6" s="461" t="s">
        <v>785</v>
      </c>
      <c r="BX6" s="2"/>
      <c r="BY6" s="518">
        <v>4</v>
      </c>
      <c r="BZ6" s="41" t="s">
        <v>486</v>
      </c>
      <c r="CA6" s="41" t="s">
        <v>475</v>
      </c>
      <c r="CB6" s="41">
        <v>6955951660</v>
      </c>
      <c r="CC6" s="514" t="s">
        <v>487</v>
      </c>
      <c r="CD6" s="51" t="s">
        <v>456</v>
      </c>
      <c r="CE6" s="41" t="s">
        <v>477</v>
      </c>
    </row>
    <row r="7" spans="1:83" ht="18.75" customHeight="1" thickBot="1">
      <c r="A7" s="558">
        <v>5</v>
      </c>
      <c r="B7" s="558" t="s">
        <v>447</v>
      </c>
      <c r="C7" s="559" t="s">
        <v>489</v>
      </c>
      <c r="D7" s="559" t="s">
        <v>490</v>
      </c>
      <c r="E7" s="559">
        <v>75</v>
      </c>
      <c r="F7" s="813" t="s">
        <v>491</v>
      </c>
      <c r="G7" s="560">
        <v>6983006334</v>
      </c>
      <c r="H7" s="748">
        <v>5</v>
      </c>
      <c r="I7" s="749">
        <v>5</v>
      </c>
      <c r="J7" s="749">
        <v>9</v>
      </c>
      <c r="K7" s="749">
        <v>9</v>
      </c>
      <c r="L7" s="749">
        <v>9</v>
      </c>
      <c r="M7" s="750">
        <v>9</v>
      </c>
      <c r="N7" s="748" t="s">
        <v>623</v>
      </c>
      <c r="O7" s="749" t="s">
        <v>623</v>
      </c>
      <c r="P7" s="749" t="s">
        <v>3440</v>
      </c>
      <c r="Q7" s="749" t="s">
        <v>500</v>
      </c>
      <c r="R7" s="749" t="s">
        <v>464</v>
      </c>
      <c r="S7" s="749" t="s">
        <v>3424</v>
      </c>
      <c r="T7" s="750" t="s">
        <v>451</v>
      </c>
      <c r="V7" s="602"/>
      <c r="AD7" s="67">
        <v>5</v>
      </c>
      <c r="AE7" s="496" t="s">
        <v>452</v>
      </c>
      <c r="AF7" s="496" t="s">
        <v>453</v>
      </c>
      <c r="AG7" s="496" t="s">
        <v>454</v>
      </c>
      <c r="AH7" s="883" t="s">
        <v>455</v>
      </c>
      <c r="AI7" s="496" t="s">
        <v>456</v>
      </c>
      <c r="AJ7" s="496" t="s">
        <v>457</v>
      </c>
      <c r="AK7" s="496"/>
      <c r="AL7" s="886">
        <v>30</v>
      </c>
      <c r="AM7" s="886">
        <v>40</v>
      </c>
      <c r="AN7" s="886">
        <v>36</v>
      </c>
      <c r="AO7" s="886">
        <v>30</v>
      </c>
      <c r="AP7" s="886" t="s">
        <v>563</v>
      </c>
      <c r="AQ7" s="887" t="s">
        <v>458</v>
      </c>
      <c r="AR7" s="893" t="s">
        <v>550</v>
      </c>
      <c r="AS7" s="893" t="s">
        <v>3340</v>
      </c>
      <c r="AT7" s="944" t="s">
        <v>3350</v>
      </c>
      <c r="AU7" s="944" t="s">
        <v>3349</v>
      </c>
      <c r="AV7" s="944" t="s">
        <v>3342</v>
      </c>
      <c r="BD7" s="501" t="s">
        <v>792</v>
      </c>
      <c r="BE7" s="502">
        <f>SUM(BE3:BE6)</f>
        <v>19</v>
      </c>
      <c r="BF7" s="502">
        <f>SUM(BF3:BF6)</f>
        <v>7</v>
      </c>
      <c r="BG7" s="503">
        <f>SUM(BG3:BG6)</f>
        <v>0</v>
      </c>
      <c r="BI7" s="3">
        <v>4</v>
      </c>
      <c r="BJ7" s="492">
        <v>45839</v>
      </c>
      <c r="BK7" s="415" t="s">
        <v>560</v>
      </c>
      <c r="BL7" s="415" t="s">
        <v>793</v>
      </c>
      <c r="BM7" s="536" t="s">
        <v>656</v>
      </c>
      <c r="BN7" s="308">
        <v>6987401697</v>
      </c>
      <c r="BO7" s="3"/>
      <c r="BR7" s="268">
        <v>5</v>
      </c>
      <c r="BS7" s="48" t="s">
        <v>554</v>
      </c>
      <c r="BT7" s="48" t="s">
        <v>553</v>
      </c>
      <c r="BU7" s="48">
        <v>6931835451</v>
      </c>
      <c r="BV7" s="460" t="s">
        <v>555</v>
      </c>
      <c r="BW7" s="461" t="s">
        <v>785</v>
      </c>
      <c r="BX7" s="2"/>
      <c r="BY7" s="518">
        <v>5</v>
      </c>
      <c r="BZ7" s="41" t="s">
        <v>492</v>
      </c>
      <c r="CA7" s="41" t="s">
        <v>493</v>
      </c>
      <c r="CB7" s="41">
        <v>6973825235</v>
      </c>
      <c r="CC7" s="514" t="s">
        <v>494</v>
      </c>
      <c r="CD7" s="51" t="s">
        <v>456</v>
      </c>
      <c r="CE7" s="41" t="s">
        <v>477</v>
      </c>
    </row>
    <row r="8" spans="1:83" s="458" customFormat="1" ht="15.75" customHeight="1" thickTop="1" thickBot="1">
      <c r="A8" s="3"/>
      <c r="B8" s="3"/>
      <c r="C8" s="3"/>
      <c r="D8" s="3"/>
      <c r="E8" s="3"/>
      <c r="F8" s="523"/>
      <c r="G8" s="3"/>
      <c r="H8" s="599"/>
      <c r="I8" s="600"/>
      <c r="J8" s="598"/>
      <c r="K8" s="598"/>
      <c r="L8" s="598"/>
      <c r="M8" s="598"/>
      <c r="N8" s="599"/>
      <c r="O8" s="600"/>
      <c r="P8" s="598"/>
      <c r="Q8" s="598"/>
      <c r="R8" s="598"/>
      <c r="S8" s="598"/>
      <c r="T8" s="598"/>
      <c r="U8" s="598"/>
      <c r="V8" s="602"/>
      <c r="AD8" s="67">
        <v>6</v>
      </c>
      <c r="AE8" s="496" t="s">
        <v>539</v>
      </c>
      <c r="AF8" s="496" t="s">
        <v>540</v>
      </c>
      <c r="AG8" s="496">
        <v>6972089035</v>
      </c>
      <c r="AH8" s="883" t="s">
        <v>541</v>
      </c>
      <c r="AI8" s="496" t="s">
        <v>499</v>
      </c>
      <c r="AJ8" s="496" t="s">
        <v>457</v>
      </c>
      <c r="AK8" s="496"/>
      <c r="AL8" s="886">
        <v>12</v>
      </c>
      <c r="AM8" s="886" t="s">
        <v>542</v>
      </c>
      <c r="AN8" s="886" t="s">
        <v>500</v>
      </c>
      <c r="AO8" s="886" t="s">
        <v>542</v>
      </c>
      <c r="AP8" s="886" t="s">
        <v>580</v>
      </c>
      <c r="AQ8" s="887" t="s">
        <v>543</v>
      </c>
      <c r="AR8" s="893" t="s">
        <v>500</v>
      </c>
      <c r="AS8" s="893" t="s">
        <v>550</v>
      </c>
      <c r="AT8" s="944" t="s">
        <v>515</v>
      </c>
      <c r="AU8" s="944" t="s">
        <v>563</v>
      </c>
      <c r="AV8" s="944" t="s">
        <v>771</v>
      </c>
      <c r="BD8" s="457"/>
      <c r="BI8" s="459">
        <v>5</v>
      </c>
      <c r="BJ8" s="414">
        <v>45840</v>
      </c>
      <c r="BK8" s="3" t="s">
        <v>499</v>
      </c>
      <c r="BL8" s="3" t="s">
        <v>794</v>
      </c>
      <c r="BM8" s="412" t="s">
        <v>708</v>
      </c>
      <c r="BN8" s="3">
        <v>6986783854</v>
      </c>
      <c r="BO8" s="415"/>
      <c r="BR8" s="268">
        <v>6</v>
      </c>
      <c r="BS8" s="48" t="s">
        <v>565</v>
      </c>
      <c r="BT8" s="48" t="s">
        <v>475</v>
      </c>
      <c r="BU8" s="48">
        <v>6946443776</v>
      </c>
      <c r="BV8" s="460" t="s">
        <v>566</v>
      </c>
      <c r="BW8" s="461" t="s">
        <v>785</v>
      </c>
      <c r="BX8" s="2"/>
      <c r="BY8" s="518">
        <v>6</v>
      </c>
      <c r="BZ8" s="41" t="s">
        <v>496</v>
      </c>
      <c r="CA8" s="41" t="s">
        <v>497</v>
      </c>
      <c r="CB8" s="41">
        <v>6949455771</v>
      </c>
      <c r="CC8" s="514" t="s">
        <v>498</v>
      </c>
      <c r="CD8" s="51" t="s">
        <v>499</v>
      </c>
      <c r="CE8" s="524" t="s">
        <v>457</v>
      </c>
    </row>
    <row r="9" spans="1:83" s="458" customFormat="1" ht="46.5" customHeight="1" thickTop="1" thickBot="1">
      <c r="A9" s="568" t="s">
        <v>424</v>
      </c>
      <c r="B9" s="569" t="s">
        <v>425</v>
      </c>
      <c r="C9" s="569" t="s">
        <v>426</v>
      </c>
      <c r="D9" s="569" t="s">
        <v>427</v>
      </c>
      <c r="E9" s="569" t="s">
        <v>3337</v>
      </c>
      <c r="F9" s="569" t="s">
        <v>502</v>
      </c>
      <c r="G9" s="570" t="s">
        <v>429</v>
      </c>
      <c r="H9" s="737" t="s">
        <v>503</v>
      </c>
      <c r="I9" s="737" t="s">
        <v>504</v>
      </c>
      <c r="J9" s="738" t="s">
        <v>505</v>
      </c>
      <c r="K9" s="737" t="s">
        <v>506</v>
      </c>
      <c r="L9" s="737" t="s">
        <v>507</v>
      </c>
      <c r="M9" s="737" t="s">
        <v>508</v>
      </c>
      <c r="N9" s="737" t="s">
        <v>3364</v>
      </c>
      <c r="O9" s="737" t="s">
        <v>1163</v>
      </c>
      <c r="P9" s="737" t="s">
        <v>3365</v>
      </c>
      <c r="Q9" s="737" t="s">
        <v>1181</v>
      </c>
      <c r="R9" s="872" t="s">
        <v>1156</v>
      </c>
      <c r="S9" s="598"/>
      <c r="T9" s="598"/>
      <c r="U9" s="602"/>
      <c r="AD9" s="67">
        <v>7</v>
      </c>
      <c r="AE9" s="496" t="s">
        <v>557</v>
      </c>
      <c r="AF9" s="496" t="s">
        <v>558</v>
      </c>
      <c r="AG9" s="496">
        <v>6945452188</v>
      </c>
      <c r="AH9" s="883" t="s">
        <v>559</v>
      </c>
      <c r="AI9" s="496" t="s">
        <v>560</v>
      </c>
      <c r="AJ9" s="496" t="s">
        <v>457</v>
      </c>
      <c r="AK9" s="496"/>
      <c r="AL9" s="886">
        <v>10</v>
      </c>
      <c r="AM9" s="886" t="s">
        <v>561</v>
      </c>
      <c r="AN9" s="886" t="s">
        <v>561</v>
      </c>
      <c r="AO9" s="886" t="s">
        <v>562</v>
      </c>
      <c r="AP9" s="886" t="s">
        <v>3222</v>
      </c>
      <c r="AQ9" s="887" t="s">
        <v>564</v>
      </c>
      <c r="AR9" s="895" t="s">
        <v>3222</v>
      </c>
      <c r="AS9" s="895" t="s">
        <v>3343</v>
      </c>
      <c r="AT9" s="946" t="s">
        <v>563</v>
      </c>
      <c r="AU9" s="946" t="s">
        <v>561</v>
      </c>
      <c r="AV9" s="946" t="s">
        <v>3222</v>
      </c>
      <c r="BD9" s="1397" t="s">
        <v>795</v>
      </c>
      <c r="BE9" s="1398"/>
      <c r="BF9" s="1398"/>
      <c r="BG9" s="1399"/>
      <c r="BH9"/>
      <c r="BI9" s="3">
        <v>6</v>
      </c>
      <c r="BJ9" s="414">
        <v>45846</v>
      </c>
      <c r="BK9" s="3" t="s">
        <v>456</v>
      </c>
      <c r="BL9" s="3" t="s">
        <v>796</v>
      </c>
      <c r="BM9" s="412" t="s">
        <v>472</v>
      </c>
      <c r="BN9" s="3">
        <v>6988403440</v>
      </c>
      <c r="BO9" s="3"/>
      <c r="BP9"/>
      <c r="BQ9"/>
      <c r="BR9" s="268">
        <v>7</v>
      </c>
      <c r="BS9" s="48" t="s">
        <v>582</v>
      </c>
      <c r="BT9" s="48" t="s">
        <v>581</v>
      </c>
      <c r="BU9" s="48">
        <v>6951734324</v>
      </c>
      <c r="BV9" s="460" t="s">
        <v>583</v>
      </c>
      <c r="BW9" s="461" t="s">
        <v>785</v>
      </c>
      <c r="BX9" s="2"/>
      <c r="BY9" s="518">
        <v>7</v>
      </c>
      <c r="BZ9" s="41" t="s">
        <v>509</v>
      </c>
      <c r="CA9" s="41" t="s">
        <v>510</v>
      </c>
      <c r="CB9" s="41" t="s">
        <v>511</v>
      </c>
      <c r="CC9" s="514" t="s">
        <v>512</v>
      </c>
      <c r="CD9" s="51" t="s">
        <v>499</v>
      </c>
      <c r="CE9" s="41" t="s">
        <v>477</v>
      </c>
    </row>
    <row r="10" spans="1:83" s="458" customFormat="1" ht="15.75" customHeight="1" thickTop="1">
      <c r="A10" s="805"/>
      <c r="B10" s="806" t="s">
        <v>516</v>
      </c>
      <c r="C10" s="806" t="s">
        <v>517</v>
      </c>
      <c r="D10" s="806" t="s">
        <v>518</v>
      </c>
      <c r="E10" s="985">
        <v>24</v>
      </c>
      <c r="F10" s="820"/>
      <c r="G10" s="807">
        <v>6971897078</v>
      </c>
      <c r="H10" s="760" t="s">
        <v>3103</v>
      </c>
      <c r="I10" s="763" t="s">
        <v>3168</v>
      </c>
      <c r="J10" s="763" t="s">
        <v>3182</v>
      </c>
      <c r="K10" s="763" t="s">
        <v>3175</v>
      </c>
      <c r="L10" s="772" t="s">
        <v>3204</v>
      </c>
      <c r="M10" s="773" t="s">
        <v>3182</v>
      </c>
      <c r="N10" s="760"/>
      <c r="O10" s="763"/>
      <c r="P10" s="763"/>
      <c r="Q10" s="763"/>
      <c r="R10" s="773"/>
      <c r="S10" s="598"/>
      <c r="T10" s="598"/>
      <c r="U10" s="602"/>
      <c r="AD10" s="67">
        <v>8</v>
      </c>
      <c r="AE10" s="496" t="s">
        <v>2763</v>
      </c>
      <c r="AF10" s="496" t="s">
        <v>2764</v>
      </c>
      <c r="AG10" s="496">
        <v>6937037501</v>
      </c>
      <c r="AH10" s="883" t="s">
        <v>2816</v>
      </c>
      <c r="AI10" s="496" t="s">
        <v>586</v>
      </c>
      <c r="AJ10" s="496" t="s">
        <v>457</v>
      </c>
      <c r="AK10" s="496"/>
      <c r="AL10" s="886"/>
      <c r="AM10" s="886"/>
      <c r="AN10" s="886"/>
      <c r="AO10" s="886"/>
      <c r="AP10" s="886"/>
      <c r="AQ10" s="887" t="s">
        <v>3304</v>
      </c>
      <c r="AR10" s="895" t="s">
        <v>615</v>
      </c>
      <c r="AS10" s="895" t="s">
        <v>550</v>
      </c>
      <c r="AT10" s="946" t="s">
        <v>580</v>
      </c>
      <c r="AU10" s="946" t="s">
        <v>542</v>
      </c>
      <c r="AV10" s="946" t="s">
        <v>615</v>
      </c>
      <c r="BD10" s="468" t="s">
        <v>373</v>
      </c>
      <c r="BE10" s="453" t="s">
        <v>779</v>
      </c>
      <c r="BF10" s="454" t="s">
        <v>58</v>
      </c>
      <c r="BG10" s="455" t="s">
        <v>792</v>
      </c>
      <c r="BH10"/>
      <c r="BI10" s="459">
        <v>7</v>
      </c>
      <c r="BJ10" s="414">
        <v>45849</v>
      </c>
      <c r="BK10" s="3" t="s">
        <v>456</v>
      </c>
      <c r="BL10" s="3" t="s">
        <v>797</v>
      </c>
      <c r="BM10" s="412" t="s">
        <v>450</v>
      </c>
      <c r="BN10" s="3">
        <v>6951957501</v>
      </c>
      <c r="BO10" s="3"/>
      <c r="BP10"/>
      <c r="BQ10"/>
      <c r="BR10" s="268">
        <v>8</v>
      </c>
      <c r="BS10" s="48" t="s">
        <v>798</v>
      </c>
      <c r="BT10" s="48" t="s">
        <v>784</v>
      </c>
      <c r="BU10" s="48">
        <v>6982211174</v>
      </c>
      <c r="BV10" s="460" t="s">
        <v>799</v>
      </c>
      <c r="BW10" s="461" t="s">
        <v>785</v>
      </c>
      <c r="BX10" s="2"/>
      <c r="BY10" s="518">
        <v>8</v>
      </c>
      <c r="BZ10" s="41" t="s">
        <v>522</v>
      </c>
      <c r="CA10" s="41" t="s">
        <v>523</v>
      </c>
      <c r="CB10" s="41">
        <v>6974120129</v>
      </c>
      <c r="CC10" s="514" t="s">
        <v>525</v>
      </c>
      <c r="CD10" s="51" t="s">
        <v>499</v>
      </c>
      <c r="CE10" s="41" t="s">
        <v>477</v>
      </c>
    </row>
    <row r="11" spans="1:83" ht="16.5" customHeight="1" thickBot="1">
      <c r="A11" s="543">
        <v>1</v>
      </c>
      <c r="B11" s="542" t="s">
        <v>516</v>
      </c>
      <c r="C11" s="3" t="s">
        <v>475</v>
      </c>
      <c r="D11" s="3" t="s">
        <v>527</v>
      </c>
      <c r="E11" s="3">
        <v>25</v>
      </c>
      <c r="F11" s="523" t="s">
        <v>528</v>
      </c>
      <c r="G11" s="544">
        <v>6976606306</v>
      </c>
      <c r="H11" s="739">
        <v>5</v>
      </c>
      <c r="I11" s="740" t="s">
        <v>462</v>
      </c>
      <c r="J11" s="740" t="s">
        <v>538</v>
      </c>
      <c r="K11" s="740">
        <v>7</v>
      </c>
      <c r="L11" s="758" t="s">
        <v>734</v>
      </c>
      <c r="M11" s="774" t="s">
        <v>473</v>
      </c>
      <c r="N11" s="761" t="s">
        <v>3419</v>
      </c>
      <c r="O11" s="765" t="s">
        <v>3571</v>
      </c>
      <c r="P11" s="765" t="s">
        <v>3541</v>
      </c>
      <c r="Q11" s="765" t="s">
        <v>3575</v>
      </c>
      <c r="R11" s="774" t="s">
        <v>3577</v>
      </c>
      <c r="U11" s="602"/>
      <c r="V11"/>
      <c r="AD11" s="67">
        <v>9</v>
      </c>
      <c r="AE11" s="496" t="s">
        <v>3231</v>
      </c>
      <c r="AF11" s="496" t="s">
        <v>3232</v>
      </c>
      <c r="AG11" s="496">
        <v>6939160280</v>
      </c>
      <c r="AH11" s="883" t="s">
        <v>3230</v>
      </c>
      <c r="AI11" s="496" t="s">
        <v>586</v>
      </c>
      <c r="AJ11" s="496" t="s">
        <v>457</v>
      </c>
      <c r="AK11" s="496"/>
      <c r="AL11" s="886"/>
      <c r="AM11" s="886"/>
      <c r="AN11" s="886"/>
      <c r="AO11" s="886"/>
      <c r="AP11" s="886"/>
      <c r="AQ11" s="887" t="s">
        <v>3321</v>
      </c>
      <c r="AR11" s="895" t="s">
        <v>3220</v>
      </c>
      <c r="AS11" s="895" t="s">
        <v>551</v>
      </c>
      <c r="AT11" s="946" t="s">
        <v>623</v>
      </c>
      <c r="AU11" s="946" t="s">
        <v>500</v>
      </c>
      <c r="AV11" s="946" t="s">
        <v>3220</v>
      </c>
      <c r="BD11" s="469">
        <f>SUM(BE3:BF6)</f>
        <v>26</v>
      </c>
      <c r="BE11" s="470">
        <f>SUM(BG3)</f>
        <v>0</v>
      </c>
      <c r="BF11" s="471">
        <v>22</v>
      </c>
      <c r="BG11" s="456">
        <f>BD11+BF11</f>
        <v>48</v>
      </c>
      <c r="BI11" s="3">
        <v>8</v>
      </c>
      <c r="BJ11" s="414">
        <v>45854</v>
      </c>
      <c r="BK11" s="3" t="s">
        <v>456</v>
      </c>
      <c r="BL11" s="3" t="s">
        <v>800</v>
      </c>
      <c r="BM11" s="412" t="s">
        <v>461</v>
      </c>
      <c r="BN11" s="3">
        <v>6993230075</v>
      </c>
      <c r="BO11" s="3"/>
      <c r="BR11" s="268">
        <v>9</v>
      </c>
      <c r="BS11" s="48" t="s">
        <v>589</v>
      </c>
      <c r="BT11" s="48" t="s">
        <v>588</v>
      </c>
      <c r="BU11" s="48">
        <v>6948541236</v>
      </c>
      <c r="BV11" s="460" t="s">
        <v>590</v>
      </c>
      <c r="BW11" s="461" t="s">
        <v>785</v>
      </c>
      <c r="BX11" s="2"/>
      <c r="BY11" s="518">
        <v>9</v>
      </c>
      <c r="BZ11" s="41" t="s">
        <v>529</v>
      </c>
      <c r="CA11" s="41" t="s">
        <v>530</v>
      </c>
      <c r="CB11" s="41">
        <v>6976147069</v>
      </c>
      <c r="CC11" s="514" t="s">
        <v>531</v>
      </c>
      <c r="CD11" s="51" t="s">
        <v>499</v>
      </c>
      <c r="CE11" s="41" t="s">
        <v>477</v>
      </c>
    </row>
    <row r="12" spans="1:83">
      <c r="A12" s="545">
        <v>2</v>
      </c>
      <c r="B12" s="542" t="s">
        <v>516</v>
      </c>
      <c r="C12" s="3" t="s">
        <v>533</v>
      </c>
      <c r="D12" s="3" t="s">
        <v>534</v>
      </c>
      <c r="E12" s="3">
        <v>26</v>
      </c>
      <c r="F12" s="523" t="s">
        <v>535</v>
      </c>
      <c r="G12" s="544">
        <v>6980272629</v>
      </c>
      <c r="H12" s="761" t="s">
        <v>650</v>
      </c>
      <c r="I12" s="765" t="s">
        <v>483</v>
      </c>
      <c r="J12" s="765" t="s">
        <v>3148</v>
      </c>
      <c r="K12" s="765" t="s">
        <v>3176</v>
      </c>
      <c r="L12" s="758" t="s">
        <v>3205</v>
      </c>
      <c r="M12" s="774" t="s">
        <v>3200</v>
      </c>
      <c r="N12" s="761" t="s">
        <v>3482</v>
      </c>
      <c r="O12" s="765" t="s">
        <v>3571</v>
      </c>
      <c r="P12" s="765" t="s">
        <v>3541</v>
      </c>
      <c r="Q12" s="765" t="s">
        <v>3583</v>
      </c>
      <c r="R12" s="774" t="s">
        <v>3597</v>
      </c>
      <c r="U12" s="602"/>
      <c r="V12"/>
      <c r="AD12" s="67">
        <v>10</v>
      </c>
      <c r="AE12" s="496" t="s">
        <v>547</v>
      </c>
      <c r="AF12" s="496" t="s">
        <v>548</v>
      </c>
      <c r="AG12" s="496">
        <v>6977586273</v>
      </c>
      <c r="AH12" s="883" t="s">
        <v>549</v>
      </c>
      <c r="AI12" s="496" t="s">
        <v>499</v>
      </c>
      <c r="AJ12" s="496" t="s">
        <v>457</v>
      </c>
      <c r="AK12" s="496"/>
      <c r="AL12" s="886">
        <v>12</v>
      </c>
      <c r="AM12" s="886" t="s">
        <v>550</v>
      </c>
      <c r="AN12" s="886" t="s">
        <v>550</v>
      </c>
      <c r="AO12" s="886" t="s">
        <v>551</v>
      </c>
      <c r="AP12" s="886" t="s">
        <v>623</v>
      </c>
      <c r="AQ12" s="887" t="s">
        <v>552</v>
      </c>
      <c r="AR12" s="893" t="s">
        <v>3348</v>
      </c>
      <c r="AS12" s="893" t="s">
        <v>3346</v>
      </c>
      <c r="AT12" s="944" t="s">
        <v>515</v>
      </c>
      <c r="AU12" s="944" t="s">
        <v>623</v>
      </c>
      <c r="AV12" s="944" t="s">
        <v>771</v>
      </c>
      <c r="BI12" s="459">
        <v>9</v>
      </c>
      <c r="BJ12" s="414">
        <v>45861</v>
      </c>
      <c r="BK12" s="3" t="s">
        <v>499</v>
      </c>
      <c r="BL12" s="3" t="s">
        <v>801</v>
      </c>
      <c r="BM12" s="412" t="s">
        <v>706</v>
      </c>
      <c r="BN12" s="3">
        <v>6976024153</v>
      </c>
      <c r="BO12" s="3"/>
      <c r="BR12" s="268">
        <v>10</v>
      </c>
      <c r="BS12" s="48" t="s">
        <v>802</v>
      </c>
      <c r="BT12" s="48" t="s">
        <v>803</v>
      </c>
      <c r="BU12" s="48">
        <v>6942409382</v>
      </c>
      <c r="BV12" s="460" t="s">
        <v>804</v>
      </c>
      <c r="BW12" s="461" t="s">
        <v>785</v>
      </c>
      <c r="BX12" s="2"/>
      <c r="BY12" s="518">
        <v>10</v>
      </c>
      <c r="BZ12" s="41" t="s">
        <v>539</v>
      </c>
      <c r="CA12" s="41" t="s">
        <v>540</v>
      </c>
      <c r="CB12" s="41">
        <v>6972089035</v>
      </c>
      <c r="CC12" s="514" t="s">
        <v>541</v>
      </c>
      <c r="CD12" s="51" t="s">
        <v>499</v>
      </c>
      <c r="CE12" s="524" t="s">
        <v>457</v>
      </c>
    </row>
    <row r="13" spans="1:83" ht="16.5" customHeight="1">
      <c r="A13" s="543">
        <v>3</v>
      </c>
      <c r="B13" s="542" t="s">
        <v>516</v>
      </c>
      <c r="C13" s="3" t="s">
        <v>544</v>
      </c>
      <c r="D13" s="3" t="s">
        <v>545</v>
      </c>
      <c r="E13" s="3">
        <v>27</v>
      </c>
      <c r="F13" s="523" t="s">
        <v>546</v>
      </c>
      <c r="G13" s="544">
        <v>6943744160</v>
      </c>
      <c r="H13" s="761" t="s">
        <v>591</v>
      </c>
      <c r="I13" s="765" t="s">
        <v>3091</v>
      </c>
      <c r="J13" s="740" t="s">
        <v>538</v>
      </c>
      <c r="K13" s="765" t="s">
        <v>3092</v>
      </c>
      <c r="L13" s="433" t="s">
        <v>3206</v>
      </c>
      <c r="M13" s="774" t="s">
        <v>538</v>
      </c>
      <c r="N13" s="761" t="s">
        <v>3397</v>
      </c>
      <c r="O13" s="859" t="s">
        <v>3386</v>
      </c>
      <c r="P13" s="859" t="s">
        <v>500</v>
      </c>
      <c r="Q13" s="859" t="s">
        <v>562</v>
      </c>
      <c r="R13" s="741" t="s">
        <v>3412</v>
      </c>
      <c r="U13" s="602"/>
      <c r="V13"/>
      <c r="AD13" s="898">
        <v>11</v>
      </c>
      <c r="AE13" s="888" t="s">
        <v>619</v>
      </c>
      <c r="AF13" s="888" t="s">
        <v>620</v>
      </c>
      <c r="AG13" s="888">
        <v>6983756076</v>
      </c>
      <c r="AH13" s="889" t="s">
        <v>621</v>
      </c>
      <c r="AI13" s="888" t="s">
        <v>622</v>
      </c>
      <c r="AJ13" s="888" t="s">
        <v>477</v>
      </c>
      <c r="AK13" s="888"/>
      <c r="AL13" s="890">
        <v>4</v>
      </c>
      <c r="AM13" s="890" t="s">
        <v>580</v>
      </c>
      <c r="AN13" s="890" t="s">
        <v>580</v>
      </c>
      <c r="AO13" s="890" t="s">
        <v>623</v>
      </c>
      <c r="AP13" s="890" t="s">
        <v>615</v>
      </c>
      <c r="AQ13" s="891" t="s">
        <v>624</v>
      </c>
      <c r="AR13" s="896" t="s">
        <v>623</v>
      </c>
      <c r="AS13" s="896" t="s">
        <v>623</v>
      </c>
      <c r="AT13" s="947" t="s">
        <v>3495</v>
      </c>
      <c r="AU13" s="947" t="s">
        <v>580</v>
      </c>
      <c r="AV13" s="947" t="s">
        <v>3495</v>
      </c>
      <c r="BI13" s="3">
        <v>10</v>
      </c>
      <c r="BJ13" s="414">
        <v>45861</v>
      </c>
      <c r="BK13" s="3" t="s">
        <v>499</v>
      </c>
      <c r="BL13" s="3" t="s">
        <v>805</v>
      </c>
      <c r="BM13" s="412" t="s">
        <v>703</v>
      </c>
      <c r="BN13" s="3">
        <v>6949909988</v>
      </c>
      <c r="BO13" s="3"/>
      <c r="BR13" s="268">
        <v>11</v>
      </c>
      <c r="BS13" s="48" t="s">
        <v>609</v>
      </c>
      <c r="BT13" s="48" t="s">
        <v>608</v>
      </c>
      <c r="BU13" s="48">
        <v>6986697472</v>
      </c>
      <c r="BV13" s="460" t="s">
        <v>610</v>
      </c>
      <c r="BW13" s="461" t="s">
        <v>785</v>
      </c>
      <c r="BX13" s="2"/>
      <c r="BY13" s="518">
        <v>11</v>
      </c>
      <c r="BZ13" s="41" t="s">
        <v>806</v>
      </c>
      <c r="CA13" s="41" t="s">
        <v>548</v>
      </c>
      <c r="CB13" s="41">
        <v>6977586273</v>
      </c>
      <c r="CC13" s="514" t="s">
        <v>549</v>
      </c>
      <c r="CD13" s="51" t="s">
        <v>499</v>
      </c>
      <c r="CE13" s="524" t="s">
        <v>457</v>
      </c>
    </row>
    <row r="14" spans="1:83">
      <c r="A14" s="545">
        <v>4</v>
      </c>
      <c r="B14" s="542" t="s">
        <v>516</v>
      </c>
      <c r="C14" s="3" t="s">
        <v>553</v>
      </c>
      <c r="D14" s="3" t="s">
        <v>554</v>
      </c>
      <c r="E14" s="3">
        <v>28</v>
      </c>
      <c r="F14" s="523" t="s">
        <v>555</v>
      </c>
      <c r="G14" s="544">
        <v>6931835451</v>
      </c>
      <c r="H14" s="739" t="s">
        <v>462</v>
      </c>
      <c r="I14" s="740" t="s">
        <v>679</v>
      </c>
      <c r="J14" s="740" t="s">
        <v>3108</v>
      </c>
      <c r="K14" s="740" t="s">
        <v>536</v>
      </c>
      <c r="L14" s="433" t="s">
        <v>3158</v>
      </c>
      <c r="M14" s="774" t="s">
        <v>538</v>
      </c>
      <c r="N14" s="858" t="s">
        <v>3389</v>
      </c>
      <c r="O14" s="859" t="s">
        <v>3401</v>
      </c>
      <c r="P14" s="859" t="s">
        <v>3401</v>
      </c>
      <c r="Q14" s="765" t="s">
        <v>3484</v>
      </c>
      <c r="R14" s="741" t="s">
        <v>3568</v>
      </c>
      <c r="U14" s="602"/>
      <c r="V14"/>
      <c r="AD14" s="898">
        <v>12</v>
      </c>
      <c r="AE14" s="888" t="s">
        <v>509</v>
      </c>
      <c r="AF14" s="888" t="s">
        <v>510</v>
      </c>
      <c r="AG14" s="888" t="s">
        <v>511</v>
      </c>
      <c r="AH14" s="889" t="s">
        <v>512</v>
      </c>
      <c r="AI14" s="888" t="s">
        <v>499</v>
      </c>
      <c r="AJ14" s="888" t="s">
        <v>477</v>
      </c>
      <c r="AK14" s="888"/>
      <c r="AL14" s="890">
        <v>21</v>
      </c>
      <c r="AM14" s="890" t="s">
        <v>514</v>
      </c>
      <c r="AN14" s="890" t="s">
        <v>513</v>
      </c>
      <c r="AO14" s="890" t="s">
        <v>514</v>
      </c>
      <c r="AP14" s="890" t="s">
        <v>515</v>
      </c>
      <c r="AQ14" s="891" t="s">
        <v>469</v>
      </c>
      <c r="AR14" s="896" t="s">
        <v>3221</v>
      </c>
      <c r="AS14" s="896" t="s">
        <v>514</v>
      </c>
      <c r="AT14" s="947" t="s">
        <v>515</v>
      </c>
      <c r="AU14" s="947" t="s">
        <v>3221</v>
      </c>
      <c r="AV14" s="947" t="s">
        <v>771</v>
      </c>
      <c r="BI14" s="459">
        <v>11</v>
      </c>
      <c r="BJ14" s="414">
        <v>45863</v>
      </c>
      <c r="BK14" s="3" t="s">
        <v>578</v>
      </c>
      <c r="BL14" s="3" t="s">
        <v>807</v>
      </c>
      <c r="BM14" s="412" t="s">
        <v>764</v>
      </c>
      <c r="BN14" s="3">
        <v>6947244770</v>
      </c>
      <c r="BO14" s="3"/>
      <c r="BR14" s="268">
        <v>12</v>
      </c>
      <c r="BS14" s="48" t="s">
        <v>617</v>
      </c>
      <c r="BT14" s="48" t="s">
        <v>616</v>
      </c>
      <c r="BU14" s="48">
        <v>6934552542</v>
      </c>
      <c r="BV14" s="460" t="s">
        <v>618</v>
      </c>
      <c r="BW14" s="461" t="s">
        <v>785</v>
      </c>
      <c r="BX14" s="2"/>
      <c r="BY14" s="74">
        <v>12</v>
      </c>
      <c r="BZ14" s="20" t="s">
        <v>808</v>
      </c>
      <c r="CA14" s="20" t="s">
        <v>809</v>
      </c>
      <c r="CB14" s="20">
        <v>6972636648</v>
      </c>
      <c r="CC14" s="39"/>
      <c r="CD14" s="529" t="s">
        <v>499</v>
      </c>
      <c r="CE14" s="530" t="s">
        <v>457</v>
      </c>
    </row>
    <row r="15" spans="1:83" ht="15.75" customHeight="1">
      <c r="A15" s="543">
        <v>5</v>
      </c>
      <c r="B15" s="542" t="s">
        <v>516</v>
      </c>
      <c r="C15" s="3" t="s">
        <v>475</v>
      </c>
      <c r="D15" s="3" t="s">
        <v>565</v>
      </c>
      <c r="E15" s="3">
        <v>29</v>
      </c>
      <c r="F15" s="523" t="s">
        <v>566</v>
      </c>
      <c r="G15" s="544">
        <v>6946443770</v>
      </c>
      <c r="H15" s="761" t="s">
        <v>520</v>
      </c>
      <c r="I15" s="765" t="s">
        <v>651</v>
      </c>
      <c r="J15" s="765" t="s">
        <v>3148</v>
      </c>
      <c r="K15" s="765" t="s">
        <v>3101</v>
      </c>
      <c r="L15" s="758" t="s">
        <v>3195</v>
      </c>
      <c r="M15" s="774" t="s">
        <v>3201</v>
      </c>
      <c r="N15" s="761" t="s">
        <v>3572</v>
      </c>
      <c r="O15" s="765" t="s">
        <v>3573</v>
      </c>
      <c r="P15" s="765" t="s">
        <v>3559</v>
      </c>
      <c r="Q15" s="765" t="s">
        <v>3584</v>
      </c>
      <c r="R15" s="774" t="s">
        <v>3598</v>
      </c>
      <c r="U15" s="602"/>
      <c r="V15"/>
      <c r="AD15" s="898">
        <v>13</v>
      </c>
      <c r="AE15" s="888" t="s">
        <v>522</v>
      </c>
      <c r="AF15" s="888" t="s">
        <v>523</v>
      </c>
      <c r="AG15" s="888" t="s">
        <v>524</v>
      </c>
      <c r="AH15" s="889" t="s">
        <v>525</v>
      </c>
      <c r="AI15" s="888" t="s">
        <v>499</v>
      </c>
      <c r="AJ15" s="888" t="s">
        <v>477</v>
      </c>
      <c r="AK15" s="888"/>
      <c r="AL15" s="890">
        <v>21</v>
      </c>
      <c r="AM15" s="890" t="s">
        <v>513</v>
      </c>
      <c r="AN15" s="890" t="s">
        <v>514</v>
      </c>
      <c r="AO15" s="890" t="s">
        <v>514</v>
      </c>
      <c r="AP15" s="890" t="s">
        <v>3221</v>
      </c>
      <c r="AQ15" s="891" t="s">
        <v>526</v>
      </c>
      <c r="AR15" s="896" t="s">
        <v>514</v>
      </c>
      <c r="AS15" s="896" t="s">
        <v>3444</v>
      </c>
      <c r="AT15" s="947" t="s">
        <v>513</v>
      </c>
      <c r="AU15" s="947" t="s">
        <v>3221</v>
      </c>
      <c r="AV15" s="947" t="s">
        <v>771</v>
      </c>
      <c r="BI15" s="3">
        <v>12</v>
      </c>
      <c r="BJ15" s="414">
        <v>45869</v>
      </c>
      <c r="BK15" s="3" t="s">
        <v>578</v>
      </c>
      <c r="BL15" s="3" t="s">
        <v>810</v>
      </c>
      <c r="BM15" s="412" t="s">
        <v>775</v>
      </c>
      <c r="BN15" s="3">
        <v>6947290911</v>
      </c>
      <c r="BO15" s="3"/>
      <c r="BR15" s="268">
        <v>13</v>
      </c>
      <c r="BS15" s="48" t="s">
        <v>729</v>
      </c>
      <c r="BT15" s="48" t="s">
        <v>470</v>
      </c>
      <c r="BU15" s="48">
        <v>6986405541</v>
      </c>
      <c r="BV15" s="460" t="s">
        <v>730</v>
      </c>
      <c r="BW15" s="461" t="s">
        <v>811</v>
      </c>
      <c r="BX15" s="2"/>
      <c r="BY15" s="518">
        <v>13</v>
      </c>
      <c r="BZ15" s="41" t="s">
        <v>557</v>
      </c>
      <c r="CA15" s="41" t="s">
        <v>558</v>
      </c>
      <c r="CB15" s="41">
        <v>6945452188</v>
      </c>
      <c r="CC15" s="514" t="s">
        <v>559</v>
      </c>
      <c r="CD15" s="51" t="s">
        <v>560</v>
      </c>
      <c r="CE15" s="524" t="s">
        <v>457</v>
      </c>
    </row>
    <row r="16" spans="1:83" ht="15.75" customHeight="1">
      <c r="A16" s="545">
        <v>6</v>
      </c>
      <c r="B16" s="542" t="s">
        <v>516</v>
      </c>
      <c r="C16" s="3" t="s">
        <v>573</v>
      </c>
      <c r="D16" s="3" t="s">
        <v>3088</v>
      </c>
      <c r="E16" s="3">
        <v>87</v>
      </c>
      <c r="F16" s="523" t="s">
        <v>574</v>
      </c>
      <c r="G16" s="544">
        <v>6947489270</v>
      </c>
      <c r="H16" s="739" t="s">
        <v>462</v>
      </c>
      <c r="I16" s="740" t="s">
        <v>482</v>
      </c>
      <c r="J16" s="740" t="s">
        <v>485</v>
      </c>
      <c r="K16" s="740" t="s">
        <v>536</v>
      </c>
      <c r="L16" s="433">
        <v>11</v>
      </c>
      <c r="M16" s="741" t="s">
        <v>465</v>
      </c>
      <c r="N16" s="858" t="s">
        <v>3389</v>
      </c>
      <c r="O16" s="859" t="s">
        <v>3553</v>
      </c>
      <c r="P16" s="859" t="s">
        <v>3384</v>
      </c>
      <c r="Q16" s="765" t="s">
        <v>3484</v>
      </c>
      <c r="R16" s="741" t="s">
        <v>3436</v>
      </c>
      <c r="U16" s="602"/>
      <c r="V16"/>
      <c r="AD16" s="898">
        <v>14</v>
      </c>
      <c r="AE16" s="888" t="s">
        <v>486</v>
      </c>
      <c r="AF16" s="888" t="s">
        <v>475</v>
      </c>
      <c r="AG16" s="888">
        <v>6955951660</v>
      </c>
      <c r="AH16" s="889" t="s">
        <v>487</v>
      </c>
      <c r="AI16" s="888" t="s">
        <v>456</v>
      </c>
      <c r="AJ16" s="888" t="s">
        <v>477</v>
      </c>
      <c r="AK16" s="888"/>
      <c r="AL16" s="890">
        <v>27</v>
      </c>
      <c r="AM16" s="890">
        <v>36</v>
      </c>
      <c r="AN16" s="890">
        <v>33</v>
      </c>
      <c r="AO16" s="890">
        <v>30</v>
      </c>
      <c r="AP16" s="890" t="s">
        <v>3221</v>
      </c>
      <c r="AQ16" s="891" t="s">
        <v>488</v>
      </c>
      <c r="AR16" s="896" t="s">
        <v>563</v>
      </c>
      <c r="AS16" s="896" t="s">
        <v>3446</v>
      </c>
      <c r="AT16" s="947" t="s">
        <v>3496</v>
      </c>
      <c r="AU16" s="947" t="s">
        <v>561</v>
      </c>
      <c r="AV16" s="947" t="s">
        <v>542</v>
      </c>
      <c r="BI16" s="459">
        <v>13</v>
      </c>
      <c r="BJ16" s="414">
        <v>45873</v>
      </c>
      <c r="BK16" s="3" t="s">
        <v>578</v>
      </c>
      <c r="BL16" s="3" t="s">
        <v>812</v>
      </c>
      <c r="BM16" s="412" t="s">
        <v>813</v>
      </c>
      <c r="BN16" s="3">
        <v>6940054319</v>
      </c>
      <c r="BO16" s="3"/>
      <c r="BR16" s="268">
        <v>14</v>
      </c>
      <c r="BS16" s="48" t="s">
        <v>735</v>
      </c>
      <c r="BT16" s="48" t="s">
        <v>544</v>
      </c>
      <c r="BU16" s="48">
        <v>6985725551</v>
      </c>
      <c r="BV16" s="460" t="s">
        <v>736</v>
      </c>
      <c r="BW16" s="461" t="s">
        <v>811</v>
      </c>
      <c r="BX16" s="2"/>
      <c r="BY16" s="518">
        <v>14</v>
      </c>
      <c r="BZ16" s="41" t="s">
        <v>568</v>
      </c>
      <c r="CA16" s="41" t="s">
        <v>569</v>
      </c>
      <c r="CB16" s="41">
        <v>6984501017</v>
      </c>
      <c r="CC16" s="514" t="s">
        <v>570</v>
      </c>
      <c r="CD16" s="51" t="s">
        <v>560</v>
      </c>
      <c r="CE16" s="524" t="s">
        <v>457</v>
      </c>
    </row>
    <row r="17" spans="1:83">
      <c r="A17" s="545">
        <v>7</v>
      </c>
      <c r="B17" s="542" t="s">
        <v>516</v>
      </c>
      <c r="C17" s="3" t="s">
        <v>581</v>
      </c>
      <c r="D17" s="3" t="s">
        <v>582</v>
      </c>
      <c r="E17" s="3">
        <v>30</v>
      </c>
      <c r="F17" s="523" t="s">
        <v>583</v>
      </c>
      <c r="G17" s="544">
        <v>6951734324</v>
      </c>
      <c r="H17" s="761" t="s">
        <v>483</v>
      </c>
      <c r="I17" s="740" t="s">
        <v>482</v>
      </c>
      <c r="J17" s="740">
        <v>9</v>
      </c>
      <c r="K17" s="765" t="s">
        <v>644</v>
      </c>
      <c r="L17" s="433" t="s">
        <v>537</v>
      </c>
      <c r="M17" s="741" t="s">
        <v>3108</v>
      </c>
      <c r="N17" s="858" t="s">
        <v>3397</v>
      </c>
      <c r="O17" s="765" t="s">
        <v>3421</v>
      </c>
      <c r="P17" s="859" t="s">
        <v>500</v>
      </c>
      <c r="Q17" s="859" t="s">
        <v>3412</v>
      </c>
      <c r="R17" s="774" t="s">
        <v>3577</v>
      </c>
      <c r="U17" s="602"/>
      <c r="V17"/>
      <c r="AD17" s="898">
        <v>15</v>
      </c>
      <c r="AE17" s="888" t="s">
        <v>3235</v>
      </c>
      <c r="AF17" s="888" t="s">
        <v>3236</v>
      </c>
      <c r="AG17" s="888">
        <v>6979641896</v>
      </c>
      <c r="AH17" s="889" t="s">
        <v>3237</v>
      </c>
      <c r="AI17" s="888" t="s">
        <v>456</v>
      </c>
      <c r="AJ17" s="888" t="s">
        <v>477</v>
      </c>
      <c r="AK17" s="888"/>
      <c r="AL17" s="890"/>
      <c r="AM17" s="890"/>
      <c r="AN17" s="890"/>
      <c r="AO17" s="890"/>
      <c r="AP17" s="890"/>
      <c r="AQ17" s="891" t="s">
        <v>488</v>
      </c>
      <c r="AR17" s="896" t="s">
        <v>615</v>
      </c>
      <c r="AS17" s="896" t="s">
        <v>561</v>
      </c>
      <c r="AT17" s="947" t="s">
        <v>580</v>
      </c>
      <c r="AU17" s="947" t="s">
        <v>542</v>
      </c>
      <c r="AV17" s="947" t="s">
        <v>580</v>
      </c>
      <c r="BI17" s="3">
        <v>14</v>
      </c>
      <c r="BJ17" s="414">
        <v>45875</v>
      </c>
      <c r="BK17" s="3" t="s">
        <v>814</v>
      </c>
      <c r="BL17" s="3" t="s">
        <v>815</v>
      </c>
      <c r="BM17" s="412" t="s">
        <v>750</v>
      </c>
      <c r="BN17" s="3">
        <v>6943445469</v>
      </c>
      <c r="BO17" s="3"/>
      <c r="BR17" s="268">
        <v>15</v>
      </c>
      <c r="BS17" s="48" t="s">
        <v>738</v>
      </c>
      <c r="BT17" s="48" t="s">
        <v>737</v>
      </c>
      <c r="BU17" s="48">
        <v>6946868881</v>
      </c>
      <c r="BV17" s="460" t="s">
        <v>739</v>
      </c>
      <c r="BW17" s="461" t="s">
        <v>811</v>
      </c>
      <c r="BX17" s="2"/>
      <c r="BY17" s="518">
        <v>15</v>
      </c>
      <c r="BZ17" s="41" t="s">
        <v>575</v>
      </c>
      <c r="CA17" s="41" t="s">
        <v>576</v>
      </c>
      <c r="CB17" s="41">
        <v>6955515575</v>
      </c>
      <c r="CC17" s="514" t="s">
        <v>577</v>
      </c>
      <c r="CD17" s="51" t="s">
        <v>578</v>
      </c>
      <c r="CE17" s="524" t="s">
        <v>457</v>
      </c>
    </row>
    <row r="18" spans="1:83" ht="16.5" customHeight="1">
      <c r="A18" s="827"/>
      <c r="B18" s="828" t="s">
        <v>516</v>
      </c>
      <c r="C18" s="366" t="s">
        <v>784</v>
      </c>
      <c r="D18" s="366" t="s">
        <v>798</v>
      </c>
      <c r="E18" s="366">
        <v>32</v>
      </c>
      <c r="F18" s="821"/>
      <c r="G18" s="366">
        <v>6982211174</v>
      </c>
      <c r="H18" s="761"/>
      <c r="I18" s="740"/>
      <c r="J18" s="740"/>
      <c r="K18" s="765"/>
      <c r="L18" s="433"/>
      <c r="M18" s="741"/>
      <c r="N18" s="761"/>
      <c r="O18" s="765"/>
      <c r="P18" s="765"/>
      <c r="Q18" s="765"/>
      <c r="R18" s="774"/>
      <c r="U18" s="602"/>
      <c r="V18"/>
      <c r="AD18" s="898">
        <v>16</v>
      </c>
      <c r="AE18" s="888" t="s">
        <v>3233</v>
      </c>
      <c r="AF18" s="888" t="s">
        <v>553</v>
      </c>
      <c r="AG18" s="888">
        <v>6989676442</v>
      </c>
      <c r="AH18" s="889" t="s">
        <v>3234</v>
      </c>
      <c r="AI18" s="888" t="s">
        <v>606</v>
      </c>
      <c r="AJ18" s="888" t="s">
        <v>477</v>
      </c>
      <c r="AK18" s="888"/>
      <c r="AL18" s="890"/>
      <c r="AM18" s="890"/>
      <c r="AN18" s="890"/>
      <c r="AO18" s="890"/>
      <c r="AP18" s="890"/>
      <c r="AQ18" s="891" t="s">
        <v>3322</v>
      </c>
      <c r="AR18" s="896" t="s">
        <v>3500</v>
      </c>
      <c r="AS18" s="896" t="s">
        <v>561</v>
      </c>
      <c r="AT18" s="947" t="s">
        <v>580</v>
      </c>
      <c r="AU18" s="947" t="s">
        <v>500</v>
      </c>
      <c r="AV18" s="947" t="s">
        <v>3495</v>
      </c>
      <c r="BI18" s="459">
        <v>15</v>
      </c>
      <c r="BJ18" s="3" t="s">
        <v>816</v>
      </c>
      <c r="BK18" s="3" t="s">
        <v>817</v>
      </c>
      <c r="BL18" s="3" t="s">
        <v>818</v>
      </c>
      <c r="BM18" s="412" t="s">
        <v>602</v>
      </c>
      <c r="BN18" s="3">
        <v>6986849556</v>
      </c>
      <c r="BO18" s="3"/>
      <c r="BR18" s="268">
        <v>16</v>
      </c>
      <c r="BS18" s="48" t="s">
        <v>741</v>
      </c>
      <c r="BT18" s="48" t="s">
        <v>740</v>
      </c>
      <c r="BU18" s="48">
        <v>6944098848</v>
      </c>
      <c r="BV18" s="460" t="s">
        <v>742</v>
      </c>
      <c r="BW18" s="461" t="s">
        <v>811</v>
      </c>
      <c r="BX18" s="2"/>
      <c r="BY18" s="518">
        <v>16</v>
      </c>
      <c r="BZ18" s="41" t="s">
        <v>584</v>
      </c>
      <c r="CA18" s="41" t="s">
        <v>544</v>
      </c>
      <c r="CB18" s="41">
        <v>6955641311</v>
      </c>
      <c r="CC18" s="514" t="s">
        <v>585</v>
      </c>
      <c r="CD18" s="51" t="s">
        <v>586</v>
      </c>
      <c r="CE18" s="524" t="s">
        <v>457</v>
      </c>
    </row>
    <row r="19" spans="1:83">
      <c r="A19" s="827"/>
      <c r="B19" s="828" t="s">
        <v>516</v>
      </c>
      <c r="C19" s="366" t="s">
        <v>588</v>
      </c>
      <c r="D19" s="366" t="s">
        <v>589</v>
      </c>
      <c r="E19" s="366">
        <v>33</v>
      </c>
      <c r="F19" s="821"/>
      <c r="G19" s="829">
        <v>6944726998</v>
      </c>
      <c r="H19" s="761" t="s">
        <v>3096</v>
      </c>
      <c r="I19" s="765" t="s">
        <v>3136</v>
      </c>
      <c r="J19" s="765" t="s">
        <v>3183</v>
      </c>
      <c r="K19" s="765" t="s">
        <v>3141</v>
      </c>
      <c r="L19" s="758" t="s">
        <v>3207</v>
      </c>
      <c r="M19" s="774" t="s">
        <v>3202</v>
      </c>
      <c r="N19" s="761"/>
      <c r="O19" s="765"/>
      <c r="P19" s="765"/>
      <c r="Q19" s="765"/>
      <c r="R19" s="774"/>
      <c r="U19" s="602"/>
      <c r="V19"/>
      <c r="AD19" s="898">
        <v>17</v>
      </c>
      <c r="AE19" s="888" t="s">
        <v>611</v>
      </c>
      <c r="AF19" s="888" t="s">
        <v>612</v>
      </c>
      <c r="AG19" s="888">
        <v>6946047218</v>
      </c>
      <c r="AH19" s="889" t="s">
        <v>613</v>
      </c>
      <c r="AI19" s="888" t="s">
        <v>614</v>
      </c>
      <c r="AJ19" s="888" t="s">
        <v>477</v>
      </c>
      <c r="AK19" s="888" t="s">
        <v>3300</v>
      </c>
      <c r="AL19" s="890">
        <v>10</v>
      </c>
      <c r="AM19" s="890" t="s">
        <v>542</v>
      </c>
      <c r="AN19" s="890" t="s">
        <v>515</v>
      </c>
      <c r="AO19" s="890" t="s">
        <v>515</v>
      </c>
      <c r="AP19" s="890" t="s">
        <v>615</v>
      </c>
      <c r="AQ19" s="891" t="s">
        <v>469</v>
      </c>
      <c r="AR19" s="896" t="s">
        <v>563</v>
      </c>
      <c r="AS19" s="896" t="s">
        <v>551</v>
      </c>
      <c r="AT19" s="947" t="s">
        <v>563</v>
      </c>
      <c r="AU19" s="947" t="s">
        <v>563</v>
      </c>
      <c r="AV19" s="947" t="s">
        <v>771</v>
      </c>
      <c r="BI19" s="537"/>
      <c r="BJ19" s="84">
        <v>45877</v>
      </c>
      <c r="BK19" s="368"/>
      <c r="BL19" s="368" t="s">
        <v>819</v>
      </c>
      <c r="BM19" s="528"/>
      <c r="BN19" s="368">
        <v>6980703323</v>
      </c>
      <c r="BO19" s="3"/>
      <c r="BR19" s="268">
        <v>17</v>
      </c>
      <c r="BS19" s="48" t="s">
        <v>744</v>
      </c>
      <c r="BT19" s="48" t="s">
        <v>743</v>
      </c>
      <c r="BU19" s="48">
        <v>6993928303</v>
      </c>
      <c r="BV19" s="460" t="s">
        <v>745</v>
      </c>
      <c r="BW19" s="461" t="s">
        <v>811</v>
      </c>
      <c r="BX19" s="2"/>
      <c r="BY19" s="518">
        <v>17</v>
      </c>
      <c r="BZ19" s="41" t="s">
        <v>592</v>
      </c>
      <c r="CA19" s="41" t="s">
        <v>593</v>
      </c>
      <c r="CB19" s="41">
        <v>6948486899</v>
      </c>
      <c r="CC19" s="514" t="s">
        <v>594</v>
      </c>
      <c r="CD19" s="51" t="s">
        <v>586</v>
      </c>
      <c r="CE19" s="524" t="s">
        <v>457</v>
      </c>
    </row>
    <row r="20" spans="1:83" ht="17.25" customHeight="1">
      <c r="A20" s="545">
        <v>8</v>
      </c>
      <c r="B20" s="542" t="s">
        <v>516</v>
      </c>
      <c r="C20" s="3" t="s">
        <v>600</v>
      </c>
      <c r="D20" s="3" t="s">
        <v>601</v>
      </c>
      <c r="E20" s="3">
        <v>61</v>
      </c>
      <c r="F20" s="523" t="s">
        <v>602</v>
      </c>
      <c r="G20" s="544">
        <v>6986849556</v>
      </c>
      <c r="H20" s="739" t="s">
        <v>462</v>
      </c>
      <c r="I20" s="765" t="s">
        <v>483</v>
      </c>
      <c r="J20" s="765" t="s">
        <v>3107</v>
      </c>
      <c r="K20" s="740" t="s">
        <v>536</v>
      </c>
      <c r="L20" s="758" t="s">
        <v>3159</v>
      </c>
      <c r="M20" s="774" t="s">
        <v>538</v>
      </c>
      <c r="N20" s="858" t="s">
        <v>2524</v>
      </c>
      <c r="O20" s="859" t="s">
        <v>3384</v>
      </c>
      <c r="P20" s="859" t="s">
        <v>500</v>
      </c>
      <c r="Q20" s="859" t="s">
        <v>3383</v>
      </c>
      <c r="R20" s="741" t="s">
        <v>3578</v>
      </c>
      <c r="U20" s="602"/>
      <c r="V20"/>
      <c r="AD20" s="898">
        <v>18</v>
      </c>
      <c r="AE20" s="888" t="s">
        <v>474</v>
      </c>
      <c r="AF20" s="888" t="s">
        <v>475</v>
      </c>
      <c r="AG20" s="888">
        <v>6973739823</v>
      </c>
      <c r="AH20" s="889" t="s">
        <v>476</v>
      </c>
      <c r="AI20" s="888" t="s">
        <v>456</v>
      </c>
      <c r="AJ20" s="888" t="s">
        <v>477</v>
      </c>
      <c r="AK20" s="888"/>
      <c r="AL20" s="890">
        <v>18</v>
      </c>
      <c r="AM20" s="890">
        <v>24</v>
      </c>
      <c r="AN20" s="890">
        <v>18</v>
      </c>
      <c r="AO20" s="890">
        <v>18</v>
      </c>
      <c r="AP20" s="890" t="s">
        <v>3220</v>
      </c>
      <c r="AQ20" s="891" t="s">
        <v>478</v>
      </c>
      <c r="AR20" s="896" t="s">
        <v>551</v>
      </c>
      <c r="AS20" s="896" t="s">
        <v>3343</v>
      </c>
      <c r="AT20" s="947" t="s">
        <v>515</v>
      </c>
      <c r="AU20" s="947" t="s">
        <v>3344</v>
      </c>
      <c r="AV20" s="947" t="s">
        <v>515</v>
      </c>
      <c r="BI20" s="3">
        <v>16</v>
      </c>
      <c r="BJ20" s="414">
        <v>45880</v>
      </c>
      <c r="BK20" s="3" t="s">
        <v>560</v>
      </c>
      <c r="BL20" s="3" t="s">
        <v>820</v>
      </c>
      <c r="BM20" s="412" t="s">
        <v>658</v>
      </c>
      <c r="BN20" s="3">
        <v>6979541207</v>
      </c>
      <c r="BO20" s="3"/>
      <c r="BR20" s="268">
        <v>18</v>
      </c>
      <c r="BS20" s="48" t="s">
        <v>672</v>
      </c>
      <c r="BT20" s="48" t="s">
        <v>544</v>
      </c>
      <c r="BU20" s="48">
        <v>6947841222</v>
      </c>
      <c r="BV20" s="460" t="s">
        <v>673</v>
      </c>
      <c r="BW20" s="51" t="s">
        <v>821</v>
      </c>
      <c r="BX20" s="3"/>
      <c r="BY20" s="518">
        <v>18</v>
      </c>
      <c r="BZ20" s="41" t="s">
        <v>603</v>
      </c>
      <c r="CA20" s="41" t="s">
        <v>604</v>
      </c>
      <c r="CB20" s="41">
        <v>6998108632</v>
      </c>
      <c r="CC20" s="514" t="s">
        <v>605</v>
      </c>
      <c r="CD20" s="51" t="s">
        <v>606</v>
      </c>
      <c r="CE20" s="524" t="s">
        <v>457</v>
      </c>
    </row>
    <row r="21" spans="1:83" ht="17.25" customHeight="1">
      <c r="A21" s="827"/>
      <c r="B21" s="828" t="s">
        <v>516</v>
      </c>
      <c r="C21" s="366" t="s">
        <v>803</v>
      </c>
      <c r="D21" s="366" t="s">
        <v>802</v>
      </c>
      <c r="E21" s="366">
        <v>34</v>
      </c>
      <c r="F21" s="821"/>
      <c r="G21" s="829">
        <v>6942409382</v>
      </c>
      <c r="H21" s="739"/>
      <c r="I21" s="765"/>
      <c r="J21" s="765"/>
      <c r="K21" s="740"/>
      <c r="L21" s="758"/>
      <c r="M21" s="774"/>
      <c r="N21" s="761"/>
      <c r="O21" s="765"/>
      <c r="P21" s="765"/>
      <c r="Q21" s="765"/>
      <c r="R21" s="774"/>
      <c r="U21" s="602"/>
      <c r="V21"/>
      <c r="AD21" s="898">
        <v>19</v>
      </c>
      <c r="AE21" s="888" t="s">
        <v>3238</v>
      </c>
      <c r="AF21" s="888" t="s">
        <v>2448</v>
      </c>
      <c r="AG21" s="888">
        <v>6936771591</v>
      </c>
      <c r="AH21" s="889" t="s">
        <v>3239</v>
      </c>
      <c r="AI21" s="888" t="s">
        <v>456</v>
      </c>
      <c r="AJ21" s="888" t="s">
        <v>477</v>
      </c>
      <c r="AK21" s="888"/>
      <c r="AL21" s="890"/>
      <c r="AM21" s="890"/>
      <c r="AN21" s="890"/>
      <c r="AO21" s="890"/>
      <c r="AP21" s="890"/>
      <c r="AQ21" s="891" t="s">
        <v>3311</v>
      </c>
      <c r="AR21" s="896" t="s">
        <v>580</v>
      </c>
      <c r="AS21" s="896" t="s">
        <v>561</v>
      </c>
      <c r="AT21" s="947" t="s">
        <v>580</v>
      </c>
      <c r="AU21" s="947" t="s">
        <v>542</v>
      </c>
      <c r="AV21" s="947" t="s">
        <v>623</v>
      </c>
      <c r="BI21" s="368"/>
      <c r="BJ21" s="84">
        <v>45887</v>
      </c>
      <c r="BK21" s="368"/>
      <c r="BL21" s="368" t="s">
        <v>822</v>
      </c>
      <c r="BM21" s="528"/>
      <c r="BN21" s="368">
        <v>6986731974</v>
      </c>
      <c r="BO21" s="3"/>
      <c r="BR21" s="268">
        <v>19</v>
      </c>
      <c r="BS21" s="48" t="s">
        <v>674</v>
      </c>
      <c r="BT21" s="48" t="s">
        <v>544</v>
      </c>
      <c r="BU21" s="48">
        <v>6937357077</v>
      </c>
      <c r="BV21" s="460" t="s">
        <v>675</v>
      </c>
      <c r="BW21" s="51" t="s">
        <v>821</v>
      </c>
      <c r="BX21" s="3"/>
      <c r="BY21" s="518">
        <v>19</v>
      </c>
      <c r="BZ21" s="519" t="s">
        <v>611</v>
      </c>
      <c r="CA21" s="519" t="s">
        <v>612</v>
      </c>
      <c r="CB21" s="519">
        <v>6946047218</v>
      </c>
      <c r="CC21" s="520" t="s">
        <v>613</v>
      </c>
      <c r="CD21" s="521" t="s">
        <v>614</v>
      </c>
      <c r="CE21" s="41" t="s">
        <v>477</v>
      </c>
    </row>
    <row r="22" spans="1:83">
      <c r="A22" s="543">
        <v>9</v>
      </c>
      <c r="B22" s="542" t="s">
        <v>516</v>
      </c>
      <c r="C22" s="3" t="s">
        <v>608</v>
      </c>
      <c r="D22" s="3" t="s">
        <v>609</v>
      </c>
      <c r="E22" s="3">
        <v>35</v>
      </c>
      <c r="F22" s="523" t="s">
        <v>610</v>
      </c>
      <c r="G22" s="544">
        <v>6986697472</v>
      </c>
      <c r="H22" s="739" t="s">
        <v>482</v>
      </c>
      <c r="I22" s="740" t="s">
        <v>482</v>
      </c>
      <c r="J22" s="740" t="s">
        <v>465</v>
      </c>
      <c r="K22" s="740" t="s">
        <v>556</v>
      </c>
      <c r="L22" s="433" t="s">
        <v>3160</v>
      </c>
      <c r="M22" s="741" t="s">
        <v>710</v>
      </c>
      <c r="N22" s="858" t="s">
        <v>3389</v>
      </c>
      <c r="O22" s="859" t="s">
        <v>3401</v>
      </c>
      <c r="P22" s="859" t="s">
        <v>500</v>
      </c>
      <c r="Q22" s="859" t="s">
        <v>3436</v>
      </c>
      <c r="R22" s="741" t="s">
        <v>3399</v>
      </c>
      <c r="U22" s="602"/>
      <c r="V22"/>
      <c r="AD22" s="898">
        <v>20</v>
      </c>
      <c r="AE22" s="888" t="s">
        <v>529</v>
      </c>
      <c r="AF22" s="888" t="s">
        <v>530</v>
      </c>
      <c r="AG22" s="888">
        <v>6976147069</v>
      </c>
      <c r="AH22" s="889" t="s">
        <v>531</v>
      </c>
      <c r="AI22" s="888" t="s">
        <v>499</v>
      </c>
      <c r="AJ22" s="888" t="s">
        <v>477</v>
      </c>
      <c r="AK22" s="888"/>
      <c r="AL22" s="890">
        <v>14</v>
      </c>
      <c r="AM22" s="890" t="s">
        <v>513</v>
      </c>
      <c r="AN22" s="890" t="s">
        <v>513</v>
      </c>
      <c r="AO22" s="890" t="s">
        <v>514</v>
      </c>
      <c r="AP22" s="890" t="s">
        <v>515</v>
      </c>
      <c r="AQ22" s="891" t="s">
        <v>532</v>
      </c>
      <c r="AR22" s="896" t="s">
        <v>514</v>
      </c>
      <c r="AS22" s="896" t="s">
        <v>3445</v>
      </c>
      <c r="AT22" s="947" t="s">
        <v>513</v>
      </c>
      <c r="AU22" s="947" t="s">
        <v>515</v>
      </c>
      <c r="AV22" s="947" t="s">
        <v>771</v>
      </c>
      <c r="BI22" s="3">
        <v>17</v>
      </c>
      <c r="BJ22" s="414">
        <v>45890</v>
      </c>
      <c r="BK22" s="3" t="s">
        <v>586</v>
      </c>
      <c r="BL22" s="3" t="s">
        <v>823</v>
      </c>
      <c r="BM22" s="412" t="s">
        <v>824</v>
      </c>
      <c r="BN22" s="3">
        <v>6980882454</v>
      </c>
      <c r="BO22" s="3"/>
      <c r="BR22" s="268">
        <v>20</v>
      </c>
      <c r="BS22" s="48" t="s">
        <v>677</v>
      </c>
      <c r="BT22" s="48" t="s">
        <v>676</v>
      </c>
      <c r="BU22" s="48">
        <v>6978163340</v>
      </c>
      <c r="BV22" s="460" t="s">
        <v>678</v>
      </c>
      <c r="BW22" s="51" t="s">
        <v>821</v>
      </c>
      <c r="BX22" s="3"/>
      <c r="BY22" s="518">
        <v>20</v>
      </c>
      <c r="BZ22" s="519" t="s">
        <v>619</v>
      </c>
      <c r="CA22" s="519" t="s">
        <v>620</v>
      </c>
      <c r="CB22" s="519">
        <v>6983756076</v>
      </c>
      <c r="CC22" s="520" t="s">
        <v>621</v>
      </c>
      <c r="CD22" s="521" t="s">
        <v>622</v>
      </c>
      <c r="CE22" s="41" t="s">
        <v>477</v>
      </c>
    </row>
    <row r="23" spans="1:83" ht="15.75" thickBot="1">
      <c r="A23" s="766"/>
      <c r="B23" s="767" t="s">
        <v>516</v>
      </c>
      <c r="C23" s="768" t="s">
        <v>616</v>
      </c>
      <c r="D23" s="768" t="s">
        <v>617</v>
      </c>
      <c r="E23" s="768">
        <v>36</v>
      </c>
      <c r="F23" s="819"/>
      <c r="G23" s="769">
        <v>6934552542</v>
      </c>
      <c r="H23" s="762" t="s">
        <v>3096</v>
      </c>
      <c r="I23" s="764" t="s">
        <v>3168</v>
      </c>
      <c r="J23" s="764" t="s">
        <v>3184</v>
      </c>
      <c r="K23" s="764" t="s">
        <v>3141</v>
      </c>
      <c r="L23" s="770" t="s">
        <v>3204</v>
      </c>
      <c r="M23" s="771" t="s">
        <v>3203</v>
      </c>
      <c r="N23" s="762"/>
      <c r="O23" s="764"/>
      <c r="P23" s="764"/>
      <c r="Q23" s="764"/>
      <c r="R23" s="771"/>
      <c r="U23" s="602"/>
      <c r="V23" s="602"/>
      <c r="AD23" s="285"/>
      <c r="AE23" s="285" t="s">
        <v>584</v>
      </c>
      <c r="AF23" s="285" t="s">
        <v>544</v>
      </c>
      <c r="AG23" s="285">
        <v>6955641311</v>
      </c>
      <c r="AH23" s="285" t="s">
        <v>585</v>
      </c>
      <c r="AI23" s="837" t="s">
        <v>586</v>
      </c>
      <c r="AJ23" s="837" t="s">
        <v>457</v>
      </c>
      <c r="AK23" s="285"/>
      <c r="AL23" s="851">
        <v>21</v>
      </c>
      <c r="AM23" s="851" t="s">
        <v>513</v>
      </c>
      <c r="AN23" s="851" t="s">
        <v>514</v>
      </c>
      <c r="AO23" s="851" t="s">
        <v>513</v>
      </c>
      <c r="AP23" s="851" t="s">
        <v>3221</v>
      </c>
      <c r="AQ23" s="852" t="s">
        <v>587</v>
      </c>
      <c r="AR23" s="897"/>
      <c r="AS23" s="897"/>
      <c r="AT23" s="897"/>
      <c r="AU23" s="897"/>
      <c r="AV23" s="897"/>
      <c r="BI23" s="3">
        <v>18</v>
      </c>
      <c r="BJ23" s="414">
        <v>45890</v>
      </c>
      <c r="BK23" s="3" t="s">
        <v>814</v>
      </c>
      <c r="BL23" s="3" t="s">
        <v>825</v>
      </c>
      <c r="BM23" s="412" t="s">
        <v>727</v>
      </c>
      <c r="BN23" s="3">
        <v>6978474740</v>
      </c>
      <c r="BO23" s="3"/>
      <c r="BR23" s="268">
        <v>21</v>
      </c>
      <c r="BS23" s="48" t="s">
        <v>681</v>
      </c>
      <c r="BT23" s="48" t="s">
        <v>680</v>
      </c>
      <c r="BU23" s="48">
        <v>6986184307</v>
      </c>
      <c r="BV23" s="460" t="s">
        <v>682</v>
      </c>
      <c r="BW23" s="51" t="s">
        <v>821</v>
      </c>
      <c r="BX23" s="3"/>
    </row>
    <row r="24" spans="1:83" ht="31.5" thickTop="1" thickBot="1">
      <c r="B24" s="542"/>
      <c r="F24" s="523"/>
      <c r="I24" s="433"/>
      <c r="L24" s="598" t="s">
        <v>625</v>
      </c>
      <c r="O24" s="433"/>
      <c r="V24" s="602"/>
      <c r="AD24" s="285"/>
      <c r="AE24" s="285" t="s">
        <v>603</v>
      </c>
      <c r="AF24" s="285" t="s">
        <v>604</v>
      </c>
      <c r="AG24" s="285">
        <v>6998108632</v>
      </c>
      <c r="AH24" s="285" t="s">
        <v>605</v>
      </c>
      <c r="AI24" s="837" t="s">
        <v>606</v>
      </c>
      <c r="AJ24" s="837" t="s">
        <v>457</v>
      </c>
      <c r="AK24" s="285"/>
      <c r="AL24" s="851">
        <v>8</v>
      </c>
      <c r="AM24" s="851" t="s">
        <v>542</v>
      </c>
      <c r="AN24" s="851" t="s">
        <v>542</v>
      </c>
      <c r="AO24" s="851" t="s">
        <v>500</v>
      </c>
      <c r="AP24" s="851" t="s">
        <v>615</v>
      </c>
      <c r="AQ24" s="852" t="s">
        <v>607</v>
      </c>
      <c r="AR24" s="897"/>
      <c r="AS24" s="897"/>
      <c r="AT24" s="897"/>
      <c r="AU24" s="897"/>
      <c r="AV24" s="897"/>
      <c r="BI24" s="3">
        <v>19</v>
      </c>
      <c r="BJ24" s="414">
        <v>45891</v>
      </c>
      <c r="BK24" s="3" t="s">
        <v>499</v>
      </c>
      <c r="BL24" s="3" t="s">
        <v>826</v>
      </c>
      <c r="BM24" s="412" t="s">
        <v>712</v>
      </c>
      <c r="BN24" s="3">
        <v>6974068149</v>
      </c>
      <c r="BO24" s="3"/>
      <c r="BR24" s="462">
        <v>22</v>
      </c>
      <c r="BS24" s="463" t="s">
        <v>684</v>
      </c>
      <c r="BT24" s="463" t="s">
        <v>683</v>
      </c>
      <c r="BU24" s="463">
        <v>6943696191</v>
      </c>
      <c r="BV24" s="464" t="s">
        <v>685</v>
      </c>
      <c r="BW24" s="51" t="s">
        <v>821</v>
      </c>
      <c r="BX24" s="3"/>
    </row>
    <row r="25" spans="1:83" ht="46.5" thickTop="1" thickBot="1">
      <c r="A25" s="573" t="s">
        <v>424</v>
      </c>
      <c r="B25" s="574" t="s">
        <v>425</v>
      </c>
      <c r="C25" s="574" t="s">
        <v>426</v>
      </c>
      <c r="D25" s="574" t="s">
        <v>427</v>
      </c>
      <c r="E25" s="574" t="s">
        <v>3337</v>
      </c>
      <c r="F25" s="574" t="s">
        <v>428</v>
      </c>
      <c r="G25" s="575" t="s">
        <v>429</v>
      </c>
      <c r="H25" s="733" t="s">
        <v>626</v>
      </c>
      <c r="I25" s="733" t="s">
        <v>627</v>
      </c>
      <c r="J25" s="733" t="s">
        <v>628</v>
      </c>
      <c r="K25" s="733" t="s">
        <v>629</v>
      </c>
      <c r="L25" s="733" t="s">
        <v>630</v>
      </c>
      <c r="M25" s="733" t="s">
        <v>631</v>
      </c>
      <c r="N25" s="733" t="s">
        <v>1269</v>
      </c>
      <c r="O25" s="733" t="s">
        <v>1284</v>
      </c>
      <c r="P25" s="733" t="s">
        <v>632</v>
      </c>
      <c r="Q25" s="733" t="s">
        <v>3355</v>
      </c>
      <c r="R25" s="733" t="s">
        <v>1279</v>
      </c>
      <c r="S25" s="733" t="s">
        <v>3356</v>
      </c>
      <c r="T25" s="733" t="s">
        <v>3357</v>
      </c>
      <c r="U25" s="733" t="s">
        <v>3358</v>
      </c>
      <c r="V25" s="433"/>
      <c r="AD25" s="285"/>
      <c r="AE25" s="285" t="s">
        <v>492</v>
      </c>
      <c r="AF25" s="285" t="s">
        <v>493</v>
      </c>
      <c r="AG25" s="285">
        <v>6973825235</v>
      </c>
      <c r="AH25" s="285" t="s">
        <v>3549</v>
      </c>
      <c r="AI25" s="837" t="s">
        <v>456</v>
      </c>
      <c r="AJ25" s="837" t="s">
        <v>477</v>
      </c>
      <c r="AK25" s="285"/>
      <c r="AL25" s="851">
        <v>15</v>
      </c>
      <c r="AM25" s="851">
        <v>20</v>
      </c>
      <c r="AN25" s="851">
        <v>15</v>
      </c>
      <c r="AO25" s="851">
        <v>20</v>
      </c>
      <c r="AP25" s="851" t="s">
        <v>3222</v>
      </c>
      <c r="AQ25" s="852" t="s">
        <v>495</v>
      </c>
      <c r="AR25" s="897"/>
      <c r="AS25" s="897"/>
      <c r="AT25" s="897"/>
      <c r="AU25" s="897"/>
      <c r="AV25" s="897"/>
      <c r="BI25" s="3">
        <v>20</v>
      </c>
      <c r="BJ25" s="414">
        <v>45901</v>
      </c>
      <c r="BK25" s="3" t="s">
        <v>578</v>
      </c>
      <c r="BL25" s="3" t="s">
        <v>827</v>
      </c>
      <c r="BM25" s="412" t="s">
        <v>770</v>
      </c>
      <c r="BN25" s="3">
        <v>6949115068</v>
      </c>
      <c r="BO25" s="3"/>
    </row>
    <row r="26" spans="1:83" ht="15.75" thickTop="1">
      <c r="A26" s="571">
        <v>1</v>
      </c>
      <c r="B26" s="3" t="s">
        <v>634</v>
      </c>
      <c r="C26" s="3" t="s">
        <v>635</v>
      </c>
      <c r="D26" s="3" t="s">
        <v>636</v>
      </c>
      <c r="E26" s="3">
        <v>81</v>
      </c>
      <c r="F26" s="523" t="s">
        <v>637</v>
      </c>
      <c r="G26" s="572">
        <v>6973585676</v>
      </c>
      <c r="H26" s="734" t="s">
        <v>710</v>
      </c>
      <c r="I26" s="735" t="s">
        <v>482</v>
      </c>
      <c r="J26" s="735" t="s">
        <v>482</v>
      </c>
      <c r="K26" s="735" t="s">
        <v>482</v>
      </c>
      <c r="L26" s="735" t="s">
        <v>482</v>
      </c>
      <c r="M26" s="793" t="s">
        <v>3170</v>
      </c>
      <c r="N26" s="734" t="s">
        <v>465</v>
      </c>
      <c r="O26" s="735" t="s">
        <v>3389</v>
      </c>
      <c r="P26" s="735" t="s">
        <v>484</v>
      </c>
      <c r="Q26" s="793" t="s">
        <v>3419</v>
      </c>
      <c r="R26" s="793" t="s">
        <v>3407</v>
      </c>
      <c r="S26" s="793" t="s">
        <v>3403</v>
      </c>
      <c r="T26" s="735" t="s">
        <v>3424</v>
      </c>
      <c r="U26" s="860" t="s">
        <v>2524</v>
      </c>
      <c r="V26" s="433"/>
      <c r="AD26" s="285"/>
      <c r="AE26" s="285" t="s">
        <v>466</v>
      </c>
      <c r="AF26" s="285" t="s">
        <v>467</v>
      </c>
      <c r="AG26" s="285">
        <v>6940828922</v>
      </c>
      <c r="AH26" s="285" t="s">
        <v>468</v>
      </c>
      <c r="AI26" s="837" t="s">
        <v>456</v>
      </c>
      <c r="AJ26" s="837" t="s">
        <v>457</v>
      </c>
      <c r="AK26" s="285"/>
      <c r="AL26" s="851">
        <v>25</v>
      </c>
      <c r="AM26" s="851">
        <v>40</v>
      </c>
      <c r="AN26" s="851">
        <v>35</v>
      </c>
      <c r="AO26" s="851">
        <v>35</v>
      </c>
      <c r="AP26" s="851">
        <v>10</v>
      </c>
      <c r="AQ26" s="852" t="s">
        <v>469</v>
      </c>
      <c r="AR26" s="897"/>
      <c r="AS26" s="897"/>
      <c r="AT26" s="897"/>
      <c r="AU26" s="897"/>
      <c r="AV26" s="897"/>
      <c r="BI26" s="3">
        <v>21</v>
      </c>
      <c r="BJ26" s="414">
        <v>45902</v>
      </c>
      <c r="BK26" s="3" t="s">
        <v>560</v>
      </c>
      <c r="BL26" s="3" t="s">
        <v>828</v>
      </c>
      <c r="BM26" s="412" t="s">
        <v>661</v>
      </c>
      <c r="BN26" s="3">
        <v>6986673180</v>
      </c>
    </row>
    <row r="27" spans="1:83">
      <c r="A27" s="571">
        <v>2</v>
      </c>
      <c r="B27" s="3" t="s">
        <v>634</v>
      </c>
      <c r="C27" s="3" t="s">
        <v>638</v>
      </c>
      <c r="D27" s="3" t="s">
        <v>639</v>
      </c>
      <c r="E27" s="3">
        <v>82</v>
      </c>
      <c r="F27" s="523" t="s">
        <v>640</v>
      </c>
      <c r="G27" s="572">
        <v>6971993662</v>
      </c>
      <c r="H27" s="736">
        <v>9</v>
      </c>
      <c r="I27" s="433" t="s">
        <v>462</v>
      </c>
      <c r="J27" s="433">
        <v>5</v>
      </c>
      <c r="K27" s="433">
        <v>5</v>
      </c>
      <c r="L27" s="433" t="s">
        <v>482</v>
      </c>
      <c r="M27" s="433" t="s">
        <v>3081</v>
      </c>
      <c r="N27" s="736" t="s">
        <v>451</v>
      </c>
      <c r="O27" s="433" t="s">
        <v>3440</v>
      </c>
      <c r="P27" s="433" t="s">
        <v>451</v>
      </c>
      <c r="Q27" s="433" t="s">
        <v>3397</v>
      </c>
      <c r="R27" s="433" t="s">
        <v>3385</v>
      </c>
      <c r="S27" s="433" t="s">
        <v>2524</v>
      </c>
      <c r="T27" s="433" t="s">
        <v>3542</v>
      </c>
      <c r="U27" s="861" t="s">
        <v>3397</v>
      </c>
      <c r="V27" s="433"/>
      <c r="AD27" s="285"/>
      <c r="AE27" s="285" t="s">
        <v>2383</v>
      </c>
      <c r="AF27" s="285" t="s">
        <v>746</v>
      </c>
      <c r="AG27" s="285">
        <v>6972600890</v>
      </c>
      <c r="AH27" s="285" t="s">
        <v>2384</v>
      </c>
      <c r="AI27" s="837" t="s">
        <v>456</v>
      </c>
      <c r="AJ27" s="837" t="s">
        <v>477</v>
      </c>
      <c r="AK27" s="983"/>
      <c r="AL27" s="983"/>
      <c r="AM27" s="983"/>
      <c r="AN27" s="983"/>
      <c r="AO27" s="983"/>
      <c r="AP27" s="983"/>
      <c r="AQ27" s="983"/>
      <c r="AR27" s="897"/>
      <c r="AS27" s="897"/>
      <c r="AT27" s="897"/>
      <c r="AU27" s="897"/>
      <c r="AV27" s="897"/>
      <c r="BI27" s="3">
        <v>22</v>
      </c>
      <c r="BJ27" s="414">
        <v>45903</v>
      </c>
      <c r="BK27" s="3" t="s">
        <v>578</v>
      </c>
      <c r="BL27" s="3" t="s">
        <v>829</v>
      </c>
      <c r="BM27" s="412" t="s">
        <v>761</v>
      </c>
      <c r="BN27" s="3">
        <v>6975768226</v>
      </c>
    </row>
    <row r="28" spans="1:83">
      <c r="A28" s="571">
        <v>3</v>
      </c>
      <c r="B28" s="3" t="s">
        <v>634</v>
      </c>
      <c r="C28" s="3" t="s">
        <v>641</v>
      </c>
      <c r="D28" s="3" t="s">
        <v>642</v>
      </c>
      <c r="E28" s="3">
        <v>74</v>
      </c>
      <c r="F28" s="523" t="s">
        <v>643</v>
      </c>
      <c r="G28" s="572">
        <v>6985837967</v>
      </c>
      <c r="H28" s="736" t="s">
        <v>473</v>
      </c>
      <c r="I28" s="433" t="s">
        <v>591</v>
      </c>
      <c r="J28" s="433" t="s">
        <v>482</v>
      </c>
      <c r="K28" s="433" t="s">
        <v>482</v>
      </c>
      <c r="L28" s="758" t="s">
        <v>520</v>
      </c>
      <c r="M28" s="433" t="s">
        <v>536</v>
      </c>
      <c r="N28" s="736" t="s">
        <v>484</v>
      </c>
      <c r="O28" s="758" t="s">
        <v>3419</v>
      </c>
      <c r="P28" s="758" t="s">
        <v>3499</v>
      </c>
      <c r="Q28" s="758" t="s">
        <v>3531</v>
      </c>
      <c r="R28" s="758" t="s">
        <v>3531</v>
      </c>
      <c r="S28" s="758" t="s">
        <v>3443</v>
      </c>
      <c r="T28" s="758" t="s">
        <v>3574</v>
      </c>
      <c r="U28" s="991" t="s">
        <v>3407</v>
      </c>
      <c r="V28" s="433"/>
      <c r="AD28" s="983"/>
      <c r="AE28" s="285" t="s">
        <v>2495</v>
      </c>
      <c r="AF28" s="285" t="s">
        <v>692</v>
      </c>
      <c r="AG28" s="285">
        <v>6944640433</v>
      </c>
      <c r="AH28" s="285" t="s">
        <v>2536</v>
      </c>
      <c r="AI28" s="837" t="s">
        <v>456</v>
      </c>
      <c r="AJ28" s="852" t="s">
        <v>457</v>
      </c>
      <c r="AK28" s="285"/>
      <c r="AL28" s="285"/>
      <c r="AM28" s="285"/>
      <c r="AN28" s="285"/>
      <c r="AO28" s="285"/>
      <c r="AP28" s="285"/>
      <c r="AQ28" s="285"/>
      <c r="AR28" s="984"/>
      <c r="AS28" s="984"/>
      <c r="AT28" s="984"/>
      <c r="AU28" s="984"/>
      <c r="AV28" s="984"/>
      <c r="BI28" s="3">
        <v>23</v>
      </c>
      <c r="BJ28" s="414">
        <v>45903</v>
      </c>
      <c r="BK28" s="3" t="s">
        <v>560</v>
      </c>
      <c r="BL28" s="3" t="s">
        <v>830</v>
      </c>
      <c r="BM28" s="412" t="s">
        <v>646</v>
      </c>
      <c r="BN28" s="3">
        <v>6944918511</v>
      </c>
    </row>
    <row r="29" spans="1:83">
      <c r="A29" s="571">
        <v>4</v>
      </c>
      <c r="B29" s="3" t="s">
        <v>634</v>
      </c>
      <c r="C29" s="3" t="s">
        <v>544</v>
      </c>
      <c r="D29" s="3" t="s">
        <v>645</v>
      </c>
      <c r="E29" s="3">
        <v>72</v>
      </c>
      <c r="F29" s="523" t="s">
        <v>646</v>
      </c>
      <c r="G29" s="572">
        <v>6944918511</v>
      </c>
      <c r="H29" s="736" t="s">
        <v>463</v>
      </c>
      <c r="I29" s="433" t="s">
        <v>482</v>
      </c>
      <c r="J29" s="433">
        <v>5</v>
      </c>
      <c r="K29" s="433">
        <v>5</v>
      </c>
      <c r="L29" s="433">
        <v>5</v>
      </c>
      <c r="M29" s="433">
        <v>7</v>
      </c>
      <c r="N29" s="736" t="s">
        <v>465</v>
      </c>
      <c r="O29" s="758" t="s">
        <v>3407</v>
      </c>
      <c r="P29" s="433" t="s">
        <v>485</v>
      </c>
      <c r="Q29" s="433" t="s">
        <v>3397</v>
      </c>
      <c r="R29" s="433" t="s">
        <v>3397</v>
      </c>
      <c r="S29" s="433" t="s">
        <v>3397</v>
      </c>
      <c r="T29" s="433" t="s">
        <v>3542</v>
      </c>
      <c r="U29" s="433" t="s">
        <v>2524</v>
      </c>
      <c r="V29" s="433"/>
      <c r="AD29" s="285"/>
      <c r="AE29" s="285" t="s">
        <v>2575</v>
      </c>
      <c r="AF29" s="285" t="s">
        <v>809</v>
      </c>
      <c r="AG29" s="285">
        <v>6971745097</v>
      </c>
      <c r="AH29" s="285" t="s">
        <v>2576</v>
      </c>
      <c r="AI29" s="285" t="s">
        <v>622</v>
      </c>
      <c r="AJ29" s="852" t="s">
        <v>477</v>
      </c>
      <c r="AK29" s="285"/>
      <c r="AL29" s="285"/>
      <c r="AM29" s="285"/>
      <c r="AN29" s="285"/>
      <c r="AO29" s="285"/>
      <c r="AP29" s="285"/>
      <c r="AQ29" s="285"/>
      <c r="AR29" s="852"/>
      <c r="AS29" s="852"/>
      <c r="AT29" s="852"/>
      <c r="AU29" s="852"/>
      <c r="AV29" s="852"/>
      <c r="BI29" s="3">
        <v>24</v>
      </c>
      <c r="BJ29" s="414">
        <v>45910</v>
      </c>
      <c r="BK29" s="3" t="s">
        <v>814</v>
      </c>
      <c r="BL29" s="3" t="s">
        <v>831</v>
      </c>
      <c r="BM29" s="412" t="s">
        <v>733</v>
      </c>
      <c r="BN29" s="3">
        <v>6978161053</v>
      </c>
    </row>
    <row r="30" spans="1:83">
      <c r="A30" s="571">
        <v>5</v>
      </c>
      <c r="B30" s="3" t="s">
        <v>634</v>
      </c>
      <c r="C30" s="3" t="s">
        <v>3448</v>
      </c>
      <c r="D30" s="3" t="s">
        <v>647</v>
      </c>
      <c r="E30" s="3">
        <v>89</v>
      </c>
      <c r="F30" s="523" t="s">
        <v>3106</v>
      </c>
      <c r="G30" s="572">
        <v>6981865680</v>
      </c>
      <c r="H30" s="757" t="s">
        <v>538</v>
      </c>
      <c r="I30" s="433" t="s">
        <v>462</v>
      </c>
      <c r="J30" s="433">
        <v>5</v>
      </c>
      <c r="K30" s="433">
        <v>5</v>
      </c>
      <c r="L30" s="758" t="s">
        <v>3090</v>
      </c>
      <c r="M30" s="433">
        <v>7</v>
      </c>
      <c r="N30" s="736" t="s">
        <v>463</v>
      </c>
      <c r="O30" s="433" t="s">
        <v>3397</v>
      </c>
      <c r="P30" s="433" t="s">
        <v>484</v>
      </c>
      <c r="Q30" s="758" t="s">
        <v>3423</v>
      </c>
      <c r="R30" s="758" t="s">
        <v>3567</v>
      </c>
      <c r="S30" s="433" t="s">
        <v>3397</v>
      </c>
      <c r="T30" s="758" t="s">
        <v>3574</v>
      </c>
      <c r="U30" s="758" t="s">
        <v>3419</v>
      </c>
      <c r="V30" s="433"/>
      <c r="AD30" s="285"/>
      <c r="AE30" s="285" t="s">
        <v>2616</v>
      </c>
      <c r="AF30" s="285" t="s">
        <v>2617</v>
      </c>
      <c r="AG30" s="285">
        <v>6979971391</v>
      </c>
      <c r="AH30" s="285" t="s">
        <v>2618</v>
      </c>
      <c r="AI30" s="285" t="s">
        <v>614</v>
      </c>
      <c r="AJ30" s="852" t="s">
        <v>457</v>
      </c>
      <c r="AK30" s="285"/>
      <c r="AL30" s="285"/>
      <c r="AM30" s="285"/>
      <c r="AN30" s="285"/>
      <c r="AO30" s="285"/>
      <c r="AP30" s="285"/>
      <c r="AQ30" s="285"/>
      <c r="AR30" s="852"/>
      <c r="AS30" s="852"/>
      <c r="AT30" s="852"/>
      <c r="AU30" s="852"/>
      <c r="AV30" s="852"/>
      <c r="BI30" s="3">
        <v>25</v>
      </c>
      <c r="BJ30" s="414">
        <v>45919</v>
      </c>
      <c r="BK30" s="3" t="s">
        <v>456</v>
      </c>
      <c r="BL30" s="3" t="s">
        <v>832</v>
      </c>
      <c r="BM30" s="412" t="s">
        <v>481</v>
      </c>
      <c r="BN30" s="3">
        <v>6984495182</v>
      </c>
    </row>
    <row r="31" spans="1:83">
      <c r="A31" s="755">
        <v>6</v>
      </c>
      <c r="B31" s="366" t="s">
        <v>634</v>
      </c>
      <c r="C31" s="366" t="s">
        <v>648</v>
      </c>
      <c r="D31" s="366" t="s">
        <v>649</v>
      </c>
      <c r="E31" s="366"/>
      <c r="F31" s="821"/>
      <c r="G31" s="756">
        <v>6970800161</v>
      </c>
      <c r="H31" s="757" t="s">
        <v>3182</v>
      </c>
      <c r="I31" s="758" t="s">
        <v>3187</v>
      </c>
      <c r="J31" s="758" t="s">
        <v>3103</v>
      </c>
      <c r="K31" s="758" t="s">
        <v>3191</v>
      </c>
      <c r="L31" s="758" t="s">
        <v>3188</v>
      </c>
      <c r="M31" s="758" t="s">
        <v>3189</v>
      </c>
      <c r="N31" s="757"/>
      <c r="O31" s="758"/>
      <c r="P31" s="758"/>
      <c r="Q31" s="758"/>
      <c r="R31" s="758"/>
      <c r="S31" s="758"/>
      <c r="T31" s="758"/>
      <c r="U31" s="758"/>
      <c r="AD31" s="285"/>
      <c r="AE31" s="285" t="s">
        <v>2716</v>
      </c>
      <c r="AF31" s="285" t="s">
        <v>773</v>
      </c>
      <c r="AG31" s="285">
        <v>6947560903</v>
      </c>
      <c r="AH31" s="285" t="s">
        <v>2717</v>
      </c>
      <c r="AI31" s="285" t="str">
        <f>$AI$15</f>
        <v>Τεχνικός Αρτοποιίας – Ζαχαροπλαστικής</v>
      </c>
      <c r="AJ31" s="852" t="s">
        <v>457</v>
      </c>
      <c r="AK31" s="285"/>
      <c r="AL31" s="285"/>
      <c r="AM31" s="285"/>
      <c r="AN31" s="285"/>
      <c r="AO31" s="285"/>
      <c r="AP31" s="285"/>
      <c r="AQ31" s="285"/>
      <c r="AR31" s="852"/>
      <c r="AS31" s="852"/>
      <c r="AT31" s="852"/>
      <c r="AU31" s="852"/>
      <c r="AV31" s="852"/>
      <c r="BI31" s="3">
        <v>26</v>
      </c>
      <c r="BJ31" s="522">
        <v>45923</v>
      </c>
      <c r="BK31" s="3" t="s">
        <v>560</v>
      </c>
      <c r="BL31" s="459" t="s">
        <v>833</v>
      </c>
      <c r="BM31" s="523" t="s">
        <v>643</v>
      </c>
      <c r="BN31" s="459">
        <v>6985837967</v>
      </c>
    </row>
    <row r="32" spans="1:83">
      <c r="A32" s="571">
        <v>6</v>
      </c>
      <c r="B32" s="3" t="s">
        <v>634</v>
      </c>
      <c r="C32" s="3" t="s">
        <v>467</v>
      </c>
      <c r="D32" s="3" t="s">
        <v>652</v>
      </c>
      <c r="E32" s="3">
        <v>66</v>
      </c>
      <c r="F32" s="523" t="s">
        <v>653</v>
      </c>
      <c r="G32" s="572">
        <v>6955298183</v>
      </c>
      <c r="H32" s="736" t="s">
        <v>465</v>
      </c>
      <c r="I32" s="433" t="s">
        <v>462</v>
      </c>
      <c r="J32" s="758" t="s">
        <v>483</v>
      </c>
      <c r="K32" s="433" t="s">
        <v>482</v>
      </c>
      <c r="L32" s="433" t="s">
        <v>482</v>
      </c>
      <c r="M32" s="433" t="s">
        <v>556</v>
      </c>
      <c r="N32" s="736" t="s">
        <v>710</v>
      </c>
      <c r="O32" s="758" t="s">
        <v>3407</v>
      </c>
      <c r="P32" s="433" t="s">
        <v>484</v>
      </c>
      <c r="Q32" s="758" t="s">
        <v>3423</v>
      </c>
      <c r="R32" s="433" t="s">
        <v>623</v>
      </c>
      <c r="S32" s="433" t="s">
        <v>3440</v>
      </c>
      <c r="T32" s="433" t="s">
        <v>3543</v>
      </c>
      <c r="U32" s="433" t="s">
        <v>623</v>
      </c>
      <c r="AD32" s="285"/>
      <c r="AE32" s="285" t="s">
        <v>2696</v>
      </c>
      <c r="AF32" s="285" t="s">
        <v>2448</v>
      </c>
      <c r="AG32" s="285">
        <v>6936003082</v>
      </c>
      <c r="AH32" s="285" t="s">
        <v>2781</v>
      </c>
      <c r="AI32" s="285" t="str">
        <f>$AI$15</f>
        <v>Τεχνικός Αρτοποιίας – Ζαχαροπλαστικής</v>
      </c>
      <c r="AJ32" s="852" t="s">
        <v>477</v>
      </c>
      <c r="AK32" s="285"/>
      <c r="AL32" s="285"/>
      <c r="AM32" s="285"/>
      <c r="AN32" s="285"/>
      <c r="AO32" s="285"/>
      <c r="AP32" s="285"/>
      <c r="AQ32" s="285"/>
      <c r="AR32" s="852"/>
      <c r="AS32" s="852"/>
      <c r="AT32" s="852"/>
      <c r="AU32" s="852"/>
      <c r="AV32" s="852"/>
      <c r="BI32" s="3">
        <v>27</v>
      </c>
      <c r="BJ32" s="414">
        <v>45923</v>
      </c>
      <c r="BK32" s="3" t="s">
        <v>560</v>
      </c>
      <c r="BL32" s="3" t="s">
        <v>834</v>
      </c>
      <c r="BM32" s="526" t="s">
        <v>637</v>
      </c>
      <c r="BN32" s="3">
        <v>6973585676</v>
      </c>
    </row>
    <row r="33" spans="1:66">
      <c r="A33" s="571">
        <v>7</v>
      </c>
      <c r="B33" s="3" t="s">
        <v>634</v>
      </c>
      <c r="C33" s="3" t="s">
        <v>654</v>
      </c>
      <c r="D33" s="3" t="s">
        <v>655</v>
      </c>
      <c r="E33" s="3">
        <v>67</v>
      </c>
      <c r="F33" s="523" t="s">
        <v>656</v>
      </c>
      <c r="G33" s="572">
        <v>6987401697</v>
      </c>
      <c r="H33" s="736">
        <v>9</v>
      </c>
      <c r="I33" s="433" t="s">
        <v>482</v>
      </c>
      <c r="J33" s="433">
        <v>5</v>
      </c>
      <c r="K33" s="433">
        <v>5</v>
      </c>
      <c r="L33" s="433" t="s">
        <v>482</v>
      </c>
      <c r="M33" s="433">
        <v>7</v>
      </c>
      <c r="N33" s="736" t="s">
        <v>451</v>
      </c>
      <c r="O33" s="433" t="s">
        <v>623</v>
      </c>
      <c r="P33" s="433" t="s">
        <v>451</v>
      </c>
      <c r="Q33" s="433" t="s">
        <v>623</v>
      </c>
      <c r="R33" s="433" t="s">
        <v>623</v>
      </c>
      <c r="S33" s="433" t="s">
        <v>623</v>
      </c>
      <c r="T33" s="433" t="s">
        <v>500</v>
      </c>
      <c r="U33" s="433" t="s">
        <v>623</v>
      </c>
      <c r="AD33" s="285"/>
      <c r="AE33" s="285" t="s">
        <v>2587</v>
      </c>
      <c r="AF33" s="285" t="s">
        <v>2738</v>
      </c>
      <c r="AG33" s="285">
        <v>6907054898</v>
      </c>
      <c r="AH33" s="285" t="s">
        <v>2809</v>
      </c>
      <c r="AI33" s="285" t="str">
        <f>$AI$5</f>
        <v>Τεχνικός Μαγερικής Τέχνης</v>
      </c>
      <c r="AJ33" s="852" t="s">
        <v>477</v>
      </c>
      <c r="AK33" s="285"/>
      <c r="AL33" s="285"/>
      <c r="AM33" s="285"/>
      <c r="AN33" s="285"/>
      <c r="AO33" s="285"/>
      <c r="AP33" s="285"/>
      <c r="AQ33" s="285"/>
      <c r="AR33" s="852"/>
      <c r="AS33" s="852"/>
      <c r="AT33" s="852"/>
      <c r="AU33" s="852"/>
      <c r="AV33" s="852"/>
      <c r="BI33" s="3">
        <v>28</v>
      </c>
      <c r="BJ33" s="414">
        <v>45927</v>
      </c>
      <c r="BK33" s="3" t="s">
        <v>456</v>
      </c>
      <c r="BL33" s="3" t="s">
        <v>835</v>
      </c>
      <c r="BM33" s="412" t="s">
        <v>491</v>
      </c>
      <c r="BN33" s="3">
        <v>6983006334</v>
      </c>
    </row>
    <row r="34" spans="1:66">
      <c r="A34" s="571">
        <v>8</v>
      </c>
      <c r="B34" s="3" t="s">
        <v>634</v>
      </c>
      <c r="C34" s="3" t="s">
        <v>604</v>
      </c>
      <c r="D34" s="3" t="s">
        <v>657</v>
      </c>
      <c r="E34" s="3">
        <v>69</v>
      </c>
      <c r="F34" s="523" t="s">
        <v>658</v>
      </c>
      <c r="G34" s="572">
        <v>6979541207</v>
      </c>
      <c r="H34" s="757" t="s">
        <v>3135</v>
      </c>
      <c r="I34" s="758" t="s">
        <v>591</v>
      </c>
      <c r="J34" s="433" t="s">
        <v>482</v>
      </c>
      <c r="K34" s="433" t="s">
        <v>482</v>
      </c>
      <c r="L34" s="433" t="s">
        <v>483</v>
      </c>
      <c r="M34" s="433" t="s">
        <v>556</v>
      </c>
      <c r="N34" s="736" t="s">
        <v>451</v>
      </c>
      <c r="O34" s="433" t="s">
        <v>3440</v>
      </c>
      <c r="P34" s="433" t="s">
        <v>451</v>
      </c>
      <c r="Q34" s="433" t="s">
        <v>3389</v>
      </c>
      <c r="R34" s="433" t="s">
        <v>3385</v>
      </c>
      <c r="S34" s="433" t="s">
        <v>623</v>
      </c>
      <c r="T34" s="433" t="s">
        <v>3421</v>
      </c>
      <c r="U34" s="861" t="s">
        <v>3565</v>
      </c>
      <c r="BI34" s="3">
        <v>29</v>
      </c>
      <c r="BJ34" s="414">
        <v>45927</v>
      </c>
      <c r="BK34" s="3" t="s">
        <v>814</v>
      </c>
      <c r="BL34" s="3" t="s">
        <v>836</v>
      </c>
      <c r="BM34" s="412" t="s">
        <v>724</v>
      </c>
      <c r="BN34" s="3">
        <v>6974170536</v>
      </c>
    </row>
    <row r="35" spans="1:66" ht="15.75" thickBot="1">
      <c r="A35" s="839">
        <v>10</v>
      </c>
      <c r="B35" s="840" t="s">
        <v>634</v>
      </c>
      <c r="C35" s="840" t="s">
        <v>659</v>
      </c>
      <c r="D35" s="840" t="s">
        <v>660</v>
      </c>
      <c r="E35" s="840"/>
      <c r="F35" s="841"/>
      <c r="G35" s="842">
        <v>6986673180</v>
      </c>
      <c r="H35" s="803" t="s">
        <v>3199</v>
      </c>
      <c r="I35" s="794" t="s">
        <v>650</v>
      </c>
      <c r="J35" s="794" t="s">
        <v>591</v>
      </c>
      <c r="K35" s="794" t="s">
        <v>650</v>
      </c>
      <c r="L35" s="794" t="s">
        <v>650</v>
      </c>
      <c r="M35" s="794" t="s">
        <v>3197</v>
      </c>
      <c r="N35" s="803"/>
      <c r="O35" s="794"/>
      <c r="P35" s="794"/>
      <c r="Q35" s="794"/>
      <c r="R35" s="794"/>
      <c r="S35" s="794"/>
      <c r="T35" s="794"/>
      <c r="U35" s="875"/>
      <c r="BI35" s="3">
        <v>30</v>
      </c>
      <c r="BJ35" s="414">
        <v>45930</v>
      </c>
      <c r="BK35" s="3" t="s">
        <v>814</v>
      </c>
      <c r="BL35" s="3" t="s">
        <v>837</v>
      </c>
      <c r="BM35" s="412" t="s">
        <v>748</v>
      </c>
      <c r="BN35" s="3">
        <v>6949917351</v>
      </c>
    </row>
    <row r="36" spans="1:66" ht="16.5" thickTop="1" thickBot="1">
      <c r="F36" s="523"/>
      <c r="V36" s="873"/>
      <c r="BI36" s="3">
        <v>31</v>
      </c>
      <c r="BJ36" s="414">
        <v>45937</v>
      </c>
      <c r="BK36" s="3" t="s">
        <v>560</v>
      </c>
      <c r="BL36" s="3" t="s">
        <v>838</v>
      </c>
      <c r="BM36" s="412" t="s">
        <v>640</v>
      </c>
      <c r="BN36" s="3">
        <v>6971993662</v>
      </c>
    </row>
    <row r="37" spans="1:66" ht="121.5" thickTop="1" thickBot="1">
      <c r="A37" s="579" t="s">
        <v>424</v>
      </c>
      <c r="B37" s="580" t="s">
        <v>425</v>
      </c>
      <c r="C37" s="580" t="s">
        <v>426</v>
      </c>
      <c r="D37" s="580" t="s">
        <v>427</v>
      </c>
      <c r="E37" s="580" t="s">
        <v>3337</v>
      </c>
      <c r="F37" s="580" t="s">
        <v>428</v>
      </c>
      <c r="G37" s="581" t="s">
        <v>429</v>
      </c>
      <c r="H37" s="732" t="s">
        <v>663</v>
      </c>
      <c r="I37" s="732" t="s">
        <v>664</v>
      </c>
      <c r="J37" s="732" t="s">
        <v>665</v>
      </c>
      <c r="K37" s="732" t="s">
        <v>666</v>
      </c>
      <c r="L37" s="732" t="s">
        <v>667</v>
      </c>
      <c r="M37" s="732" t="s">
        <v>668</v>
      </c>
      <c r="N37" s="732" t="s">
        <v>1311</v>
      </c>
      <c r="O37" s="732" t="s">
        <v>3359</v>
      </c>
      <c r="P37" s="732" t="s">
        <v>632</v>
      </c>
      <c r="Q37" s="732" t="s">
        <v>1307</v>
      </c>
      <c r="R37" s="732" t="s">
        <v>3360</v>
      </c>
      <c r="S37" s="732" t="s">
        <v>3361</v>
      </c>
      <c r="T37" s="732" t="s">
        <v>3362</v>
      </c>
      <c r="U37" s="874" t="s">
        <v>3363</v>
      </c>
      <c r="V37" s="433"/>
      <c r="BI37" s="3">
        <v>32</v>
      </c>
      <c r="BJ37" s="414">
        <v>45937</v>
      </c>
      <c r="BK37" s="3" t="s">
        <v>817</v>
      </c>
      <c r="BL37" s="3" t="s">
        <v>839</v>
      </c>
      <c r="BM37" s="412" t="s">
        <v>574</v>
      </c>
      <c r="BN37" s="3">
        <v>6947489270</v>
      </c>
    </row>
    <row r="38" spans="1:66" ht="15.75" thickTop="1">
      <c r="A38" s="548">
        <v>1</v>
      </c>
      <c r="B38" s="3" t="s">
        <v>671</v>
      </c>
      <c r="C38" s="3" t="s">
        <v>544</v>
      </c>
      <c r="D38" s="3" t="s">
        <v>672</v>
      </c>
      <c r="E38" s="3">
        <v>46</v>
      </c>
      <c r="F38" s="523" t="s">
        <v>673</v>
      </c>
      <c r="G38" s="549">
        <v>6947841222</v>
      </c>
      <c r="H38" s="775" t="s">
        <v>3103</v>
      </c>
      <c r="I38" s="778" t="s">
        <v>483</v>
      </c>
      <c r="J38" s="778" t="s">
        <v>3167</v>
      </c>
      <c r="K38" s="778" t="s">
        <v>3181</v>
      </c>
      <c r="L38" s="778" t="s">
        <v>3181</v>
      </c>
      <c r="M38" s="778" t="s">
        <v>3187</v>
      </c>
      <c r="N38" s="862" t="s">
        <v>3389</v>
      </c>
      <c r="O38" s="778" t="s">
        <v>3552</v>
      </c>
      <c r="P38" s="778" t="s">
        <v>3465</v>
      </c>
      <c r="Q38" s="778" t="s">
        <v>3443</v>
      </c>
      <c r="R38" s="778" t="s">
        <v>3497</v>
      </c>
      <c r="S38" s="758" t="s">
        <v>3558</v>
      </c>
      <c r="T38" s="778" t="s">
        <v>3579</v>
      </c>
      <c r="U38" s="879" t="s">
        <v>3552</v>
      </c>
      <c r="V38" s="433"/>
      <c r="BI38" s="3">
        <v>33</v>
      </c>
      <c r="BJ38" s="414">
        <v>45938</v>
      </c>
      <c r="BK38" s="3" t="s">
        <v>499</v>
      </c>
      <c r="BL38" s="3" t="s">
        <v>840</v>
      </c>
      <c r="BM38" s="412" t="s">
        <v>694</v>
      </c>
      <c r="BN38" s="3">
        <v>6973805890</v>
      </c>
    </row>
    <row r="39" spans="1:66">
      <c r="A39" s="548">
        <v>2</v>
      </c>
      <c r="B39" s="3" t="s">
        <v>671</v>
      </c>
      <c r="C39" s="3" t="s">
        <v>544</v>
      </c>
      <c r="D39" s="3" t="s">
        <v>674</v>
      </c>
      <c r="E39" s="3">
        <v>47</v>
      </c>
      <c r="F39" s="523" t="s">
        <v>675</v>
      </c>
      <c r="G39" s="549">
        <v>6937357077</v>
      </c>
      <c r="H39" s="776" t="s">
        <v>591</v>
      </c>
      <c r="I39" s="433" t="s">
        <v>482</v>
      </c>
      <c r="J39" s="758" t="s">
        <v>591</v>
      </c>
      <c r="K39" s="758" t="s">
        <v>521</v>
      </c>
      <c r="L39" s="758" t="s">
        <v>521</v>
      </c>
      <c r="M39" s="433" t="s">
        <v>462</v>
      </c>
      <c r="N39" s="863" t="s">
        <v>3389</v>
      </c>
      <c r="O39" s="758" t="s">
        <v>3438</v>
      </c>
      <c r="P39" s="758" t="s">
        <v>3104</v>
      </c>
      <c r="Q39" s="758" t="s">
        <v>3422</v>
      </c>
      <c r="R39" s="433" t="s">
        <v>484</v>
      </c>
      <c r="S39" s="758" t="s">
        <v>3470</v>
      </c>
      <c r="T39" s="758" t="s">
        <v>3572</v>
      </c>
      <c r="U39" s="880" t="s">
        <v>3552</v>
      </c>
      <c r="V39" s="433"/>
      <c r="BI39" s="3">
        <v>34</v>
      </c>
      <c r="BJ39" s="414">
        <v>45939</v>
      </c>
      <c r="BK39" s="3" t="s">
        <v>560</v>
      </c>
      <c r="BL39" s="3" t="s">
        <v>841</v>
      </c>
      <c r="BM39" s="412" t="s">
        <v>842</v>
      </c>
      <c r="BN39" s="3">
        <v>6970800161</v>
      </c>
    </row>
    <row r="40" spans="1:66">
      <c r="A40" s="548">
        <v>3</v>
      </c>
      <c r="B40" s="3" t="s">
        <v>671</v>
      </c>
      <c r="C40" s="3" t="s">
        <v>676</v>
      </c>
      <c r="D40" s="3" t="s">
        <v>677</v>
      </c>
      <c r="E40" s="3">
        <v>48</v>
      </c>
      <c r="F40" s="523" t="s">
        <v>678</v>
      </c>
      <c r="G40" s="549">
        <v>6978163340</v>
      </c>
      <c r="H40" s="776" t="s">
        <v>591</v>
      </c>
      <c r="I40" s="433">
        <v>5</v>
      </c>
      <c r="J40" s="758" t="s">
        <v>3136</v>
      </c>
      <c r="K40" s="758" t="s">
        <v>3091</v>
      </c>
      <c r="L40" s="758" t="s">
        <v>3090</v>
      </c>
      <c r="M40" s="758" t="s">
        <v>650</v>
      </c>
      <c r="N40" s="863" t="s">
        <v>623</v>
      </c>
      <c r="O40" s="758" t="s">
        <v>3470</v>
      </c>
      <c r="P40" s="758" t="s">
        <v>3107</v>
      </c>
      <c r="Q40" s="758" t="s">
        <v>3407</v>
      </c>
      <c r="R40" s="758" t="s">
        <v>3544</v>
      </c>
      <c r="S40" s="758" t="s">
        <v>3482</v>
      </c>
      <c r="T40" s="758" t="s">
        <v>3552</v>
      </c>
      <c r="U40" s="880" t="s">
        <v>3531</v>
      </c>
      <c r="V40" s="433"/>
      <c r="BI40" s="3">
        <v>35</v>
      </c>
      <c r="BJ40" s="414">
        <v>45944</v>
      </c>
      <c r="BK40" s="3" t="s">
        <v>578</v>
      </c>
      <c r="BL40" s="3" t="s">
        <v>843</v>
      </c>
      <c r="BM40" s="412" t="s">
        <v>767</v>
      </c>
      <c r="BN40" s="3">
        <v>6995394678</v>
      </c>
    </row>
    <row r="41" spans="1:66">
      <c r="A41" s="548">
        <v>4</v>
      </c>
      <c r="B41" s="3" t="s">
        <v>671</v>
      </c>
      <c r="C41" s="3" t="s">
        <v>680</v>
      </c>
      <c r="D41" s="3" t="s">
        <v>681</v>
      </c>
      <c r="E41" s="3">
        <v>49</v>
      </c>
      <c r="F41" s="523" t="s">
        <v>682</v>
      </c>
      <c r="G41" s="549">
        <v>6986184307</v>
      </c>
      <c r="H41" s="776" t="s">
        <v>3191</v>
      </c>
      <c r="I41" s="433" t="s">
        <v>462</v>
      </c>
      <c r="J41" s="758" t="s">
        <v>3151</v>
      </c>
      <c r="K41" s="758" t="s">
        <v>3150</v>
      </c>
      <c r="L41" s="758" t="s">
        <v>3181</v>
      </c>
      <c r="M41" s="758" t="s">
        <v>3091</v>
      </c>
      <c r="N41" s="863" t="s">
        <v>3389</v>
      </c>
      <c r="O41" s="758" t="s">
        <v>3552</v>
      </c>
      <c r="P41" s="758" t="s">
        <v>3465</v>
      </c>
      <c r="Q41" s="758" t="s">
        <v>3443</v>
      </c>
      <c r="R41" s="758" t="s">
        <v>3201</v>
      </c>
      <c r="S41" s="758" t="s">
        <v>3558</v>
      </c>
      <c r="T41" s="758" t="s">
        <v>3552</v>
      </c>
      <c r="U41" s="880" t="s">
        <v>3552</v>
      </c>
      <c r="V41" s="433"/>
      <c r="BI41" s="3">
        <v>36</v>
      </c>
      <c r="BJ41" s="414">
        <v>45946</v>
      </c>
      <c r="BK41" s="3" t="s">
        <v>499</v>
      </c>
      <c r="BL41" s="3" t="s">
        <v>844</v>
      </c>
      <c r="BM41" s="412" t="s">
        <v>698</v>
      </c>
      <c r="BN41" s="3">
        <v>6987666484</v>
      </c>
    </row>
    <row r="42" spans="1:66" ht="18" thickBot="1">
      <c r="A42" s="576">
        <v>5</v>
      </c>
      <c r="B42" s="577" t="s">
        <v>671</v>
      </c>
      <c r="C42" s="577" t="s">
        <v>683</v>
      </c>
      <c r="D42" s="577" t="s">
        <v>684</v>
      </c>
      <c r="E42" s="577">
        <v>50</v>
      </c>
      <c r="F42" s="814" t="s">
        <v>685</v>
      </c>
      <c r="G42" s="578">
        <v>6943696191</v>
      </c>
      <c r="H42" s="777" t="s">
        <v>3187</v>
      </c>
      <c r="I42" s="779" t="s">
        <v>483</v>
      </c>
      <c r="J42" s="779" t="s">
        <v>3168</v>
      </c>
      <c r="K42" s="779" t="s">
        <v>3168</v>
      </c>
      <c r="L42" s="779" t="s">
        <v>3181</v>
      </c>
      <c r="M42" s="779" t="s">
        <v>3187</v>
      </c>
      <c r="N42" s="864" t="s">
        <v>3389</v>
      </c>
      <c r="O42" s="779" t="s">
        <v>3552</v>
      </c>
      <c r="P42" s="779" t="s">
        <v>3465</v>
      </c>
      <c r="Q42" s="779" t="s">
        <v>3443</v>
      </c>
      <c r="R42" s="779" t="s">
        <v>3201</v>
      </c>
      <c r="S42" s="779" t="s">
        <v>3558</v>
      </c>
      <c r="T42" s="779" t="s">
        <v>3552</v>
      </c>
      <c r="U42" s="881" t="s">
        <v>3552</v>
      </c>
      <c r="V42" s="598" t="s">
        <v>625</v>
      </c>
      <c r="BF42" s="304"/>
    </row>
    <row r="43" spans="1:66" ht="16.5" thickTop="1" thickBot="1">
      <c r="F43" s="523"/>
      <c r="BF43" s="81"/>
    </row>
    <row r="44" spans="1:66" ht="46.5" thickTop="1" thickBot="1">
      <c r="A44" s="584" t="s">
        <v>424</v>
      </c>
      <c r="B44" s="585" t="s">
        <v>425</v>
      </c>
      <c r="C44" s="585" t="s">
        <v>426</v>
      </c>
      <c r="D44" s="585" t="s">
        <v>427</v>
      </c>
      <c r="E44" s="585" t="s">
        <v>3337</v>
      </c>
      <c r="F44" s="585" t="s">
        <v>428</v>
      </c>
      <c r="G44" s="586" t="s">
        <v>429</v>
      </c>
      <c r="H44" s="725" t="s">
        <v>686</v>
      </c>
      <c r="I44" s="725" t="s">
        <v>687</v>
      </c>
      <c r="J44" s="725" t="s">
        <v>688</v>
      </c>
      <c r="K44" s="725" t="s">
        <v>689</v>
      </c>
      <c r="L44" s="725" t="s">
        <v>690</v>
      </c>
      <c r="M44" s="725" t="s">
        <v>632</v>
      </c>
      <c r="N44" s="725" t="s">
        <v>3366</v>
      </c>
      <c r="O44" s="725" t="s">
        <v>1230</v>
      </c>
      <c r="P44" s="725" t="s">
        <v>632</v>
      </c>
      <c r="Q44" s="725" t="s">
        <v>1238</v>
      </c>
      <c r="R44" s="725" t="s">
        <v>3367</v>
      </c>
      <c r="S44" s="725" t="s">
        <v>1208</v>
      </c>
    </row>
    <row r="45" spans="1:66" ht="15.75" thickTop="1">
      <c r="A45" s="751">
        <v>1</v>
      </c>
      <c r="B45" s="752" t="s">
        <v>691</v>
      </c>
      <c r="C45" s="752" t="s">
        <v>692</v>
      </c>
      <c r="D45" s="752" t="s">
        <v>693</v>
      </c>
      <c r="E45" s="752">
        <v>83</v>
      </c>
      <c r="F45" s="815" t="s">
        <v>694</v>
      </c>
      <c r="G45" s="753">
        <v>6973805890</v>
      </c>
      <c r="H45" s="726">
        <v>5</v>
      </c>
      <c r="I45" s="802" t="s">
        <v>3153</v>
      </c>
      <c r="J45" s="802" t="s">
        <v>644</v>
      </c>
      <c r="K45" s="802" t="s">
        <v>591</v>
      </c>
      <c r="L45" s="802" t="s">
        <v>591</v>
      </c>
      <c r="M45" s="810" t="s">
        <v>3135</v>
      </c>
      <c r="N45" s="878" t="s">
        <v>3478</v>
      </c>
      <c r="O45" s="802" t="s">
        <v>3104</v>
      </c>
      <c r="P45" s="865" t="s">
        <v>3421</v>
      </c>
      <c r="Q45" s="802" t="s">
        <v>3423</v>
      </c>
      <c r="R45" s="802" t="s">
        <v>3438</v>
      </c>
      <c r="S45" s="866" t="s">
        <v>623</v>
      </c>
    </row>
    <row r="46" spans="1:66">
      <c r="A46" s="550">
        <v>2</v>
      </c>
      <c r="B46" s="3" t="s">
        <v>691</v>
      </c>
      <c r="C46" s="3" t="s">
        <v>696</v>
      </c>
      <c r="D46" s="3" t="s">
        <v>697</v>
      </c>
      <c r="E46" s="3">
        <v>88</v>
      </c>
      <c r="F46" s="523" t="s">
        <v>698</v>
      </c>
      <c r="G46" s="551">
        <v>6987666484</v>
      </c>
      <c r="H46" s="727">
        <v>5</v>
      </c>
      <c r="I46" s="433">
        <v>16</v>
      </c>
      <c r="J46" s="433">
        <v>7</v>
      </c>
      <c r="K46" s="433" t="s">
        <v>462</v>
      </c>
      <c r="L46" s="433" t="s">
        <v>482</v>
      </c>
      <c r="M46" s="728">
        <v>9</v>
      </c>
      <c r="N46" s="727" t="s">
        <v>3468</v>
      </c>
      <c r="O46" s="433" t="s">
        <v>464</v>
      </c>
      <c r="P46" s="433" t="s">
        <v>3386</v>
      </c>
      <c r="Q46" s="758" t="s">
        <v>3419</v>
      </c>
      <c r="R46" s="758" t="s">
        <v>3407</v>
      </c>
      <c r="S46" s="728" t="s">
        <v>623</v>
      </c>
    </row>
    <row r="47" spans="1:66">
      <c r="A47" s="550">
        <v>3</v>
      </c>
      <c r="B47" s="3" t="s">
        <v>691</v>
      </c>
      <c r="C47" s="3" t="s">
        <v>699</v>
      </c>
      <c r="D47" s="3" t="s">
        <v>700</v>
      </c>
      <c r="E47" s="3">
        <v>52</v>
      </c>
      <c r="F47" s="523" t="s">
        <v>701</v>
      </c>
      <c r="G47" s="551">
        <v>6989801222</v>
      </c>
      <c r="H47" s="727">
        <v>5</v>
      </c>
      <c r="I47" s="433" t="s">
        <v>3110</v>
      </c>
      <c r="J47" s="433">
        <v>7</v>
      </c>
      <c r="K47" s="758" t="s">
        <v>483</v>
      </c>
      <c r="L47" s="758" t="s">
        <v>591</v>
      </c>
      <c r="M47" s="728" t="s">
        <v>484</v>
      </c>
      <c r="N47" s="727" t="s">
        <v>3402</v>
      </c>
      <c r="O47" s="433" t="s">
        <v>3108</v>
      </c>
      <c r="P47" s="433" t="s">
        <v>3386</v>
      </c>
      <c r="Q47" s="758" t="s">
        <v>3443</v>
      </c>
      <c r="R47" s="758" t="s">
        <v>3407</v>
      </c>
      <c r="S47" s="728" t="s">
        <v>623</v>
      </c>
    </row>
    <row r="48" spans="1:66">
      <c r="A48" s="550">
        <v>4</v>
      </c>
      <c r="B48" s="3" t="s">
        <v>691</v>
      </c>
      <c r="C48" s="3" t="s">
        <v>676</v>
      </c>
      <c r="D48" s="3" t="s">
        <v>702</v>
      </c>
      <c r="E48" s="3">
        <v>55</v>
      </c>
      <c r="F48" s="523" t="s">
        <v>703</v>
      </c>
      <c r="G48" s="551">
        <v>6949909988</v>
      </c>
      <c r="H48" s="727">
        <v>5</v>
      </c>
      <c r="I48" s="433" t="s">
        <v>695</v>
      </c>
      <c r="J48" s="433" t="s">
        <v>556</v>
      </c>
      <c r="K48" s="433" t="s">
        <v>482</v>
      </c>
      <c r="L48" s="433" t="s">
        <v>482</v>
      </c>
      <c r="M48" s="728" t="s">
        <v>464</v>
      </c>
      <c r="N48" s="727" t="s">
        <v>3442</v>
      </c>
      <c r="O48" s="433" t="s">
        <v>451</v>
      </c>
      <c r="P48" s="433" t="s">
        <v>3386</v>
      </c>
      <c r="Q48" s="758" t="s">
        <v>3419</v>
      </c>
      <c r="R48" s="758" t="s">
        <v>3407</v>
      </c>
      <c r="S48" s="728" t="s">
        <v>623</v>
      </c>
    </row>
    <row r="49" spans="1:36">
      <c r="A49" s="550">
        <v>5</v>
      </c>
      <c r="B49" s="3" t="s">
        <v>691</v>
      </c>
      <c r="C49" s="3" t="s">
        <v>704</v>
      </c>
      <c r="D49" s="3" t="s">
        <v>705</v>
      </c>
      <c r="E49" s="3">
        <v>54</v>
      </c>
      <c r="F49" s="523" t="s">
        <v>706</v>
      </c>
      <c r="G49" s="551">
        <v>6976024153</v>
      </c>
      <c r="H49" s="727">
        <v>5</v>
      </c>
      <c r="I49" s="433" t="s">
        <v>3111</v>
      </c>
      <c r="J49" s="433" t="s">
        <v>536</v>
      </c>
      <c r="K49" s="433" t="s">
        <v>462</v>
      </c>
      <c r="L49" s="433" t="s">
        <v>462</v>
      </c>
      <c r="M49" s="728" t="s">
        <v>484</v>
      </c>
      <c r="N49" s="941" t="s">
        <v>3479</v>
      </c>
      <c r="O49" s="433" t="s">
        <v>451</v>
      </c>
      <c r="P49" s="433" t="s">
        <v>3467</v>
      </c>
      <c r="Q49" s="758" t="s">
        <v>3482</v>
      </c>
      <c r="R49" s="758" t="s">
        <v>3419</v>
      </c>
      <c r="S49" s="728" t="s">
        <v>623</v>
      </c>
    </row>
    <row r="50" spans="1:36">
      <c r="A50" s="550">
        <v>6</v>
      </c>
      <c r="B50" s="3" t="s">
        <v>691</v>
      </c>
      <c r="C50" s="3" t="s">
        <v>692</v>
      </c>
      <c r="D50" s="3" t="s">
        <v>707</v>
      </c>
      <c r="E50" s="3">
        <v>53</v>
      </c>
      <c r="F50" s="3" t="s">
        <v>708</v>
      </c>
      <c r="G50" s="551">
        <v>6986783854</v>
      </c>
      <c r="H50" s="727">
        <v>5</v>
      </c>
      <c r="I50" s="433" t="s">
        <v>709</v>
      </c>
      <c r="J50" s="433" t="s">
        <v>556</v>
      </c>
      <c r="K50" s="433" t="s">
        <v>482</v>
      </c>
      <c r="L50" s="433" t="s">
        <v>482</v>
      </c>
      <c r="M50" s="728" t="s">
        <v>710</v>
      </c>
      <c r="N50" s="941" t="s">
        <v>3466</v>
      </c>
      <c r="O50" s="433" t="s">
        <v>451</v>
      </c>
      <c r="P50" s="433" t="s">
        <v>3388</v>
      </c>
      <c r="Q50" s="758" t="s">
        <v>3419</v>
      </c>
      <c r="R50" s="758" t="s">
        <v>3397</v>
      </c>
      <c r="S50" s="728" t="s">
        <v>623</v>
      </c>
    </row>
    <row r="51" spans="1:36">
      <c r="A51" s="550">
        <v>7</v>
      </c>
      <c r="B51" s="3" t="s">
        <v>691</v>
      </c>
      <c r="C51" s="3" t="s">
        <v>544</v>
      </c>
      <c r="D51" s="3" t="s">
        <v>711</v>
      </c>
      <c r="E51" s="3">
        <v>56</v>
      </c>
      <c r="F51" s="523" t="s">
        <v>712</v>
      </c>
      <c r="G51" s="551">
        <v>6974068149</v>
      </c>
      <c r="H51" s="727">
        <v>5</v>
      </c>
      <c r="I51" s="433" t="s">
        <v>695</v>
      </c>
      <c r="J51" s="433" t="s">
        <v>556</v>
      </c>
      <c r="K51" s="433" t="s">
        <v>462</v>
      </c>
      <c r="L51" s="433" t="s">
        <v>462</v>
      </c>
      <c r="M51" s="728" t="s">
        <v>463</v>
      </c>
      <c r="N51" s="727" t="s">
        <v>3480</v>
      </c>
      <c r="O51" s="433" t="s">
        <v>484</v>
      </c>
      <c r="P51" s="433" t="s">
        <v>3388</v>
      </c>
      <c r="Q51" s="433" t="s">
        <v>2524</v>
      </c>
      <c r="R51" s="433" t="s">
        <v>623</v>
      </c>
      <c r="S51" s="728" t="s">
        <v>623</v>
      </c>
    </row>
    <row r="52" spans="1:36">
      <c r="A52" s="550">
        <v>8</v>
      </c>
      <c r="B52" s="3" t="s">
        <v>691</v>
      </c>
      <c r="C52" s="3" t="s">
        <v>713</v>
      </c>
      <c r="D52" s="3" t="s">
        <v>714</v>
      </c>
      <c r="E52" s="3">
        <v>51</v>
      </c>
      <c r="F52" s="523" t="s">
        <v>715</v>
      </c>
      <c r="G52" s="551">
        <v>6945766487</v>
      </c>
      <c r="H52" s="727">
        <v>5</v>
      </c>
      <c r="I52" s="433">
        <v>16</v>
      </c>
      <c r="J52" s="433">
        <v>7</v>
      </c>
      <c r="K52" s="433" t="s">
        <v>462</v>
      </c>
      <c r="L52" s="433" t="s">
        <v>462</v>
      </c>
      <c r="M52" s="728">
        <v>9</v>
      </c>
      <c r="N52" s="727" t="s">
        <v>3398</v>
      </c>
      <c r="O52" s="433" t="s">
        <v>451</v>
      </c>
      <c r="P52" s="433" t="s">
        <v>500</v>
      </c>
      <c r="Q52" s="433" t="s">
        <v>2524</v>
      </c>
      <c r="R52" s="433" t="s">
        <v>623</v>
      </c>
      <c r="S52" s="728" t="s">
        <v>623</v>
      </c>
    </row>
    <row r="53" spans="1:36" ht="15.75" thickBot="1">
      <c r="A53" s="754">
        <v>9</v>
      </c>
      <c r="B53" s="582" t="s">
        <v>691</v>
      </c>
      <c r="C53" s="582" t="s">
        <v>3320</v>
      </c>
      <c r="D53" s="582" t="s">
        <v>3316</v>
      </c>
      <c r="E53" s="582" t="s">
        <v>771</v>
      </c>
      <c r="F53" s="816" t="s">
        <v>3318</v>
      </c>
      <c r="G53" s="583">
        <v>6940584115</v>
      </c>
      <c r="H53" s="729"/>
      <c r="I53" s="730"/>
      <c r="J53" s="730"/>
      <c r="K53" s="730"/>
      <c r="L53" s="730"/>
      <c r="M53" s="731"/>
      <c r="N53" s="729" t="s">
        <v>3387</v>
      </c>
      <c r="O53" s="730" t="s">
        <v>451</v>
      </c>
      <c r="P53" s="730" t="s">
        <v>500</v>
      </c>
      <c r="Q53" s="730" t="s">
        <v>2524</v>
      </c>
      <c r="R53" s="730" t="s">
        <v>623</v>
      </c>
      <c r="S53" s="731" t="s">
        <v>623</v>
      </c>
    </row>
    <row r="54" spans="1:36" ht="16.5" thickTop="1" thickBot="1">
      <c r="F54" s="523"/>
      <c r="V54"/>
      <c r="AI54" s="81"/>
      <c r="AJ54"/>
    </row>
    <row r="55" spans="1:36" ht="75.75" thickBot="1">
      <c r="A55" s="592" t="s">
        <v>424</v>
      </c>
      <c r="B55" s="593" t="s">
        <v>425</v>
      </c>
      <c r="C55" s="593" t="s">
        <v>426</v>
      </c>
      <c r="D55" s="593" t="s">
        <v>427</v>
      </c>
      <c r="E55" s="593" t="s">
        <v>3337</v>
      </c>
      <c r="F55" s="593" t="s">
        <v>428</v>
      </c>
      <c r="G55" s="594" t="s">
        <v>429</v>
      </c>
      <c r="H55" s="721" t="s">
        <v>716</v>
      </c>
      <c r="I55" s="721" t="s">
        <v>717</v>
      </c>
      <c r="J55" s="721" t="s">
        <v>718</v>
      </c>
      <c r="K55" s="721" t="s">
        <v>719</v>
      </c>
      <c r="L55" s="721" t="s">
        <v>720</v>
      </c>
      <c r="M55" s="721" t="s">
        <v>632</v>
      </c>
      <c r="N55" s="721" t="s">
        <v>1232</v>
      </c>
      <c r="O55" s="721" t="s">
        <v>632</v>
      </c>
      <c r="P55" s="721" t="s">
        <v>1210</v>
      </c>
      <c r="Q55" s="721" t="s">
        <v>1240</v>
      </c>
      <c r="R55" s="721" t="s">
        <v>3368</v>
      </c>
      <c r="V55"/>
      <c r="AI55" s="81"/>
      <c r="AJ55"/>
    </row>
    <row r="56" spans="1:36" ht="15.75" thickTop="1">
      <c r="A56" s="587">
        <v>1</v>
      </c>
      <c r="B56" s="3" t="s">
        <v>721</v>
      </c>
      <c r="C56" s="3" t="s">
        <v>722</v>
      </c>
      <c r="D56" s="3" t="s">
        <v>723</v>
      </c>
      <c r="E56" s="3">
        <v>77</v>
      </c>
      <c r="F56" s="523" t="s">
        <v>724</v>
      </c>
      <c r="G56" s="588">
        <v>6974170536</v>
      </c>
      <c r="H56" s="801" t="s">
        <v>3091</v>
      </c>
      <c r="I56" s="808" t="s">
        <v>734</v>
      </c>
      <c r="J56" s="808" t="s">
        <v>483</v>
      </c>
      <c r="K56" s="808" t="s">
        <v>3179</v>
      </c>
      <c r="L56" s="808" t="s">
        <v>483</v>
      </c>
      <c r="M56" s="822" t="s">
        <v>3104</v>
      </c>
      <c r="N56" s="867" t="s">
        <v>562</v>
      </c>
      <c r="O56" s="868" t="s">
        <v>3498</v>
      </c>
      <c r="P56" s="808" t="s">
        <v>3438</v>
      </c>
      <c r="Q56" s="868" t="s">
        <v>3397</v>
      </c>
      <c r="R56" s="822" t="s">
        <v>3405</v>
      </c>
      <c r="V56"/>
      <c r="AI56" s="81"/>
      <c r="AJ56"/>
    </row>
    <row r="57" spans="1:36">
      <c r="A57" s="587">
        <v>2</v>
      </c>
      <c r="B57" s="3" t="s">
        <v>721</v>
      </c>
      <c r="C57" s="3" t="s">
        <v>725</v>
      </c>
      <c r="D57" s="3" t="s">
        <v>726</v>
      </c>
      <c r="E57" s="3">
        <v>79</v>
      </c>
      <c r="F57" s="523" t="s">
        <v>727</v>
      </c>
      <c r="G57" s="588">
        <v>6978474740</v>
      </c>
      <c r="H57" s="780" t="s">
        <v>591</v>
      </c>
      <c r="I57" s="433" t="s">
        <v>728</v>
      </c>
      <c r="J57" s="758" t="s">
        <v>483</v>
      </c>
      <c r="K57" s="758" t="s">
        <v>734</v>
      </c>
      <c r="L57" s="758" t="s">
        <v>483</v>
      </c>
      <c r="M57" s="722" t="s">
        <v>473</v>
      </c>
      <c r="N57" s="869" t="s">
        <v>3383</v>
      </c>
      <c r="O57" s="433" t="s">
        <v>3425</v>
      </c>
      <c r="P57" s="758" t="s">
        <v>3438</v>
      </c>
      <c r="Q57" s="758" t="s">
        <v>3422</v>
      </c>
      <c r="R57" s="722" t="s">
        <v>3399</v>
      </c>
      <c r="V57"/>
      <c r="AI57" s="81"/>
      <c r="AJ57"/>
    </row>
    <row r="58" spans="1:36">
      <c r="A58" s="587">
        <v>3</v>
      </c>
      <c r="B58" s="3" t="s">
        <v>721</v>
      </c>
      <c r="C58" s="3" t="s">
        <v>470</v>
      </c>
      <c r="D58" s="3" t="s">
        <v>729</v>
      </c>
      <c r="E58" s="3">
        <v>39</v>
      </c>
      <c r="F58" s="523" t="s">
        <v>730</v>
      </c>
      <c r="G58" s="588">
        <v>6986405541</v>
      </c>
      <c r="H58" s="780" t="s">
        <v>591</v>
      </c>
      <c r="I58" s="433">
        <v>11</v>
      </c>
      <c r="J58" s="433" t="s">
        <v>462</v>
      </c>
      <c r="K58" s="433" t="s">
        <v>567</v>
      </c>
      <c r="L58" s="433" t="s">
        <v>462</v>
      </c>
      <c r="M58" s="722" t="s">
        <v>465</v>
      </c>
      <c r="N58" s="869" t="s">
        <v>562</v>
      </c>
      <c r="O58" s="433" t="s">
        <v>3400</v>
      </c>
      <c r="P58" s="433" t="s">
        <v>3420</v>
      </c>
      <c r="Q58" s="433" t="s">
        <v>3385</v>
      </c>
      <c r="R58" s="722" t="s">
        <v>3399</v>
      </c>
      <c r="V58"/>
      <c r="AI58" s="81"/>
      <c r="AJ58"/>
    </row>
    <row r="59" spans="1:36">
      <c r="A59" s="587">
        <v>4</v>
      </c>
      <c r="B59" s="3" t="s">
        <v>721</v>
      </c>
      <c r="C59" s="3" t="s">
        <v>731</v>
      </c>
      <c r="D59" s="3" t="s">
        <v>732</v>
      </c>
      <c r="E59" s="3">
        <v>78</v>
      </c>
      <c r="F59" s="523" t="s">
        <v>733</v>
      </c>
      <c r="G59" s="588">
        <v>6978161053</v>
      </c>
      <c r="H59" s="780" t="s">
        <v>521</v>
      </c>
      <c r="I59" s="758" t="s">
        <v>3195</v>
      </c>
      <c r="J59" s="758" t="s">
        <v>520</v>
      </c>
      <c r="K59" s="758" t="s">
        <v>751</v>
      </c>
      <c r="L59" s="758" t="s">
        <v>520</v>
      </c>
      <c r="M59" s="809" t="s">
        <v>3104</v>
      </c>
      <c r="N59" s="869" t="s">
        <v>3412</v>
      </c>
      <c r="O59" s="433" t="s">
        <v>3471</v>
      </c>
      <c r="P59" s="758" t="s">
        <v>3419</v>
      </c>
      <c r="Q59" s="758" t="s">
        <v>3438</v>
      </c>
      <c r="R59" s="722" t="s">
        <v>3399</v>
      </c>
      <c r="V59"/>
      <c r="AI59" s="81"/>
      <c r="AJ59"/>
    </row>
    <row r="60" spans="1:36" ht="15.75" customHeight="1">
      <c r="A60" s="587">
        <v>5</v>
      </c>
      <c r="B60" s="3" t="s">
        <v>721</v>
      </c>
      <c r="C60" s="3" t="s">
        <v>544</v>
      </c>
      <c r="D60" s="3" t="s">
        <v>735</v>
      </c>
      <c r="E60" s="3">
        <v>41</v>
      </c>
      <c r="F60" s="523" t="s">
        <v>736</v>
      </c>
      <c r="G60" s="588">
        <v>6985725551</v>
      </c>
      <c r="H60" s="792" t="s">
        <v>521</v>
      </c>
      <c r="I60" s="433" t="s">
        <v>567</v>
      </c>
      <c r="J60" s="758" t="s">
        <v>591</v>
      </c>
      <c r="K60" s="758" t="s">
        <v>3149</v>
      </c>
      <c r="L60" s="758" t="s">
        <v>591</v>
      </c>
      <c r="M60" s="809" t="s">
        <v>3104</v>
      </c>
      <c r="N60" s="870" t="s">
        <v>3436</v>
      </c>
      <c r="O60" s="433" t="s">
        <v>3472</v>
      </c>
      <c r="P60" s="758" t="s">
        <v>3403</v>
      </c>
      <c r="Q60" s="758" t="s">
        <v>3422</v>
      </c>
      <c r="R60" s="809" t="s">
        <v>3405</v>
      </c>
      <c r="V60"/>
      <c r="AI60" s="81"/>
      <c r="AJ60"/>
    </row>
    <row r="61" spans="1:36">
      <c r="A61" s="587">
        <v>6</v>
      </c>
      <c r="B61" s="3" t="s">
        <v>721</v>
      </c>
      <c r="C61" s="3" t="s">
        <v>737</v>
      </c>
      <c r="D61" s="3" t="s">
        <v>738</v>
      </c>
      <c r="E61" s="3">
        <v>40</v>
      </c>
      <c r="F61" s="523" t="s">
        <v>739</v>
      </c>
      <c r="G61" s="588">
        <v>6946868881</v>
      </c>
      <c r="H61" s="792" t="s">
        <v>521</v>
      </c>
      <c r="I61" s="433" t="s">
        <v>567</v>
      </c>
      <c r="J61" s="758" t="s">
        <v>591</v>
      </c>
      <c r="K61" s="758" t="s">
        <v>3149</v>
      </c>
      <c r="L61" s="758" t="s">
        <v>591</v>
      </c>
      <c r="M61" s="809" t="s">
        <v>3190</v>
      </c>
      <c r="N61" s="870" t="s">
        <v>3436</v>
      </c>
      <c r="O61" s="433" t="s">
        <v>3472</v>
      </c>
      <c r="P61" s="758" t="s">
        <v>3403</v>
      </c>
      <c r="Q61" s="758" t="s">
        <v>3422</v>
      </c>
      <c r="R61" s="809" t="s">
        <v>3405</v>
      </c>
      <c r="V61"/>
      <c r="AI61" s="81"/>
      <c r="AJ61"/>
    </row>
    <row r="62" spans="1:36">
      <c r="A62" s="587">
        <v>7</v>
      </c>
      <c r="B62" s="3" t="s">
        <v>721</v>
      </c>
      <c r="C62" s="3" t="s">
        <v>740</v>
      </c>
      <c r="D62" s="3" t="s">
        <v>741</v>
      </c>
      <c r="E62" s="3">
        <v>43</v>
      </c>
      <c r="F62" s="523" t="s">
        <v>742</v>
      </c>
      <c r="G62" s="588">
        <v>6944098848</v>
      </c>
      <c r="H62" s="780" t="s">
        <v>3161</v>
      </c>
      <c r="I62" s="758" t="s">
        <v>734</v>
      </c>
      <c r="J62" s="758" t="s">
        <v>520</v>
      </c>
      <c r="K62" s="433" t="s">
        <v>567</v>
      </c>
      <c r="L62" s="758" t="s">
        <v>591</v>
      </c>
      <c r="M62" s="722" t="s">
        <v>473</v>
      </c>
      <c r="N62" s="869" t="s">
        <v>3436</v>
      </c>
      <c r="O62" s="433" t="s">
        <v>3473</v>
      </c>
      <c r="P62" s="758" t="s">
        <v>3423</v>
      </c>
      <c r="Q62" s="758" t="s">
        <v>3443</v>
      </c>
      <c r="R62" s="722" t="s">
        <v>562</v>
      </c>
      <c r="V62"/>
      <c r="AI62" s="81"/>
      <c r="AJ62"/>
    </row>
    <row r="63" spans="1:36">
      <c r="A63" s="587">
        <v>8</v>
      </c>
      <c r="B63" s="3" t="s">
        <v>721</v>
      </c>
      <c r="C63" s="3" t="s">
        <v>743</v>
      </c>
      <c r="D63" s="3" t="s">
        <v>744</v>
      </c>
      <c r="E63" s="3">
        <v>44</v>
      </c>
      <c r="F63" s="523" t="s">
        <v>745</v>
      </c>
      <c r="G63" s="588">
        <v>6993928303</v>
      </c>
      <c r="H63" s="780" t="s">
        <v>591</v>
      </c>
      <c r="I63" s="433">
        <v>11</v>
      </c>
      <c r="J63" s="758" t="s">
        <v>3154</v>
      </c>
      <c r="K63" s="433" t="s">
        <v>567</v>
      </c>
      <c r="L63" s="758" t="s">
        <v>483</v>
      </c>
      <c r="M63" s="722" t="s">
        <v>465</v>
      </c>
      <c r="N63" s="869" t="s">
        <v>562</v>
      </c>
      <c r="O63" s="433" t="s">
        <v>551</v>
      </c>
      <c r="P63" s="433" t="s">
        <v>3397</v>
      </c>
      <c r="Q63" s="433" t="s">
        <v>3385</v>
      </c>
      <c r="R63" s="722" t="s">
        <v>562</v>
      </c>
      <c r="V63"/>
      <c r="AI63" s="81"/>
      <c r="AJ63"/>
    </row>
    <row r="64" spans="1:36">
      <c r="A64" s="587">
        <v>9</v>
      </c>
      <c r="B64" s="3" t="s">
        <v>721</v>
      </c>
      <c r="C64" s="3" t="s">
        <v>746</v>
      </c>
      <c r="D64" s="3" t="s">
        <v>747</v>
      </c>
      <c r="E64" s="3">
        <v>76</v>
      </c>
      <c r="F64" s="523" t="s">
        <v>748</v>
      </c>
      <c r="G64" s="588">
        <v>6949917351</v>
      </c>
      <c r="H64" s="780" t="s">
        <v>521</v>
      </c>
      <c r="I64" s="758" t="s">
        <v>751</v>
      </c>
      <c r="J64" s="758" t="s">
        <v>591</v>
      </c>
      <c r="K64" s="758" t="s">
        <v>3180</v>
      </c>
      <c r="L64" s="758" t="s">
        <v>483</v>
      </c>
      <c r="M64" s="809" t="s">
        <v>3190</v>
      </c>
      <c r="N64" s="869" t="s">
        <v>3436</v>
      </c>
      <c r="O64" s="433" t="s">
        <v>3457</v>
      </c>
      <c r="P64" s="758" t="s">
        <v>3407</v>
      </c>
      <c r="Q64" s="758" t="s">
        <v>3422</v>
      </c>
      <c r="R64" s="809" t="s">
        <v>3413</v>
      </c>
      <c r="V64"/>
      <c r="AI64" s="81"/>
      <c r="AJ64"/>
    </row>
    <row r="65" spans="1:83" ht="15.75" thickBot="1">
      <c r="A65" s="589">
        <v>10</v>
      </c>
      <c r="B65" s="590" t="s">
        <v>721</v>
      </c>
      <c r="C65" s="590" t="s">
        <v>696</v>
      </c>
      <c r="D65" s="590" t="s">
        <v>749</v>
      </c>
      <c r="E65" s="590">
        <v>80</v>
      </c>
      <c r="F65" s="817" t="s">
        <v>750</v>
      </c>
      <c r="G65" s="591">
        <v>6943445469</v>
      </c>
      <c r="H65" s="812" t="s">
        <v>483</v>
      </c>
      <c r="I65" s="781" t="s">
        <v>751</v>
      </c>
      <c r="J65" s="723" t="s">
        <v>462</v>
      </c>
      <c r="K65" s="723" t="s">
        <v>567</v>
      </c>
      <c r="L65" s="723" t="s">
        <v>462</v>
      </c>
      <c r="M65" s="724" t="s">
        <v>484</v>
      </c>
      <c r="N65" s="871" t="s">
        <v>3383</v>
      </c>
      <c r="O65" s="723" t="s">
        <v>3457</v>
      </c>
      <c r="P65" s="723" t="s">
        <v>3397</v>
      </c>
      <c r="Q65" s="781" t="s">
        <v>3407</v>
      </c>
      <c r="R65" s="724" t="s">
        <v>3399</v>
      </c>
    </row>
    <row r="66" spans="1:83" ht="16.5" thickTop="1" thickBot="1">
      <c r="F66" s="523"/>
    </row>
    <row r="67" spans="1:83" ht="15" customHeight="1" thickTop="1" thickBot="1">
      <c r="A67" s="595" t="s">
        <v>424</v>
      </c>
      <c r="B67" s="596" t="s">
        <v>425</v>
      </c>
      <c r="C67" s="596" t="s">
        <v>426</v>
      </c>
      <c r="D67" s="596" t="s">
        <v>427</v>
      </c>
      <c r="E67" s="596" t="s">
        <v>3337</v>
      </c>
      <c r="F67" s="596" t="s">
        <v>428</v>
      </c>
      <c r="G67" s="597" t="s">
        <v>429</v>
      </c>
      <c r="H67" s="715" t="s">
        <v>686</v>
      </c>
      <c r="I67" s="715" t="s">
        <v>752</v>
      </c>
      <c r="J67" s="715" t="s">
        <v>753</v>
      </c>
      <c r="K67" s="715" t="s">
        <v>754</v>
      </c>
      <c r="L67" s="715" t="s">
        <v>690</v>
      </c>
      <c r="M67" s="715" t="s">
        <v>755</v>
      </c>
      <c r="N67" s="715" t="s">
        <v>1691</v>
      </c>
      <c r="O67" s="715" t="s">
        <v>3369</v>
      </c>
      <c r="P67" s="715" t="s">
        <v>2656</v>
      </c>
      <c r="Q67" s="715" t="s">
        <v>2540</v>
      </c>
      <c r="R67" s="715" t="s">
        <v>3367</v>
      </c>
      <c r="S67" s="715" t="s">
        <v>1208</v>
      </c>
    </row>
    <row r="68" spans="1:83" ht="15.75" thickTop="1">
      <c r="A68" s="847">
        <v>1</v>
      </c>
      <c r="B68" s="848" t="s">
        <v>756</v>
      </c>
      <c r="C68" s="848" t="s">
        <v>757</v>
      </c>
      <c r="D68" s="848" t="s">
        <v>758</v>
      </c>
      <c r="E68" s="848">
        <v>64</v>
      </c>
      <c r="F68" s="849" t="s">
        <v>759</v>
      </c>
      <c r="G68" s="850">
        <v>6940054319</v>
      </c>
      <c r="H68" s="716">
        <v>5</v>
      </c>
      <c r="I68" s="717" t="s">
        <v>695</v>
      </c>
      <c r="J68" s="804" t="s">
        <v>644</v>
      </c>
      <c r="K68" s="804" t="s">
        <v>591</v>
      </c>
      <c r="L68" s="804" t="s">
        <v>591</v>
      </c>
      <c r="M68" s="718" t="s">
        <v>463</v>
      </c>
      <c r="N68" s="877" t="s">
        <v>3474</v>
      </c>
      <c r="O68" s="804" t="s">
        <v>3485</v>
      </c>
      <c r="P68" s="717" t="s">
        <v>500</v>
      </c>
      <c r="Q68" s="804" t="s">
        <v>3443</v>
      </c>
      <c r="R68" s="804" t="s">
        <v>3407</v>
      </c>
      <c r="S68" s="718" t="s">
        <v>623</v>
      </c>
    </row>
    <row r="69" spans="1:83" ht="23.25">
      <c r="A69" s="546">
        <v>2</v>
      </c>
      <c r="B69" s="3" t="s">
        <v>756</v>
      </c>
      <c r="C69" s="3" t="s">
        <v>523</v>
      </c>
      <c r="D69" s="3" t="s">
        <v>760</v>
      </c>
      <c r="E69" s="3">
        <v>65</v>
      </c>
      <c r="F69" s="523" t="s">
        <v>761</v>
      </c>
      <c r="G69" s="547">
        <v>6975768226</v>
      </c>
      <c r="H69" s="719">
        <v>5</v>
      </c>
      <c r="I69" s="758" t="s">
        <v>3196</v>
      </c>
      <c r="J69" s="758" t="s">
        <v>3192</v>
      </c>
      <c r="K69" s="758" t="s">
        <v>650</v>
      </c>
      <c r="L69" s="758" t="s">
        <v>650</v>
      </c>
      <c r="M69" s="782" t="s">
        <v>3107</v>
      </c>
      <c r="N69" s="876" t="s">
        <v>3475</v>
      </c>
      <c r="O69" s="758" t="s">
        <v>3465</v>
      </c>
      <c r="P69" s="433" t="s">
        <v>3388</v>
      </c>
      <c r="Q69" s="758" t="s">
        <v>3482</v>
      </c>
      <c r="R69" s="758" t="s">
        <v>3470</v>
      </c>
      <c r="S69" s="720" t="s">
        <v>623</v>
      </c>
      <c r="V69" s="826"/>
      <c r="W69" s="825"/>
    </row>
    <row r="70" spans="1:83" ht="20.25">
      <c r="A70" s="546">
        <v>3</v>
      </c>
      <c r="B70" s="3" t="s">
        <v>756</v>
      </c>
      <c r="C70" s="3" t="s">
        <v>762</v>
      </c>
      <c r="D70" s="3" t="s">
        <v>763</v>
      </c>
      <c r="E70" s="3">
        <v>62</v>
      </c>
      <c r="F70" s="523" t="s">
        <v>3249</v>
      </c>
      <c r="G70" s="547">
        <v>6947244770</v>
      </c>
      <c r="H70" s="719">
        <v>5</v>
      </c>
      <c r="I70" s="433">
        <v>16</v>
      </c>
      <c r="J70" s="433" t="s">
        <v>556</v>
      </c>
      <c r="K70" s="433" t="s">
        <v>462</v>
      </c>
      <c r="L70" s="433" t="s">
        <v>462</v>
      </c>
      <c r="M70" s="720" t="s">
        <v>463</v>
      </c>
      <c r="N70" s="719" t="s">
        <v>3396</v>
      </c>
      <c r="O70" s="433" t="s">
        <v>3108</v>
      </c>
      <c r="P70" s="433" t="s">
        <v>500</v>
      </c>
      <c r="Q70" s="433" t="s">
        <v>3389</v>
      </c>
      <c r="R70" s="433" t="s">
        <v>3420</v>
      </c>
      <c r="S70" s="720" t="s">
        <v>623</v>
      </c>
      <c r="V70" s="823"/>
      <c r="W70" s="824"/>
    </row>
    <row r="71" spans="1:83" ht="20.25">
      <c r="A71" s="546">
        <v>4</v>
      </c>
      <c r="B71" s="3" t="s">
        <v>756</v>
      </c>
      <c r="C71" s="3" t="s">
        <v>765</v>
      </c>
      <c r="D71" s="3" t="s">
        <v>766</v>
      </c>
      <c r="E71" s="3">
        <v>86</v>
      </c>
      <c r="F71" s="523" t="s">
        <v>767</v>
      </c>
      <c r="G71" s="547">
        <v>6995394678</v>
      </c>
      <c r="H71" s="719">
        <v>5</v>
      </c>
      <c r="I71" s="758" t="s">
        <v>3155</v>
      </c>
      <c r="J71" s="758" t="s">
        <v>3176</v>
      </c>
      <c r="K71" s="758" t="s">
        <v>591</v>
      </c>
      <c r="L71" s="758" t="s">
        <v>520</v>
      </c>
      <c r="M71" s="720" t="s">
        <v>463</v>
      </c>
      <c r="N71" s="876" t="s">
        <v>3476</v>
      </c>
      <c r="O71" s="433" t="s">
        <v>662</v>
      </c>
      <c r="P71" s="433" t="s">
        <v>500</v>
      </c>
      <c r="Q71" s="758" t="s">
        <v>3419</v>
      </c>
      <c r="R71" s="758" t="s">
        <v>3407</v>
      </c>
      <c r="S71" s="720" t="s">
        <v>623</v>
      </c>
      <c r="V71" s="823"/>
      <c r="W71" s="824"/>
    </row>
    <row r="72" spans="1:83" ht="20.25">
      <c r="A72" s="546">
        <v>5</v>
      </c>
      <c r="B72" s="3" t="s">
        <v>756</v>
      </c>
      <c r="C72" s="3" t="s">
        <v>768</v>
      </c>
      <c r="D72" s="3" t="s">
        <v>769</v>
      </c>
      <c r="E72" s="3">
        <v>90</v>
      </c>
      <c r="F72" s="523" t="s">
        <v>770</v>
      </c>
      <c r="G72" s="547">
        <v>6949115068</v>
      </c>
      <c r="H72" s="719" t="s">
        <v>771</v>
      </c>
      <c r="I72" s="758" t="s">
        <v>772</v>
      </c>
      <c r="J72" s="758" t="s">
        <v>771</v>
      </c>
      <c r="K72" s="758" t="s">
        <v>3191</v>
      </c>
      <c r="L72" s="758" t="s">
        <v>3191</v>
      </c>
      <c r="M72" s="782" t="s">
        <v>3104</v>
      </c>
      <c r="N72" s="719" t="s">
        <v>3396</v>
      </c>
      <c r="O72" s="433" t="s">
        <v>662</v>
      </c>
      <c r="P72" s="433" t="s">
        <v>3388</v>
      </c>
      <c r="Q72" s="433" t="s">
        <v>771</v>
      </c>
      <c r="R72" s="433" t="s">
        <v>771</v>
      </c>
      <c r="S72" s="720" t="s">
        <v>771</v>
      </c>
      <c r="V72" s="823"/>
      <c r="W72" s="824"/>
    </row>
    <row r="73" spans="1:83" ht="20.25">
      <c r="A73" s="546">
        <v>6</v>
      </c>
      <c r="B73" s="3" t="s">
        <v>756</v>
      </c>
      <c r="C73" s="3" t="s">
        <v>773</v>
      </c>
      <c r="D73" s="3" t="s">
        <v>774</v>
      </c>
      <c r="E73" s="3">
        <v>63</v>
      </c>
      <c r="F73" s="523" t="s">
        <v>775</v>
      </c>
      <c r="G73" s="547">
        <v>6947290911</v>
      </c>
      <c r="H73" s="719">
        <v>5</v>
      </c>
      <c r="I73" s="758">
        <v>16</v>
      </c>
      <c r="J73" s="758">
        <v>7</v>
      </c>
      <c r="K73" s="758" t="s">
        <v>591</v>
      </c>
      <c r="L73" s="758" t="s">
        <v>591</v>
      </c>
      <c r="M73" s="782">
        <v>9</v>
      </c>
      <c r="N73" s="719" t="s">
        <v>3441</v>
      </c>
      <c r="O73" s="433" t="s">
        <v>662</v>
      </c>
      <c r="P73" s="433" t="s">
        <v>500</v>
      </c>
      <c r="Q73" s="433" t="s">
        <v>2524</v>
      </c>
      <c r="R73" s="433" t="s">
        <v>623</v>
      </c>
      <c r="S73" s="720" t="s">
        <v>623</v>
      </c>
      <c r="V73" s="823"/>
      <c r="W73" s="824"/>
    </row>
    <row r="74" spans="1:83" ht="21" thickBot="1">
      <c r="A74" s="553">
        <v>7</v>
      </c>
      <c r="B74" s="554" t="s">
        <v>756</v>
      </c>
      <c r="C74" s="554" t="s">
        <v>493</v>
      </c>
      <c r="D74" s="554" t="s">
        <v>3298</v>
      </c>
      <c r="E74" s="554" t="s">
        <v>771</v>
      </c>
      <c r="F74" s="818" t="s">
        <v>1109</v>
      </c>
      <c r="G74" s="556">
        <v>6909081473</v>
      </c>
      <c r="H74" s="844"/>
      <c r="I74" s="845"/>
      <c r="J74" s="845"/>
      <c r="K74" s="845"/>
      <c r="L74" s="845"/>
      <c r="M74" s="846"/>
      <c r="N74" s="844" t="s">
        <v>3390</v>
      </c>
      <c r="O74" s="845" t="s">
        <v>451</v>
      </c>
      <c r="P74" s="845" t="s">
        <v>500</v>
      </c>
      <c r="Q74" s="845" t="s">
        <v>3389</v>
      </c>
      <c r="R74" s="845" t="s">
        <v>623</v>
      </c>
      <c r="S74" s="846" t="s">
        <v>623</v>
      </c>
      <c r="V74" s="823"/>
      <c r="W74" s="824"/>
    </row>
    <row r="75" spans="1:83" ht="21" thickTop="1">
      <c r="F75" s="523"/>
      <c r="I75" s="433"/>
      <c r="J75" s="433"/>
      <c r="K75" s="433"/>
      <c r="L75" s="433"/>
      <c r="M75" s="433"/>
      <c r="O75" s="433"/>
      <c r="P75" s="433"/>
      <c r="Q75" s="433"/>
      <c r="R75" s="433"/>
      <c r="S75" s="433"/>
      <c r="V75" s="823"/>
      <c r="W75" s="824"/>
    </row>
    <row r="76" spans="1:83" ht="79.5" customHeight="1">
      <c r="A76" s="1402" t="s">
        <v>3616</v>
      </c>
      <c r="B76" s="1402"/>
      <c r="C76" s="1402"/>
      <c r="D76" s="1402"/>
      <c r="E76" s="1402"/>
      <c r="F76" s="1402"/>
      <c r="G76" s="1402"/>
      <c r="V76" s="823"/>
      <c r="W76" s="824"/>
    </row>
    <row r="77" spans="1:83" s="437" customFormat="1" ht="21" thickBot="1">
      <c r="A77" s="1400" t="s">
        <v>3547</v>
      </c>
      <c r="B77" s="1400"/>
      <c r="C77" s="1400"/>
      <c r="D77" s="1400"/>
      <c r="E77" s="1400"/>
      <c r="F77" s="1400"/>
      <c r="G77" s="1400"/>
      <c r="H77" s="433"/>
      <c r="I77" s="598"/>
      <c r="J77" s="598"/>
      <c r="K77" s="598"/>
      <c r="L77" s="598"/>
      <c r="M77" s="598"/>
      <c r="N77" s="433"/>
      <c r="O77" s="598"/>
      <c r="P77" s="598"/>
      <c r="Q77" s="598"/>
      <c r="R77" s="598"/>
      <c r="S77" s="598"/>
      <c r="T77" s="598"/>
      <c r="U77" s="598"/>
      <c r="V77" s="968"/>
      <c r="W77" s="969"/>
      <c r="AJ77" s="970"/>
      <c r="AR77" s="970"/>
      <c r="AS77" s="970"/>
      <c r="AT77" s="970"/>
      <c r="AU77" s="970"/>
      <c r="AV77" s="970"/>
      <c r="BD77" s="2"/>
      <c r="BE77"/>
      <c r="BF77"/>
      <c r="BG77"/>
      <c r="BH77"/>
      <c r="BI77" s="3"/>
      <c r="BJ77" s="3"/>
      <c r="BK77" s="3"/>
      <c r="BL77" s="3"/>
      <c r="BM77" s="3"/>
      <c r="BN77" s="3"/>
      <c r="BO77"/>
      <c r="BP77"/>
      <c r="BQ77"/>
      <c r="BR77"/>
      <c r="BS77"/>
      <c r="BT77"/>
      <c r="BU77"/>
      <c r="BV77"/>
      <c r="BW77"/>
      <c r="BX77"/>
      <c r="BY77"/>
      <c r="BZ77"/>
      <c r="CA77"/>
      <c r="CB77"/>
      <c r="CC77"/>
      <c r="CD77"/>
      <c r="CE77"/>
    </row>
    <row r="78" spans="1:83" ht="20.25">
      <c r="A78" s="963" t="s">
        <v>424</v>
      </c>
      <c r="B78" s="964" t="s">
        <v>425</v>
      </c>
      <c r="C78" s="964" t="s">
        <v>426</v>
      </c>
      <c r="D78" s="964" t="s">
        <v>427</v>
      </c>
      <c r="E78" s="964" t="s">
        <v>3337</v>
      </c>
      <c r="F78" s="964" t="s">
        <v>428</v>
      </c>
      <c r="G78" s="965" t="s">
        <v>429</v>
      </c>
      <c r="H78" s="966"/>
      <c r="I78" s="967"/>
      <c r="J78" s="967"/>
      <c r="K78" s="967"/>
      <c r="L78" s="967"/>
      <c r="M78" s="967"/>
      <c r="N78" s="966"/>
      <c r="O78" s="967"/>
      <c r="P78" s="967"/>
      <c r="Q78" s="967"/>
      <c r="R78" s="967"/>
      <c r="S78" s="967"/>
      <c r="T78" s="967"/>
      <c r="U78" s="967"/>
      <c r="V78" s="823"/>
      <c r="W78" s="824"/>
    </row>
    <row r="79" spans="1:83" ht="20.25">
      <c r="A79" s="954">
        <v>1</v>
      </c>
      <c r="B79" s="888" t="s">
        <v>3556</v>
      </c>
      <c r="C79" s="888" t="s">
        <v>2376</v>
      </c>
      <c r="D79" s="888" t="s">
        <v>2377</v>
      </c>
      <c r="E79" s="888">
        <v>1</v>
      </c>
      <c r="F79" s="889" t="s">
        <v>2378</v>
      </c>
      <c r="G79" s="955">
        <v>6948791813</v>
      </c>
      <c r="V79" s="823"/>
      <c r="W79" s="824"/>
    </row>
    <row r="80" spans="1:83" ht="20.25">
      <c r="A80" s="954">
        <v>2</v>
      </c>
      <c r="B80" s="888" t="s">
        <v>3556</v>
      </c>
      <c r="C80" s="956" t="s">
        <v>2388</v>
      </c>
      <c r="D80" s="956" t="s">
        <v>544</v>
      </c>
      <c r="E80" s="888">
        <v>2</v>
      </c>
      <c r="F80" s="957" t="s">
        <v>2443</v>
      </c>
      <c r="G80" s="958">
        <v>6944310262</v>
      </c>
      <c r="V80" s="823"/>
      <c r="W80" s="824"/>
    </row>
    <row r="81" spans="1:83" ht="20.25">
      <c r="A81" s="954">
        <v>3</v>
      </c>
      <c r="B81" s="888" t="s">
        <v>3556</v>
      </c>
      <c r="C81" s="888" t="s">
        <v>2389</v>
      </c>
      <c r="D81" s="888" t="s">
        <v>746</v>
      </c>
      <c r="E81" s="888">
        <v>3</v>
      </c>
      <c r="F81" s="889" t="s">
        <v>2490</v>
      </c>
      <c r="G81" s="955">
        <v>6986437802</v>
      </c>
      <c r="V81" s="823"/>
      <c r="W81" s="824"/>
    </row>
    <row r="82" spans="1:83" ht="20.25">
      <c r="A82" s="954">
        <v>4</v>
      </c>
      <c r="B82" s="888" t="s">
        <v>3556</v>
      </c>
      <c r="C82" s="956" t="s">
        <v>2390</v>
      </c>
      <c r="D82" s="956" t="s">
        <v>544</v>
      </c>
      <c r="E82" s="888">
        <v>4</v>
      </c>
      <c r="F82" s="957" t="s">
        <v>2534</v>
      </c>
      <c r="G82" s="958">
        <v>6973021250</v>
      </c>
      <c r="V82" s="823"/>
      <c r="W82" s="824"/>
    </row>
    <row r="83" spans="1:83" ht="20.25">
      <c r="A83" s="954">
        <v>5</v>
      </c>
      <c r="B83" s="888" t="s">
        <v>3556</v>
      </c>
      <c r="C83" s="956" t="s">
        <v>2391</v>
      </c>
      <c r="D83" s="956" t="s">
        <v>553</v>
      </c>
      <c r="E83" s="888" t="s">
        <v>771</v>
      </c>
      <c r="F83" s="957" t="s">
        <v>2574</v>
      </c>
      <c r="G83" s="958">
        <v>6907313952</v>
      </c>
      <c r="V83" s="823"/>
      <c r="W83" s="824"/>
    </row>
    <row r="84" spans="1:83" ht="20.25">
      <c r="A84" s="954">
        <v>6</v>
      </c>
      <c r="B84" s="888" t="s">
        <v>3556</v>
      </c>
      <c r="C84" s="956" t="s">
        <v>2392</v>
      </c>
      <c r="D84" s="956" t="s">
        <v>696</v>
      </c>
      <c r="E84" s="888">
        <v>7</v>
      </c>
      <c r="F84" s="957" t="s">
        <v>2615</v>
      </c>
      <c r="G84" s="958">
        <v>6972431687</v>
      </c>
      <c r="V84" s="823"/>
      <c r="W84" s="824"/>
    </row>
    <row r="85" spans="1:83">
      <c r="A85" s="954">
        <v>7</v>
      </c>
      <c r="B85" s="888" t="s">
        <v>3556</v>
      </c>
      <c r="C85" s="956" t="s">
        <v>2393</v>
      </c>
      <c r="D85" s="956" t="s">
        <v>540</v>
      </c>
      <c r="E85" s="888">
        <v>23</v>
      </c>
      <c r="F85" s="957" t="s">
        <v>2647</v>
      </c>
      <c r="G85" s="958">
        <v>6974839532</v>
      </c>
    </row>
    <row r="86" spans="1:83" ht="15.75" thickBot="1">
      <c r="A86" s="954">
        <v>8</v>
      </c>
      <c r="B86" s="888" t="s">
        <v>3556</v>
      </c>
      <c r="C86" s="960" t="s">
        <v>2394</v>
      </c>
      <c r="D86" s="960" t="s">
        <v>2447</v>
      </c>
      <c r="E86" s="959">
        <v>8</v>
      </c>
      <c r="F86" s="961" t="s">
        <v>2439</v>
      </c>
      <c r="G86" s="962">
        <v>6976890221</v>
      </c>
    </row>
    <row r="87" spans="1:83" s="979" customFormat="1" ht="15.75" thickBot="1">
      <c r="A87" s="3"/>
      <c r="B87" s="3"/>
      <c r="C87" s="951"/>
      <c r="D87" s="952"/>
      <c r="E87" s="3"/>
      <c r="F87" s="953"/>
      <c r="G87" s="952"/>
      <c r="H87" s="433"/>
      <c r="I87" s="598"/>
      <c r="J87" s="598"/>
      <c r="K87" s="598"/>
      <c r="L87" s="598"/>
      <c r="M87" s="598"/>
      <c r="N87" s="433"/>
      <c r="O87" s="598"/>
      <c r="P87" s="598"/>
      <c r="Q87" s="598"/>
      <c r="R87" s="598"/>
      <c r="S87" s="598"/>
      <c r="T87" s="598"/>
      <c r="U87" s="598"/>
      <c r="V87" s="978"/>
      <c r="AJ87" s="980"/>
      <c r="AL87"/>
      <c r="AM87"/>
      <c r="AN87"/>
      <c r="AO87"/>
      <c r="AP87"/>
      <c r="AQ87"/>
      <c r="AR87" s="81"/>
      <c r="AS87" s="81"/>
      <c r="AT87" s="81"/>
      <c r="AU87" s="81"/>
      <c r="AV87" s="81"/>
      <c r="AW87"/>
      <c r="AX87"/>
      <c r="AY87"/>
      <c r="AZ87"/>
      <c r="BA87"/>
      <c r="BB87"/>
      <c r="BC87"/>
      <c r="BD87" s="2"/>
      <c r="BE87"/>
      <c r="BF87"/>
      <c r="BG87"/>
      <c r="BH87"/>
      <c r="BI87" s="3"/>
      <c r="BJ87" s="3"/>
      <c r="BK87" s="3"/>
      <c r="BL87" s="3"/>
      <c r="BM87" s="3"/>
      <c r="BN87" s="3"/>
      <c r="BO87"/>
      <c r="BP87"/>
      <c r="BQ87"/>
      <c r="BR87"/>
      <c r="BS87"/>
      <c r="BT87"/>
      <c r="BU87"/>
      <c r="BV87"/>
      <c r="BW87"/>
      <c r="BX87"/>
      <c r="BY87"/>
      <c r="BZ87"/>
      <c r="CA87"/>
      <c r="CB87"/>
      <c r="CC87"/>
      <c r="CD87"/>
      <c r="CE87"/>
    </row>
    <row r="88" spans="1:83">
      <c r="A88" s="975" t="s">
        <v>424</v>
      </c>
      <c r="B88" s="976" t="s">
        <v>425</v>
      </c>
      <c r="C88" s="976" t="s">
        <v>426</v>
      </c>
      <c r="D88" s="976" t="s">
        <v>427</v>
      </c>
      <c r="E88" s="976" t="s">
        <v>3337</v>
      </c>
      <c r="F88" s="976" t="s">
        <v>428</v>
      </c>
      <c r="G88" s="977" t="s">
        <v>429</v>
      </c>
      <c r="H88" s="601"/>
      <c r="I88" s="978"/>
      <c r="J88" s="978"/>
      <c r="K88" s="978"/>
      <c r="L88" s="978"/>
      <c r="M88" s="978"/>
      <c r="N88" s="601"/>
      <c r="O88" s="978"/>
      <c r="P88" s="978"/>
      <c r="Q88" s="978"/>
      <c r="R88" s="978"/>
      <c r="S88" s="978"/>
      <c r="T88" s="978"/>
      <c r="U88" s="978"/>
    </row>
    <row r="89" spans="1:83">
      <c r="A89" s="972">
        <v>1</v>
      </c>
      <c r="B89" s="971" t="s">
        <v>3555</v>
      </c>
      <c r="C89" s="13" t="s">
        <v>2886</v>
      </c>
      <c r="D89" s="13" t="s">
        <v>768</v>
      </c>
      <c r="E89" s="971" t="s">
        <v>771</v>
      </c>
      <c r="F89" s="33" t="s">
        <v>2887</v>
      </c>
      <c r="G89" s="973">
        <v>6973800907</v>
      </c>
    </row>
    <row r="90" spans="1:83">
      <c r="A90" s="972">
        <v>2</v>
      </c>
      <c r="B90" s="971" t="s">
        <v>3555</v>
      </c>
      <c r="C90" s="13" t="s">
        <v>674</v>
      </c>
      <c r="D90" s="13" t="s">
        <v>475</v>
      </c>
      <c r="E90" s="971">
        <v>6</v>
      </c>
      <c r="F90" s="33" t="s">
        <v>2902</v>
      </c>
      <c r="G90" s="973">
        <v>6971911553</v>
      </c>
    </row>
    <row r="91" spans="1:83">
      <c r="A91" s="972">
        <v>3</v>
      </c>
      <c r="B91" s="971" t="s">
        <v>3555</v>
      </c>
      <c r="C91" s="13" t="s">
        <v>2397</v>
      </c>
      <c r="D91" s="13" t="s">
        <v>544</v>
      </c>
      <c r="E91" s="971">
        <v>9</v>
      </c>
      <c r="F91" s="33" t="s">
        <v>2712</v>
      </c>
      <c r="G91" s="973">
        <v>6988607936</v>
      </c>
    </row>
    <row r="92" spans="1:83">
      <c r="A92" s="972">
        <v>4</v>
      </c>
      <c r="B92" s="971" t="s">
        <v>3555</v>
      </c>
      <c r="C92" s="13" t="s">
        <v>2398</v>
      </c>
      <c r="D92" s="13" t="s">
        <v>2449</v>
      </c>
      <c r="E92" s="971">
        <v>17</v>
      </c>
      <c r="F92" s="33" t="s">
        <v>2612</v>
      </c>
      <c r="G92" s="973">
        <v>6947161430</v>
      </c>
    </row>
    <row r="93" spans="1:83">
      <c r="A93" s="972">
        <v>5</v>
      </c>
      <c r="B93" s="971" t="s">
        <v>3555</v>
      </c>
      <c r="C93" s="13" t="s">
        <v>2399</v>
      </c>
      <c r="D93" s="13" t="s">
        <v>746</v>
      </c>
      <c r="E93" s="971">
        <v>18</v>
      </c>
      <c r="F93" s="33" t="s">
        <v>2919</v>
      </c>
      <c r="G93" s="973">
        <v>6949227372</v>
      </c>
    </row>
    <row r="94" spans="1:83">
      <c r="A94" s="972">
        <v>6</v>
      </c>
      <c r="B94" s="971" t="s">
        <v>3555</v>
      </c>
      <c r="C94" s="13" t="s">
        <v>2400</v>
      </c>
      <c r="D94" s="13" t="s">
        <v>746</v>
      </c>
      <c r="E94" s="971">
        <v>19</v>
      </c>
      <c r="F94" s="33" t="s">
        <v>2735</v>
      </c>
      <c r="G94" s="973">
        <v>6984586165</v>
      </c>
    </row>
    <row r="95" spans="1:83">
      <c r="A95" s="972">
        <v>7</v>
      </c>
      <c r="B95" s="971" t="s">
        <v>3555</v>
      </c>
      <c r="C95" s="13" t="s">
        <v>2401</v>
      </c>
      <c r="D95" s="13" t="s">
        <v>604</v>
      </c>
      <c r="E95" s="971">
        <v>20</v>
      </c>
      <c r="F95" s="33" t="s">
        <v>2934</v>
      </c>
      <c r="G95" s="973">
        <v>6972517203</v>
      </c>
    </row>
    <row r="96" spans="1:83" ht="15.75" thickBot="1">
      <c r="A96" s="972">
        <v>8</v>
      </c>
      <c r="B96" s="971" t="s">
        <v>3555</v>
      </c>
      <c r="C96" s="15" t="s">
        <v>2402</v>
      </c>
      <c r="D96" s="15" t="s">
        <v>608</v>
      </c>
      <c r="E96" s="974">
        <v>21</v>
      </c>
      <c r="F96" s="35" t="s">
        <v>2943</v>
      </c>
      <c r="G96" s="315">
        <v>6941447919</v>
      </c>
    </row>
    <row r="97" spans="1:83" s="979" customFormat="1">
      <c r="A97" s="3"/>
      <c r="B97" s="3"/>
      <c r="C97" s="951"/>
      <c r="D97" s="952"/>
      <c r="E97" s="3"/>
      <c r="F97" s="953"/>
      <c r="G97" s="952"/>
      <c r="H97" s="433"/>
      <c r="I97" s="598"/>
      <c r="J97" s="598"/>
      <c r="K97" s="598"/>
      <c r="L97" s="598"/>
      <c r="M97" s="598"/>
      <c r="N97" s="433"/>
      <c r="O97" s="598"/>
      <c r="P97" s="598"/>
      <c r="Q97" s="598"/>
      <c r="R97" s="598"/>
      <c r="S97" s="598"/>
      <c r="T97" s="598"/>
      <c r="U97" s="598"/>
      <c r="V97" s="978"/>
      <c r="AJ97" s="980"/>
      <c r="AL97"/>
      <c r="AM97"/>
      <c r="AN97"/>
      <c r="AO97"/>
      <c r="AP97"/>
      <c r="AQ97"/>
      <c r="AR97" s="81"/>
      <c r="AS97" s="81"/>
      <c r="AT97" s="81"/>
      <c r="AU97" s="81"/>
      <c r="AV97" s="81"/>
      <c r="AW97"/>
      <c r="AX97"/>
      <c r="AY97"/>
      <c r="AZ97"/>
      <c r="BA97"/>
      <c r="BB97"/>
      <c r="BC97"/>
      <c r="BD97" s="2"/>
      <c r="BE97"/>
      <c r="BF97"/>
      <c r="BG97"/>
      <c r="BH97"/>
      <c r="BI97" s="3"/>
      <c r="BJ97" s="3"/>
      <c r="BK97" s="3"/>
      <c r="BL97" s="3"/>
      <c r="BM97" s="3"/>
      <c r="BN97" s="3"/>
      <c r="BO97"/>
      <c r="BP97"/>
      <c r="BQ97"/>
      <c r="BR97"/>
      <c r="BS97"/>
      <c r="BT97"/>
      <c r="BU97"/>
      <c r="BV97"/>
      <c r="BW97"/>
      <c r="BX97"/>
      <c r="BY97"/>
      <c r="BZ97"/>
      <c r="CA97"/>
      <c r="CB97"/>
      <c r="CC97"/>
      <c r="CD97"/>
      <c r="CE97"/>
    </row>
    <row r="98" spans="1:83">
      <c r="A98" s="981" t="s">
        <v>424</v>
      </c>
      <c r="B98" s="981" t="s">
        <v>425</v>
      </c>
      <c r="C98" s="982" t="s">
        <v>426</v>
      </c>
      <c r="D98" s="982" t="s">
        <v>427</v>
      </c>
      <c r="E98" s="981" t="s">
        <v>3337</v>
      </c>
      <c r="F98" s="987" t="s">
        <v>428</v>
      </c>
      <c r="G98" s="982" t="s">
        <v>429</v>
      </c>
      <c r="H98" s="601"/>
      <c r="I98" s="978"/>
      <c r="J98" s="978"/>
      <c r="K98" s="978"/>
      <c r="L98" s="978"/>
      <c r="M98" s="978"/>
      <c r="N98" s="601"/>
      <c r="O98" s="978"/>
      <c r="P98" s="978"/>
      <c r="Q98" s="978"/>
      <c r="R98" s="978"/>
      <c r="S98" s="978"/>
      <c r="T98" s="978"/>
      <c r="U98" s="978"/>
    </row>
    <row r="99" spans="1:83">
      <c r="A99" s="496">
        <v>1</v>
      </c>
      <c r="B99" s="496" t="s">
        <v>3557</v>
      </c>
      <c r="C99" s="17" t="s">
        <v>2403</v>
      </c>
      <c r="D99" s="17" t="s">
        <v>2450</v>
      </c>
      <c r="E99" s="496">
        <v>11</v>
      </c>
      <c r="F99" s="36" t="s">
        <v>2984</v>
      </c>
      <c r="G99" s="17">
        <v>6906851518</v>
      </c>
    </row>
    <row r="100" spans="1:83">
      <c r="A100" s="496">
        <v>2</v>
      </c>
      <c r="B100" s="496" t="s">
        <v>3557</v>
      </c>
      <c r="C100" s="17" t="s">
        <v>2404</v>
      </c>
      <c r="D100" s="17" t="s">
        <v>773</v>
      </c>
      <c r="E100" s="496">
        <v>12</v>
      </c>
      <c r="F100" s="36" t="s">
        <v>2994</v>
      </c>
      <c r="G100" s="17">
        <v>6940332546</v>
      </c>
    </row>
    <row r="101" spans="1:83">
      <c r="A101" s="496">
        <v>3</v>
      </c>
      <c r="B101" s="496" t="s">
        <v>3557</v>
      </c>
      <c r="C101" s="17" t="s">
        <v>2405</v>
      </c>
      <c r="D101" s="17" t="s">
        <v>600</v>
      </c>
      <c r="E101" s="496">
        <v>13</v>
      </c>
      <c r="F101" s="36" t="s">
        <v>1977</v>
      </c>
      <c r="G101" s="17">
        <v>6976616585</v>
      </c>
    </row>
    <row r="102" spans="1:83">
      <c r="A102" s="496">
        <v>4</v>
      </c>
      <c r="B102" s="496" t="s">
        <v>3557</v>
      </c>
      <c r="C102" s="17" t="s">
        <v>2406</v>
      </c>
      <c r="D102" s="17" t="s">
        <v>809</v>
      </c>
      <c r="E102" s="496">
        <v>14</v>
      </c>
      <c r="F102" s="36" t="s">
        <v>1980</v>
      </c>
      <c r="G102" s="17">
        <v>6970651783</v>
      </c>
    </row>
    <row r="103" spans="1:83">
      <c r="A103" s="496">
        <v>5</v>
      </c>
      <c r="B103" s="496" t="s">
        <v>3557</v>
      </c>
      <c r="C103" s="17" t="s">
        <v>2407</v>
      </c>
      <c r="D103" s="17" t="s">
        <v>809</v>
      </c>
      <c r="E103" s="496">
        <v>15</v>
      </c>
      <c r="F103" s="36" t="s">
        <v>3010</v>
      </c>
      <c r="G103" s="17">
        <v>6934025019</v>
      </c>
    </row>
    <row r="104" spans="1:83">
      <c r="A104" s="496">
        <v>6</v>
      </c>
      <c r="B104" s="496" t="s">
        <v>3557</v>
      </c>
      <c r="C104" s="17" t="s">
        <v>3015</v>
      </c>
      <c r="D104" s="17" t="s">
        <v>3016</v>
      </c>
      <c r="E104" s="496" t="s">
        <v>771</v>
      </c>
      <c r="F104" s="36" t="s">
        <v>3017</v>
      </c>
      <c r="G104" s="17">
        <v>6973549071</v>
      </c>
    </row>
    <row r="105" spans="1:83">
      <c r="A105" s="496">
        <v>7</v>
      </c>
      <c r="B105" s="496" t="s">
        <v>3557</v>
      </c>
      <c r="C105" s="17" t="s">
        <v>3022</v>
      </c>
      <c r="D105" s="17" t="s">
        <v>773</v>
      </c>
      <c r="E105" s="496" t="s">
        <v>771</v>
      </c>
      <c r="F105" s="36" t="s">
        <v>3023</v>
      </c>
      <c r="G105" s="17">
        <v>6932736849</v>
      </c>
    </row>
    <row r="106" spans="1:83">
      <c r="A106" s="496">
        <v>8</v>
      </c>
      <c r="B106" s="496" t="s">
        <v>3557</v>
      </c>
      <c r="C106" s="17" t="s">
        <v>2408</v>
      </c>
      <c r="D106" s="17" t="s">
        <v>540</v>
      </c>
      <c r="E106" s="496">
        <v>16</v>
      </c>
      <c r="F106" s="36" t="s">
        <v>2666</v>
      </c>
      <c r="G106" s="17">
        <v>6975793246</v>
      </c>
    </row>
  </sheetData>
  <mergeCells count="11">
    <mergeCell ref="A77:G77"/>
    <mergeCell ref="A1:G1"/>
    <mergeCell ref="H1:M1"/>
    <mergeCell ref="N1:U1"/>
    <mergeCell ref="AD1:AQ1"/>
    <mergeCell ref="A76:G76"/>
    <mergeCell ref="BI1:BN1"/>
    <mergeCell ref="BR1:BW1"/>
    <mergeCell ref="BD9:BG9"/>
    <mergeCell ref="BD1:BG1"/>
    <mergeCell ref="BY1:CE1"/>
  </mergeCells>
  <hyperlinks>
    <hyperlink ref="AH22" r:id="rId1" display="repdebbie@gmail.com" xr:uid="{FCF32F3D-371B-42F2-8F04-93E58373320F}"/>
    <hyperlink ref="AH21" r:id="rId2" xr:uid="{4A5A8BB7-2DA4-4981-9D13-FCD6E45F6979}"/>
    <hyperlink ref="AH19" r:id="rId3" xr:uid="{BF1B1F20-7C58-48E8-B0AA-7EFE9BB8A854}"/>
    <hyperlink ref="AH17" r:id="rId4" display="ni.anagnostaki@gmail.com" xr:uid="{FBA0B996-BB88-4C79-9D5B-6460D8804F93}"/>
    <hyperlink ref="AH13" r:id="rId5" display="koundouraki@katartisi.gr" xr:uid="{E403EC71-BC11-4A00-AEB7-4FABE6CAD776}"/>
    <hyperlink ref="AH26" r:id="rId6" xr:uid="{6E96C317-10B2-4515-99FC-2C5E0D3F786B}"/>
    <hyperlink ref="AH16" r:id="rId7" display="mikasava96@gmail.com" xr:uid="{3B1DA0A9-F40B-4527-93F4-CDD177642199}"/>
    <hyperlink ref="AH15" r:id="rId8" xr:uid="{721C54D3-C5CF-4160-A5B2-A23F267C0E55}"/>
    <hyperlink ref="AH14" r:id="rId9" xr:uid="{750E78B0-4AFB-4CA9-AE39-E0AA09F48109}"/>
    <hyperlink ref="AH10" r:id="rId10" xr:uid="{FE82633E-32E9-400F-AF97-794A5FFBC6B3}"/>
    <hyperlink ref="AH7" r:id="rId11" xr:uid="{20E73941-7D9C-4CC0-A5F0-ADE3445B3457}"/>
    <hyperlink ref="AH12" r:id="rId12" xr:uid="{0E63E1D6-4785-4C97-932A-07C369E91CCD}"/>
    <hyperlink ref="AH4" r:id="rId13" xr:uid="{B29E099C-18FC-4711-9F4F-E2BABF9D88E0}"/>
    <hyperlink ref="AH9" r:id="rId14" xr:uid="{3FEC41A4-80B2-4C5B-9DE3-3B353341DA9C}"/>
    <hyperlink ref="AH8" r:id="rId15" xr:uid="{10EBA2FD-BF07-447E-8111-6A716EF85C64}"/>
    <hyperlink ref="AH6" r:id="rId16" xr:uid="{99EB1F20-6A25-4C35-B028-BB74C967AD2A}"/>
    <hyperlink ref="AH5" r:id="rId17" xr:uid="{B01FF96B-AE33-4B2E-B3C6-AD4A9050ADB2}"/>
    <hyperlink ref="AH3" r:id="rId18" xr:uid="{E3AE2675-21FF-48D7-9971-4F7228A35221}"/>
    <hyperlink ref="AH20" r:id="rId19" display="alyratzakis@gmail.com" xr:uid="{80F1849C-4B4E-4719-9589-75F3C0A16765}"/>
    <hyperlink ref="AH25" r:id="rId20" xr:uid="{F4DD965E-F75C-4D1C-A9D3-C81769967535}"/>
    <hyperlink ref="F92" r:id="rId21" xr:uid="{83464E8B-D45F-4E3E-9CC7-5AB77CE42476}"/>
    <hyperlink ref="F106" r:id="rId22" xr:uid="{B2CC23BF-9808-41E5-A9C9-F7C0E51C219E}"/>
    <hyperlink ref="F105" r:id="rId23" xr:uid="{692E7AF2-F751-4CD4-9842-B83D2918C67E}"/>
    <hyperlink ref="F104" r:id="rId24" xr:uid="{6B372742-F791-4F01-9C33-4BFF027B4BF6}"/>
    <hyperlink ref="F103" r:id="rId25" xr:uid="{5419C43B-43B9-46A6-9A77-1459EC42E2A9}"/>
    <hyperlink ref="F102" r:id="rId26" xr:uid="{A446761E-89E7-46BB-B390-FFFC0CA36D93}"/>
    <hyperlink ref="F101" r:id="rId27" xr:uid="{DF9E91A6-768A-48AE-9F66-38FD03F3CF0D}"/>
    <hyperlink ref="F100" r:id="rId28" xr:uid="{0071AA31-4D94-4F43-A272-63B35C64080F}"/>
    <hyperlink ref="F99" r:id="rId29" xr:uid="{CFE0171E-4F54-4C50-A2E5-B71BCE9F6EDE}"/>
    <hyperlink ref="F96" r:id="rId30" xr:uid="{47E59E27-AF84-4933-BF1E-1C39F3ECA788}"/>
    <hyperlink ref="F95" r:id="rId31" xr:uid="{5BFC3A97-D50A-445F-8125-53FFB678AE8A}"/>
    <hyperlink ref="F94" r:id="rId32" xr:uid="{543D1400-6213-4DA6-8E20-9F187FA9D98A}"/>
    <hyperlink ref="F93" r:id="rId33" xr:uid="{78314F2B-7D11-4E13-9180-1346B2EA0C7D}"/>
    <hyperlink ref="F91" r:id="rId34" xr:uid="{5BCA5E1F-3CBC-47B8-9574-7AF1AC8F1437}"/>
    <hyperlink ref="F90" r:id="rId35" xr:uid="{32D3DDF2-8A8D-4306-83B3-63CFC092350C}"/>
    <hyperlink ref="F89" r:id="rId36" xr:uid="{D6386B9D-D6A3-4663-8803-FB2A614BB3DB}"/>
    <hyperlink ref="F86" r:id="rId37" xr:uid="{F01BB290-B430-40CE-ADC3-A182BFBD7742}"/>
    <hyperlink ref="F85" r:id="rId38" xr:uid="{D31F2D0B-FA4C-4A15-9037-9442D1617C1F}"/>
    <hyperlink ref="F84" r:id="rId39" xr:uid="{661A9F48-FF5A-4A9D-9E55-DD5AB5EE9404}"/>
    <hyperlink ref="F83" r:id="rId40" xr:uid="{33209B24-A048-41FE-B3F8-A654BF2C966A}"/>
    <hyperlink ref="F82" r:id="rId41" xr:uid="{0906A48D-062A-4351-9468-12C7E265462F}"/>
    <hyperlink ref="F81" r:id="rId42" xr:uid="{A3A6AB8D-0ED8-4420-B60D-141B4FEA55EA}"/>
    <hyperlink ref="F80" r:id="rId43" xr:uid="{AEB3D82C-FB9C-4087-9856-B6FA63901C92}"/>
    <hyperlink ref="F79" r:id="rId44" xr:uid="{7EC5352C-7706-4979-9CEC-C764619C70F7}"/>
    <hyperlink ref="F74" r:id="rId45" xr:uid="{201F5C22-69D5-4FC6-A36C-7A677CD9BBE0}"/>
    <hyperlink ref="F52" r:id="rId46" xr:uid="{0309559A-A7EA-4ADF-8700-76082AAD426B}"/>
    <hyperlink ref="F22" r:id="rId47" xr:uid="{B1BF47AD-960F-45BF-B908-1A80354DC846}"/>
    <hyperlink ref="F38" r:id="rId48" xr:uid="{3E05C3F0-4F41-4681-8C4E-1BA9AA9A6AEE}"/>
    <hyperlink ref="F16" r:id="rId49" xr:uid="{55554012-3340-440F-BB2B-4985E7D9E99A}"/>
    <hyperlink ref="F11" r:id="rId50" xr:uid="{F4571BD6-51F4-42F7-8344-D0B8F62BE5D2}"/>
    <hyperlink ref="F30" r:id="rId51" display="emmanuellarizou28@yahoo.com" xr:uid="{0BDC1F0F-1DF8-45F7-B5F8-4EC301665724}"/>
    <hyperlink ref="F20" r:id="rId52" xr:uid="{4988D6FA-C87F-4BE0-AE99-981B5D85940B}"/>
    <hyperlink ref="F46" r:id="rId53" xr:uid="{0A00169F-FCD9-4D39-9B63-159D055B3AF7}"/>
    <hyperlink ref="F72" r:id="rId54" xr:uid="{93438129-3D46-4057-97C3-5D734010F390}"/>
    <hyperlink ref="F71" r:id="rId55" xr:uid="{B2EA7B66-E4DE-47D4-A54E-8CD0FBF7CB98}"/>
    <hyperlink ref="F70" r:id="rId56" xr:uid="{7FC0F1DB-8132-4E13-874F-298628C36486}"/>
    <hyperlink ref="F69" r:id="rId57" xr:uid="{62F12F85-93F7-4434-9555-838CFC8104C1}"/>
    <hyperlink ref="F68" r:id="rId58" xr:uid="{B50A2178-5B68-4492-A714-16890BB8BB85}"/>
    <hyperlink ref="F65" r:id="rId59" xr:uid="{6C0F2AA0-0DBF-4C98-A555-2B8199D4E3DF}"/>
    <hyperlink ref="F64" r:id="rId60" xr:uid="{363A7DCF-645B-46AE-B3CA-B7A7FAD440C6}"/>
    <hyperlink ref="F57" r:id="rId61" xr:uid="{A8922043-5014-4591-B63A-BAF2438D0385}"/>
    <hyperlink ref="F63" r:id="rId62" xr:uid="{23F11845-9D80-4D09-8A46-42C93A69FFE9}"/>
    <hyperlink ref="F62" r:id="rId63" xr:uid="{25976708-F65D-4DE6-AA6F-9B4AB4181C0D}"/>
    <hyperlink ref="F61" r:id="rId64" xr:uid="{325E6005-02F0-4F5A-ABF1-9993BE95D74F}"/>
    <hyperlink ref="F60" r:id="rId65" xr:uid="{96F31BE0-D2B6-4CAF-8E9E-AD65898450E2}"/>
    <hyperlink ref="F58" r:id="rId66" xr:uid="{53F92241-1029-43C8-BD9C-2BB09C173A4B}"/>
    <hyperlink ref="F53" r:id="rId67" xr:uid="{D2BFA45F-5C54-4E1C-97F2-74C3FE572ECC}"/>
    <hyperlink ref="F51" r:id="rId68" xr:uid="{149B94EC-02E7-4E60-9884-8C055A9A46E0}"/>
    <hyperlink ref="F49" r:id="rId69" xr:uid="{A79AE72D-5E5C-4820-B6E5-483E31E7BD54}"/>
    <hyperlink ref="F48" r:id="rId70" xr:uid="{F57F11C1-3771-4318-A642-9C53B649D6AF}"/>
    <hyperlink ref="F45" r:id="rId71" xr:uid="{CC41537F-10A8-48A4-ABE6-DC815FA2B353}"/>
    <hyperlink ref="F47" r:id="rId72" xr:uid="{1779FE74-B770-4CB2-9D0E-8436FF7B3158}"/>
    <hyperlink ref="F42" r:id="rId73" xr:uid="{8FC07CEA-E0C6-4285-A058-CB79D91C62FF}"/>
    <hyperlink ref="F41" r:id="rId74" xr:uid="{FEC9858C-6901-4910-A3E2-65ED525CA132}"/>
    <hyperlink ref="F40" r:id="rId75" xr:uid="{8693D5D0-1FEA-4D6C-8D0E-A7A5589D4B3D}"/>
    <hyperlink ref="F39" r:id="rId76" xr:uid="{23656195-AA77-4663-807F-020900738848}"/>
    <hyperlink ref="F34" r:id="rId77" xr:uid="{B40CD6A1-9526-4EDC-AB59-405008568700}"/>
    <hyperlink ref="F33" r:id="rId78" xr:uid="{17BA2933-B7E7-4310-B47A-24636582AE78}"/>
    <hyperlink ref="F32" r:id="rId79" xr:uid="{2F477FEA-2839-4A06-BEA4-E220CEA38BD2}"/>
    <hyperlink ref="F29" r:id="rId80" xr:uid="{A87BB699-B8B8-4F7A-91C7-F5F273287D0A}"/>
    <hyperlink ref="F28" r:id="rId81" xr:uid="{E3455004-B1AC-40E9-8CB0-A4D43CAE8D2E}"/>
    <hyperlink ref="F27" r:id="rId82" xr:uid="{42BB1AE9-66D1-49B9-96D2-7B19FD81D155}"/>
    <hyperlink ref="F5" r:id="rId83" xr:uid="{8EA5DF82-1593-408A-9415-87F53F10E07C}"/>
    <hyperlink ref="F3" r:id="rId84" display="iwona55@windowslive.com" xr:uid="{5642AF96-611B-4CA1-951D-06FB75F101D6}"/>
    <hyperlink ref="F4" r:id="rId85" xr:uid="{3B2D28C4-1911-4CC3-9C3D-C8BC124AE380}"/>
    <hyperlink ref="F6" r:id="rId86" xr:uid="{305CC81F-BFB3-49D0-A2DB-BED391373653}"/>
    <hyperlink ref="F7" r:id="rId87" xr:uid="{80B6AD1F-D1A2-4AF8-A4D5-43B5B047D625}"/>
    <hyperlink ref="F26" r:id="rId88" xr:uid="{4392DA67-65B7-4B91-9E5E-CCFCE947D7BF}"/>
    <hyperlink ref="F15" r:id="rId89" xr:uid="{953B2038-ADA2-4299-9641-6D31247EFA41}"/>
    <hyperlink ref="F17" r:id="rId90" xr:uid="{650BEF55-9542-47A9-B1F2-937D217273EC}"/>
    <hyperlink ref="F14" r:id="rId91" xr:uid="{48F89DA6-3B7A-4C65-A002-F019D4BEB2C1}"/>
    <hyperlink ref="F13" r:id="rId92" xr:uid="{8BA568C3-4C6C-4CA3-8033-C42853597884}"/>
    <hyperlink ref="F12" r:id="rId93" xr:uid="{44A237C3-F295-4CFD-A218-036F2FFCDC62}"/>
    <hyperlink ref="BM4" r:id="rId94" xr:uid="{C6C4CA6D-3EE4-4E32-8F6D-C9BB8FE6DA36}"/>
    <hyperlink ref="BM5" r:id="rId95" xr:uid="{1780D97D-E252-43F1-8406-5BC4860BFD6F}"/>
    <hyperlink ref="BM6" r:id="rId96" xr:uid="{1C6987EE-953B-4E63-8873-C42D56AF320F}"/>
    <hyperlink ref="BM7" r:id="rId97" xr:uid="{59113FDA-A873-45FA-9517-294614CE7673}"/>
    <hyperlink ref="BM31" r:id="rId98" xr:uid="{EFB6B786-FD3D-4CD9-A13F-0627416C7059}"/>
    <hyperlink ref="BM8" r:id="rId99" display="parasirieirini2007@gmail.com, g" xr:uid="{EB3FDE5C-7DD7-4C6C-A444-458AFF9C95A0}"/>
    <hyperlink ref="BM12" r:id="rId100" xr:uid="{42351ABB-B624-418B-AD82-6E59B4F0CAFA}"/>
    <hyperlink ref="BM9" r:id="rId101" xr:uid="{7C9A6E8B-651D-4566-80D5-F6CC294586AC}"/>
    <hyperlink ref="BM10" r:id="rId102" xr:uid="{B65D5343-6F72-429D-95C0-454B6C2C2D0E}"/>
    <hyperlink ref="BM11" r:id="rId103" xr:uid="{AD61D941-7958-41F0-B51A-747F155C0B22}"/>
    <hyperlink ref="BM13" r:id="rId104" xr:uid="{D1919C62-6D4A-4076-9157-95296482CB4B}"/>
    <hyperlink ref="BM14" r:id="rId105" xr:uid="{8633F973-AC86-47CF-B4F1-B9379BE508F7}"/>
    <hyperlink ref="BM15" r:id="rId106" xr:uid="{BC4D515C-C811-4339-B1B5-0FE98A312BDB}"/>
    <hyperlink ref="BM17" r:id="rId107" xr:uid="{30A0322A-4488-4648-827E-E8F985C41E3F}"/>
    <hyperlink ref="BM18" r:id="rId108" xr:uid="{C99776C0-BB7E-4688-9DDD-B15CDB72CC69}"/>
    <hyperlink ref="BM16" r:id="rId109" xr:uid="{AAE8ECB4-4135-4667-83A2-30DA7093132F}"/>
    <hyperlink ref="BM20" r:id="rId110" xr:uid="{017AD462-E9F1-4475-9A31-A6ACEFB73508}"/>
    <hyperlink ref="BM22" r:id="rId111" xr:uid="{973D9BA2-FA75-4424-915F-2A9372B06659}"/>
    <hyperlink ref="BM23" r:id="rId112" xr:uid="{AEF0DDF5-52B4-4B22-8A7D-D0CBB9ACA974}"/>
    <hyperlink ref="BM25" r:id="rId113" xr:uid="{151998FD-CCAE-44FF-9AE7-1C33371EB641}"/>
    <hyperlink ref="BM26" r:id="rId114" xr:uid="{4BD2680C-8351-4D64-8FCC-B4F4F8EFEE0D}"/>
    <hyperlink ref="BM27" r:id="rId115" xr:uid="{4A931DFF-7F6E-4696-AEA6-6725816799A0}"/>
    <hyperlink ref="BM28" r:id="rId116" xr:uid="{97158820-2576-47CD-9D10-9B35C58613D4}"/>
    <hyperlink ref="BV3" r:id="rId117" xr:uid="{38F13DF3-8B01-46F9-9A42-7BE82F3B8D77}"/>
    <hyperlink ref="BV4" r:id="rId118" xr:uid="{2C880F7C-E51C-4C77-A58B-01B5B9F5B223}"/>
    <hyperlink ref="BV5" r:id="rId119" xr:uid="{FD721EEA-C0CD-4AD7-8641-6803B440CE7A}"/>
    <hyperlink ref="BV6" r:id="rId120" xr:uid="{6A768B3B-C6DC-4204-B543-158F54953AEE}"/>
    <hyperlink ref="BV7" r:id="rId121" xr:uid="{1DDB17E7-9725-4387-B46F-0D2E868941B7}"/>
    <hyperlink ref="BV9" r:id="rId122" xr:uid="{3ED21A23-FF88-43F7-BDD8-B579C636443B}"/>
    <hyperlink ref="BV10" r:id="rId123" xr:uid="{1E85FCD2-9615-451F-BF73-E59643421EA3}"/>
    <hyperlink ref="BV11" r:id="rId124" xr:uid="{75CA619A-0AF0-496F-8EEB-F24661CDB62A}"/>
    <hyperlink ref="BV8" r:id="rId125" xr:uid="{A9291477-D5DA-479B-B140-0450125F9CB3}"/>
    <hyperlink ref="BV12" r:id="rId126" xr:uid="{4CEAF597-15C7-4D6D-800C-542865B2E982}"/>
    <hyperlink ref="BV13" r:id="rId127" xr:uid="{4C45AADB-9610-43E6-91CC-E624B353D4BE}"/>
    <hyperlink ref="BV14" r:id="rId128" xr:uid="{A5CEEF5D-1C2F-4BB2-9A83-FC890391C17D}"/>
    <hyperlink ref="BV15" r:id="rId129" xr:uid="{B4C9CB39-D55A-489B-9B69-FD74C69CA5BE}"/>
    <hyperlink ref="BV16" r:id="rId130" xr:uid="{CC279F95-9294-4128-947E-A759A544B249}"/>
    <hyperlink ref="BV17" r:id="rId131" xr:uid="{D5356FBA-0D3A-43CA-B983-F10901F67A1D}"/>
    <hyperlink ref="BV18" r:id="rId132" xr:uid="{773CB4DA-8AA7-4A80-90C5-E2E8AA45A802}"/>
    <hyperlink ref="BV19" r:id="rId133" xr:uid="{5B26D521-63ED-4FC8-9AB2-B0612ECA35E3}"/>
    <hyperlink ref="BV21" r:id="rId134" xr:uid="{4C970A4E-FF97-451D-9C76-81E6B17D6D96}"/>
    <hyperlink ref="BV23" r:id="rId135" xr:uid="{194945D2-3DFC-4FC1-9762-58240E631C7C}"/>
    <hyperlink ref="BV22" r:id="rId136" xr:uid="{9E3AA7AA-EE54-4B83-8761-92397A7CF3E1}"/>
    <hyperlink ref="BV24" r:id="rId137" xr:uid="{75219D5F-6E47-4467-BC5C-F7D187267261}"/>
    <hyperlink ref="BV20" r:id="rId138" xr:uid="{A85B1F1D-D198-4417-A69C-0739151CBB1A}"/>
    <hyperlink ref="BM29" r:id="rId139" xr:uid="{B789159F-67AF-4C11-9B82-567EAA239836}"/>
    <hyperlink ref="BM30" r:id="rId140" xr:uid="{3294045E-4086-4D94-9113-7C58D1DF821D}"/>
    <hyperlink ref="CC8" r:id="rId141" xr:uid="{3B9C2441-DC47-4E49-BDCA-852893EE5719}"/>
    <hyperlink ref="CC9" r:id="rId142" xr:uid="{8BC172A2-C0D6-4FD8-A1DA-BCB09B4265B7}"/>
    <hyperlink ref="CC10" r:id="rId143" xr:uid="{51724672-79E6-4EC7-8A9B-F3823AAC9A66}"/>
    <hyperlink ref="CC17" r:id="rId144" xr:uid="{9D331B7F-6794-43DA-B7D9-D61E019F4C4C}"/>
    <hyperlink ref="CC19" r:id="rId145" xr:uid="{6A282528-9989-43F3-8271-BE6A6A830796}"/>
    <hyperlink ref="CC3" r:id="rId146" xr:uid="{B9D2E048-0389-44EA-9450-F32BEB52BDA1}"/>
    <hyperlink ref="CC20" r:id="rId147" xr:uid="{23B3D1F3-8683-48C2-BB5A-FB458B9993A8}"/>
    <hyperlink ref="CC12" r:id="rId148" xr:uid="{4B5F086D-8B31-41AF-A3CB-6EA16EEDDB6D}"/>
    <hyperlink ref="CC21" r:id="rId149" xr:uid="{FB69FD70-4E56-4C2A-B75C-A9C05CB2FA55}"/>
    <hyperlink ref="CC5" r:id="rId150" xr:uid="{1C9157F9-0CE8-4042-9970-BEE772B35B88}"/>
    <hyperlink ref="CC11" r:id="rId151" xr:uid="{424694C7-D8CF-4288-B94A-5CFACF4BEC71}"/>
    <hyperlink ref="CC4" r:id="rId152" xr:uid="{0B9B99C6-693D-4FF8-B1BB-0A1337A41632}"/>
    <hyperlink ref="CC6" r:id="rId153" xr:uid="{57C19BD9-FE02-47C7-B8F7-C20BF4B99942}"/>
    <hyperlink ref="CC15" r:id="rId154" xr:uid="{8D0E095B-EF89-4401-8703-BA0B98FF379E}"/>
    <hyperlink ref="CC16" r:id="rId155" xr:uid="{B54AC92E-B925-40D5-A645-9CFA1C36F8D6}"/>
    <hyperlink ref="CC13" r:id="rId156" xr:uid="{B18660C2-11A1-40FC-8A09-3FB1B98048EF}"/>
    <hyperlink ref="CC22" r:id="rId157" xr:uid="{2D0E1C7C-638A-4BB0-8E76-4B8A93D7AD96}"/>
    <hyperlink ref="BM33" r:id="rId158" xr:uid="{E1EABC32-42E2-4F1D-BC6A-9C1CBD1E72C2}"/>
    <hyperlink ref="BM35" r:id="rId159" xr:uid="{B93A1DBE-7FA6-4034-9222-64685285E72A}"/>
    <hyperlink ref="CC18" r:id="rId160" xr:uid="{E9B6242C-1B17-4A0D-B06E-4C9B9AB226B4}"/>
    <hyperlink ref="BM32" r:id="rId161" xr:uid="{3252B2BB-F573-40C4-890E-718314E70F11}"/>
    <hyperlink ref="BM38" r:id="rId162" xr:uid="{0FE12668-E960-490C-AB12-FCF668B7A667}"/>
    <hyperlink ref="BM39" r:id="rId163" xr:uid="{82E66A53-07DC-4C8F-BF14-6AA0198C567C}"/>
    <hyperlink ref="BM40" r:id="rId164" xr:uid="{204B88AB-EE29-45D0-B046-EB4E723A242E}"/>
    <hyperlink ref="BM41" r:id="rId165" xr:uid="{E07449C7-396D-45BA-9675-CF8B1B67E068}"/>
  </hyperlinks>
  <pageMargins left="0.25" right="0.25" top="0.75" bottom="0.75" header="0.3" footer="0.3"/>
  <pageSetup paperSize="9" orientation="landscape" r:id="rId166"/>
  <rowBreaks count="1" manualBreakCount="1">
    <brk id="38" max="16383" man="1"/>
  </rowBreaks>
  <colBreaks count="1" manualBreakCount="1">
    <brk id="7" max="1048575" man="1"/>
  </colBreaks>
  <legacyDrawing r:id="rId167"/>
  <tableParts count="3">
    <tablePart r:id="rId168"/>
    <tablePart r:id="rId169"/>
    <tablePart r:id="rId17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3417-3229-475B-8A1C-E78220A351D5}">
  <sheetPr>
    <tabColor theme="8" tint="0.39997558519241921"/>
  </sheetPr>
  <dimension ref="A1:AC882"/>
  <sheetViews>
    <sheetView zoomScale="85" zoomScaleNormal="85" workbookViewId="0">
      <selection activeCell="M533" sqref="M533:M603"/>
    </sheetView>
  </sheetViews>
  <sheetFormatPr defaultRowHeight="15"/>
  <cols>
    <col min="1" max="1" width="27.42578125" style="2" customWidth="1"/>
    <col min="2" max="2" width="13.140625" style="3" customWidth="1"/>
    <col min="3" max="3" width="20" style="3" customWidth="1"/>
    <col min="4" max="4" width="17.42578125" style="2" customWidth="1"/>
    <col min="7" max="7" width="34.7109375" style="82" customWidth="1"/>
    <col min="8" max="8" width="20" style="3" customWidth="1"/>
    <col min="9" max="9" width="20.140625" style="3" bestFit="1" customWidth="1"/>
    <col min="10" max="10" width="16.7109375" style="3" bestFit="1" customWidth="1"/>
    <col min="13" max="13" width="54.85546875" customWidth="1"/>
  </cols>
  <sheetData>
    <row r="1" spans="1:13">
      <c r="A1" s="1403" t="s">
        <v>1583</v>
      </c>
      <c r="B1" s="1403"/>
      <c r="C1" s="1403"/>
      <c r="D1" s="1403"/>
      <c r="G1" s="1404" t="s">
        <v>1584</v>
      </c>
      <c r="H1" s="1404"/>
      <c r="I1" s="1404"/>
      <c r="J1" s="1404"/>
    </row>
    <row r="2" spans="1:13">
      <c r="M2" s="1135" t="s">
        <v>3788</v>
      </c>
    </row>
    <row r="3" spans="1:13">
      <c r="A3" s="1093"/>
      <c r="B3" s="186" t="s">
        <v>3256</v>
      </c>
      <c r="C3" s="186" t="s">
        <v>3257</v>
      </c>
      <c r="D3" s="334" t="s">
        <v>3263</v>
      </c>
      <c r="G3" s="1093"/>
      <c r="H3" s="186" t="s">
        <v>3256</v>
      </c>
      <c r="I3" s="186" t="s">
        <v>3257</v>
      </c>
      <c r="J3" s="334" t="s">
        <v>3263</v>
      </c>
      <c r="M3" s="1135"/>
    </row>
    <row r="4" spans="1:13">
      <c r="A4" s="2" t="s">
        <v>430</v>
      </c>
      <c r="G4" s="2" t="s">
        <v>1144</v>
      </c>
      <c r="J4" s="2"/>
      <c r="M4" s="1135"/>
    </row>
    <row r="5" spans="1:13" ht="30">
      <c r="A5" s="2" t="s">
        <v>431</v>
      </c>
      <c r="G5" s="2" t="s">
        <v>1154</v>
      </c>
      <c r="J5" s="2"/>
      <c r="M5" s="1135"/>
    </row>
    <row r="6" spans="1:13" ht="30">
      <c r="A6" s="2" t="s">
        <v>432</v>
      </c>
      <c r="G6" s="2" t="s">
        <v>1161</v>
      </c>
      <c r="J6" s="2"/>
      <c r="M6" s="1135"/>
    </row>
    <row r="7" spans="1:13" ht="30">
      <c r="A7" s="2" t="s">
        <v>433</v>
      </c>
      <c r="G7" s="2" t="s">
        <v>1169</v>
      </c>
      <c r="J7" s="2"/>
      <c r="M7" s="1135"/>
    </row>
    <row r="8" spans="1:13" ht="30">
      <c r="A8" s="2" t="s">
        <v>434</v>
      </c>
      <c r="G8" s="2" t="s">
        <v>1179</v>
      </c>
      <c r="J8" s="2"/>
      <c r="M8" s="1135"/>
    </row>
    <row r="9" spans="1:13" ht="30">
      <c r="A9" s="2" t="s">
        <v>435</v>
      </c>
      <c r="G9" s="2" t="s">
        <v>1187</v>
      </c>
      <c r="J9" s="2"/>
      <c r="M9" s="1135"/>
    </row>
    <row r="10" spans="1:13" ht="30">
      <c r="G10" s="82" t="s">
        <v>1192</v>
      </c>
      <c r="M10" s="1135"/>
    </row>
    <row r="11" spans="1:13">
      <c r="M11" s="1135"/>
    </row>
    <row r="12" spans="1:13">
      <c r="M12" s="1135"/>
    </row>
    <row r="13" spans="1:13">
      <c r="M13" s="1135"/>
    </row>
    <row r="14" spans="1:13">
      <c r="M14" s="1135"/>
    </row>
    <row r="15" spans="1:13">
      <c r="M15" s="1135"/>
    </row>
    <row r="16" spans="1:13">
      <c r="M16" s="1135"/>
    </row>
    <row r="17" spans="13:13">
      <c r="M17" s="1135"/>
    </row>
    <row r="18" spans="13:13">
      <c r="M18" s="1135"/>
    </row>
    <row r="19" spans="13:13">
      <c r="M19" s="1135"/>
    </row>
    <row r="20" spans="13:13">
      <c r="M20" s="1135"/>
    </row>
    <row r="21" spans="13:13">
      <c r="M21" s="1135"/>
    </row>
    <row r="22" spans="13:13">
      <c r="M22" s="1135"/>
    </row>
    <row r="23" spans="13:13">
      <c r="M23" s="1135"/>
    </row>
    <row r="24" spans="13:13">
      <c r="M24" s="1135"/>
    </row>
    <row r="25" spans="13:13">
      <c r="M25" s="1135"/>
    </row>
    <row r="26" spans="13:13">
      <c r="M26" s="1135"/>
    </row>
    <row r="27" spans="13:13">
      <c r="M27" s="1135"/>
    </row>
    <row r="28" spans="13:13">
      <c r="M28" s="1135"/>
    </row>
    <row r="29" spans="13:13">
      <c r="M29" s="1135"/>
    </row>
    <row r="30" spans="13:13">
      <c r="M30" s="1135"/>
    </row>
    <row r="31" spans="13:13">
      <c r="M31" s="1135"/>
    </row>
    <row r="32" spans="13:13">
      <c r="M32" s="1135"/>
    </row>
    <row r="33" spans="1:13">
      <c r="M33" s="1135"/>
    </row>
    <row r="34" spans="1:13">
      <c r="M34" s="1135"/>
    </row>
    <row r="35" spans="1:13">
      <c r="M35" s="1135"/>
    </row>
    <row r="36" spans="1:13">
      <c r="M36" s="1135"/>
    </row>
    <row r="37" spans="1:13">
      <c r="M37" s="1135"/>
    </row>
    <row r="38" spans="1:13">
      <c r="M38" s="1135"/>
    </row>
    <row r="39" spans="1:13">
      <c r="M39" s="1135"/>
    </row>
    <row r="40" spans="1:13">
      <c r="M40" s="1135"/>
    </row>
    <row r="41" spans="1:13">
      <c r="M41" s="1135"/>
    </row>
    <row r="42" spans="1:13">
      <c r="M42" s="1135"/>
    </row>
    <row r="43" spans="1:13">
      <c r="M43" s="1135"/>
    </row>
    <row r="44" spans="1:13">
      <c r="M44" s="1135"/>
    </row>
    <row r="45" spans="1:13">
      <c r="M45" s="1135"/>
    </row>
    <row r="46" spans="1:13">
      <c r="M46" s="1135"/>
    </row>
    <row r="47" spans="1:13">
      <c r="G47" s="2"/>
      <c r="J47" s="2"/>
    </row>
    <row r="48" spans="1:13" ht="15" customHeight="1">
      <c r="A48" s="334" t="s">
        <v>3255</v>
      </c>
      <c r="B48" s="186" t="s">
        <v>3256</v>
      </c>
      <c r="C48" s="186" t="s">
        <v>3257</v>
      </c>
      <c r="D48" s="334" t="s">
        <v>3263</v>
      </c>
      <c r="G48" s="334" t="s">
        <v>3255</v>
      </c>
      <c r="H48" s="186" t="s">
        <v>3256</v>
      </c>
      <c r="I48" s="186" t="s">
        <v>3257</v>
      </c>
      <c r="J48" s="334" t="s">
        <v>3263</v>
      </c>
      <c r="M48" s="1136" t="s">
        <v>3510</v>
      </c>
    </row>
    <row r="49" spans="1:13">
      <c r="A49" s="2" t="s">
        <v>432</v>
      </c>
      <c r="G49" s="2" t="s">
        <v>1146</v>
      </c>
      <c r="J49" s="2"/>
      <c r="M49" s="1136"/>
    </row>
    <row r="50" spans="1:13" ht="30">
      <c r="A50" s="2" t="s">
        <v>433</v>
      </c>
      <c r="G50" s="2" t="s">
        <v>1156</v>
      </c>
      <c r="J50" s="2"/>
      <c r="M50" s="1136"/>
    </row>
    <row r="51" spans="1:13" ht="30">
      <c r="A51" s="2" t="s">
        <v>431</v>
      </c>
      <c r="G51" s="2" t="s">
        <v>1163</v>
      </c>
      <c r="J51" s="2"/>
      <c r="M51" s="1136"/>
    </row>
    <row r="52" spans="1:13" ht="30">
      <c r="A52" s="2" t="s">
        <v>3262</v>
      </c>
      <c r="G52" s="2" t="s">
        <v>1171</v>
      </c>
      <c r="J52" s="2"/>
      <c r="M52" s="1136"/>
    </row>
    <row r="53" spans="1:13" ht="30">
      <c r="A53" s="2" t="s">
        <v>430</v>
      </c>
      <c r="G53" s="2" t="s">
        <v>1181</v>
      </c>
      <c r="J53" s="2"/>
      <c r="M53" s="1136"/>
    </row>
    <row r="54" spans="1:13" ht="30">
      <c r="A54" s="2" t="s">
        <v>434</v>
      </c>
      <c r="G54" s="2"/>
      <c r="J54" s="2"/>
      <c r="M54" s="1136"/>
    </row>
    <row r="55" spans="1:13">
      <c r="G55" s="334" t="s">
        <v>3258</v>
      </c>
      <c r="H55" s="186" t="s">
        <v>3256</v>
      </c>
      <c r="I55" s="186" t="s">
        <v>3257</v>
      </c>
      <c r="J55" s="334" t="s">
        <v>3263</v>
      </c>
      <c r="M55" s="1136"/>
    </row>
    <row r="56" spans="1:13">
      <c r="A56" s="334" t="s">
        <v>3258</v>
      </c>
      <c r="B56" s="186" t="s">
        <v>3256</v>
      </c>
      <c r="C56" s="186" t="s">
        <v>3257</v>
      </c>
      <c r="D56" s="334" t="s">
        <v>3263</v>
      </c>
      <c r="G56" s="2" t="s">
        <v>1146</v>
      </c>
      <c r="J56" s="2"/>
      <c r="M56" s="1136"/>
    </row>
    <row r="57" spans="1:13" ht="30">
      <c r="A57" s="2" t="s">
        <v>432</v>
      </c>
      <c r="G57" s="2" t="s">
        <v>1156</v>
      </c>
      <c r="J57" s="2"/>
      <c r="M57" s="1136"/>
    </row>
    <row r="58" spans="1:13" ht="30">
      <c r="A58" s="2" t="s">
        <v>433</v>
      </c>
      <c r="G58" s="2" t="s">
        <v>1163</v>
      </c>
      <c r="J58" s="2"/>
      <c r="M58" s="1136"/>
    </row>
    <row r="59" spans="1:13" ht="30">
      <c r="A59" s="2" t="s">
        <v>431</v>
      </c>
      <c r="G59" s="2" t="s">
        <v>1171</v>
      </c>
      <c r="J59" s="2"/>
      <c r="M59" s="1136"/>
    </row>
    <row r="60" spans="1:13" ht="30">
      <c r="A60" s="2" t="s">
        <v>3262</v>
      </c>
      <c r="G60" s="2" t="s">
        <v>1181</v>
      </c>
      <c r="J60" s="2"/>
      <c r="M60" s="1136"/>
    </row>
    <row r="61" spans="1:13">
      <c r="A61" s="2" t="s">
        <v>430</v>
      </c>
      <c r="G61" s="2"/>
      <c r="J61" s="2"/>
      <c r="M61" s="1136"/>
    </row>
    <row r="62" spans="1:13" ht="30">
      <c r="A62" s="2" t="s">
        <v>434</v>
      </c>
      <c r="G62" s="334" t="s">
        <v>3259</v>
      </c>
      <c r="H62" s="186" t="s">
        <v>3256</v>
      </c>
      <c r="I62" s="186" t="s">
        <v>3257</v>
      </c>
      <c r="J62" s="334" t="s">
        <v>3263</v>
      </c>
      <c r="M62" s="1136"/>
    </row>
    <row r="63" spans="1:13">
      <c r="G63" s="2" t="s">
        <v>1146</v>
      </c>
      <c r="J63" s="2"/>
      <c r="M63" s="1136"/>
    </row>
    <row r="64" spans="1:13" ht="30">
      <c r="A64" s="334" t="s">
        <v>3259</v>
      </c>
      <c r="B64" s="186" t="s">
        <v>3256</v>
      </c>
      <c r="C64" s="186" t="s">
        <v>3257</v>
      </c>
      <c r="D64" s="334" t="s">
        <v>3263</v>
      </c>
      <c r="G64" s="2" t="s">
        <v>1156</v>
      </c>
      <c r="J64" s="2"/>
      <c r="M64" s="1136"/>
    </row>
    <row r="65" spans="1:13">
      <c r="A65" s="2" t="s">
        <v>432</v>
      </c>
      <c r="G65" s="2" t="s">
        <v>1163</v>
      </c>
      <c r="J65" s="2"/>
      <c r="M65" s="1136"/>
    </row>
    <row r="66" spans="1:13" ht="30">
      <c r="A66" s="2" t="s">
        <v>433</v>
      </c>
      <c r="G66" s="2" t="s">
        <v>1171</v>
      </c>
      <c r="J66" s="2"/>
      <c r="M66" s="1136"/>
    </row>
    <row r="67" spans="1:13" ht="30">
      <c r="A67" s="2" t="s">
        <v>431</v>
      </c>
      <c r="G67" s="2" t="s">
        <v>1181</v>
      </c>
      <c r="J67" s="2"/>
      <c r="M67" s="1136"/>
    </row>
    <row r="68" spans="1:13" ht="30">
      <c r="A68" s="2" t="s">
        <v>3262</v>
      </c>
      <c r="G68" s="2"/>
      <c r="J68" s="2"/>
      <c r="M68" s="1136"/>
    </row>
    <row r="69" spans="1:13">
      <c r="A69" s="2" t="s">
        <v>430</v>
      </c>
      <c r="G69" s="334" t="s">
        <v>3260</v>
      </c>
      <c r="H69" s="186" t="s">
        <v>3256</v>
      </c>
      <c r="I69" s="186" t="s">
        <v>3257</v>
      </c>
      <c r="J69" s="334" t="s">
        <v>3263</v>
      </c>
      <c r="M69" s="1136"/>
    </row>
    <row r="70" spans="1:13" ht="30">
      <c r="A70" s="2" t="s">
        <v>434</v>
      </c>
      <c r="G70" s="2" t="s">
        <v>1146</v>
      </c>
      <c r="J70" s="2"/>
      <c r="M70" s="1136"/>
    </row>
    <row r="71" spans="1:13" ht="30">
      <c r="G71" s="2" t="s">
        <v>1156</v>
      </c>
      <c r="J71" s="2"/>
      <c r="M71" s="1136"/>
    </row>
    <row r="72" spans="1:13">
      <c r="A72" s="334" t="s">
        <v>3260</v>
      </c>
      <c r="B72" s="186" t="s">
        <v>3256</v>
      </c>
      <c r="C72" s="186" t="s">
        <v>3257</v>
      </c>
      <c r="D72" s="334" t="s">
        <v>3263</v>
      </c>
      <c r="G72" s="2" t="s">
        <v>1163</v>
      </c>
      <c r="J72" s="2"/>
      <c r="M72" s="1136"/>
    </row>
    <row r="73" spans="1:13">
      <c r="A73" s="2" t="s">
        <v>432</v>
      </c>
      <c r="G73" s="2" t="s">
        <v>1171</v>
      </c>
      <c r="J73" s="2"/>
      <c r="M73" s="1136"/>
    </row>
    <row r="74" spans="1:13" ht="30">
      <c r="A74" s="2" t="s">
        <v>433</v>
      </c>
      <c r="G74" s="2" t="s">
        <v>1181</v>
      </c>
      <c r="J74" s="2"/>
      <c r="M74" s="1136"/>
    </row>
    <row r="75" spans="1:13" ht="30">
      <c r="A75" s="2" t="s">
        <v>431</v>
      </c>
      <c r="G75" s="2"/>
      <c r="J75" s="2"/>
      <c r="M75" s="1136"/>
    </row>
    <row r="76" spans="1:13" ht="30">
      <c r="A76" s="2" t="s">
        <v>3262</v>
      </c>
      <c r="G76" s="334" t="s">
        <v>3261</v>
      </c>
      <c r="H76" s="186" t="s">
        <v>3256</v>
      </c>
      <c r="I76" s="186" t="s">
        <v>3257</v>
      </c>
      <c r="J76" s="334" t="s">
        <v>3263</v>
      </c>
      <c r="M76" s="1136"/>
    </row>
    <row r="77" spans="1:13">
      <c r="A77" s="2" t="s">
        <v>430</v>
      </c>
      <c r="G77" s="2" t="s">
        <v>1146</v>
      </c>
      <c r="J77" s="2"/>
      <c r="M77" s="1136"/>
    </row>
    <row r="78" spans="1:13" ht="30">
      <c r="A78" s="2" t="s">
        <v>434</v>
      </c>
      <c r="G78" s="2" t="s">
        <v>1156</v>
      </c>
      <c r="J78" s="2"/>
      <c r="M78" s="1136"/>
    </row>
    <row r="79" spans="1:13">
      <c r="G79" s="2" t="s">
        <v>1163</v>
      </c>
      <c r="J79" s="2"/>
      <c r="M79" s="1136"/>
    </row>
    <row r="80" spans="1:13">
      <c r="G80" s="2" t="s">
        <v>1171</v>
      </c>
      <c r="J80" s="2"/>
      <c r="M80" s="1136"/>
    </row>
    <row r="81" spans="1:13" ht="30">
      <c r="A81" s="334" t="s">
        <v>3261</v>
      </c>
      <c r="B81" s="186" t="s">
        <v>3256</v>
      </c>
      <c r="C81" s="186" t="s">
        <v>3257</v>
      </c>
      <c r="D81" s="334" t="s">
        <v>3263</v>
      </c>
      <c r="G81" s="2" t="s">
        <v>1181</v>
      </c>
      <c r="J81" s="2"/>
      <c r="M81" s="1136"/>
    </row>
    <row r="82" spans="1:13">
      <c r="A82" s="2" t="s">
        <v>432</v>
      </c>
      <c r="G82" s="2"/>
      <c r="J82" s="2"/>
      <c r="M82" s="1136"/>
    </row>
    <row r="83" spans="1:13" ht="30">
      <c r="A83" s="2" t="s">
        <v>433</v>
      </c>
      <c r="G83" s="2"/>
      <c r="J83" s="2"/>
      <c r="M83" s="1136"/>
    </row>
    <row r="84" spans="1:13" ht="30">
      <c r="A84" s="2" t="s">
        <v>431</v>
      </c>
      <c r="G84" s="2"/>
      <c r="J84" s="2"/>
      <c r="M84" s="1136"/>
    </row>
    <row r="85" spans="1:13" ht="30">
      <c r="A85" s="2" t="s">
        <v>3262</v>
      </c>
      <c r="G85" s="2"/>
      <c r="J85" s="2"/>
      <c r="M85" s="1136"/>
    </row>
    <row r="86" spans="1:13">
      <c r="A86" s="2" t="s">
        <v>430</v>
      </c>
      <c r="G86" s="334"/>
      <c r="H86" s="186"/>
      <c r="I86" s="186"/>
      <c r="J86" s="334"/>
      <c r="M86" s="1136"/>
    </row>
    <row r="87" spans="1:13" ht="30">
      <c r="A87" s="2" t="s">
        <v>434</v>
      </c>
      <c r="G87" s="2"/>
      <c r="J87" s="2"/>
      <c r="M87" s="1136"/>
    </row>
    <row r="88" spans="1:13">
      <c r="G88" s="2"/>
      <c r="J88" s="2"/>
      <c r="M88" s="950"/>
    </row>
    <row r="89" spans="1:13">
      <c r="A89" s="1093"/>
      <c r="B89" s="186" t="s">
        <v>3256</v>
      </c>
      <c r="C89" s="186" t="s">
        <v>3257</v>
      </c>
      <c r="D89" s="334" t="s">
        <v>3263</v>
      </c>
      <c r="G89" s="1093"/>
      <c r="H89" s="186" t="s">
        <v>3256</v>
      </c>
      <c r="I89" s="186" t="s">
        <v>3257</v>
      </c>
      <c r="J89" s="334" t="s">
        <v>3263</v>
      </c>
      <c r="M89" s="1137" t="s">
        <v>3786</v>
      </c>
    </row>
    <row r="90" spans="1:13">
      <c r="A90" s="2" t="s">
        <v>633</v>
      </c>
      <c r="G90" s="2" t="s">
        <v>1264</v>
      </c>
      <c r="J90" s="2"/>
      <c r="M90" s="1137"/>
    </row>
    <row r="91" spans="1:13" ht="30">
      <c r="A91" s="2" t="s">
        <v>627</v>
      </c>
      <c r="G91" s="2" t="s">
        <v>1284</v>
      </c>
      <c r="J91" s="2"/>
      <c r="M91" s="1137"/>
    </row>
    <row r="92" spans="1:13" ht="30">
      <c r="A92" s="2" t="s">
        <v>628</v>
      </c>
      <c r="G92" s="2" t="s">
        <v>1274</v>
      </c>
      <c r="J92" s="2"/>
      <c r="M92" s="1137"/>
    </row>
    <row r="93" spans="1:13" ht="30">
      <c r="A93" s="2" t="s">
        <v>1259</v>
      </c>
      <c r="G93" s="2" t="s">
        <v>1279</v>
      </c>
      <c r="J93" s="2"/>
      <c r="M93" s="1137"/>
    </row>
    <row r="94" spans="1:13" ht="34.5">
      <c r="A94" s="838" t="s">
        <v>630</v>
      </c>
      <c r="G94" s="838" t="s">
        <v>1269</v>
      </c>
      <c r="J94" s="2"/>
      <c r="M94" s="1137"/>
    </row>
    <row r="95" spans="1:13">
      <c r="A95" s="2" t="s">
        <v>629</v>
      </c>
      <c r="G95" s="2" t="s">
        <v>3488</v>
      </c>
      <c r="J95" s="2"/>
      <c r="M95" s="1137"/>
    </row>
    <row r="96" spans="1:13" ht="45">
      <c r="A96" s="2" t="s">
        <v>3272</v>
      </c>
      <c r="G96" s="2" t="s">
        <v>3489</v>
      </c>
      <c r="J96" s="2"/>
      <c r="M96" s="1137"/>
    </row>
    <row r="97" spans="1:13" ht="30">
      <c r="A97" s="2" t="s">
        <v>632</v>
      </c>
      <c r="G97" s="2" t="s">
        <v>632</v>
      </c>
      <c r="J97" s="2"/>
      <c r="M97" s="1137"/>
    </row>
    <row r="98" spans="1:13">
      <c r="G98" s="2"/>
      <c r="J98" s="2"/>
      <c r="M98" s="1137"/>
    </row>
    <row r="99" spans="1:13">
      <c r="A99" s="334"/>
      <c r="B99" s="186"/>
      <c r="C99" s="186"/>
      <c r="D99" s="334"/>
      <c r="G99" s="334"/>
      <c r="H99" s="186"/>
      <c r="I99" s="186"/>
      <c r="J99" s="334"/>
      <c r="M99" s="1137"/>
    </row>
    <row r="100" spans="1:13">
      <c r="G100" s="2"/>
      <c r="M100" s="1137"/>
    </row>
    <row r="101" spans="1:13">
      <c r="G101" s="2"/>
      <c r="M101" s="1137"/>
    </row>
    <row r="102" spans="1:13">
      <c r="G102" s="2"/>
      <c r="M102" s="1137"/>
    </row>
    <row r="103" spans="1:13">
      <c r="G103" s="2"/>
      <c r="M103" s="1137"/>
    </row>
    <row r="104" spans="1:13" ht="17.25">
      <c r="A104" s="838"/>
      <c r="G104" s="838"/>
      <c r="M104" s="1137"/>
    </row>
    <row r="105" spans="1:13">
      <c r="G105" s="2"/>
      <c r="M105" s="1137"/>
    </row>
    <row r="106" spans="1:13">
      <c r="G106" s="2"/>
      <c r="M106" s="1137"/>
    </row>
    <row r="107" spans="1:13">
      <c r="G107" s="2"/>
      <c r="M107" s="1137"/>
    </row>
    <row r="108" spans="1:13">
      <c r="M108" s="1137"/>
    </row>
    <row r="109" spans="1:13">
      <c r="A109" s="334"/>
      <c r="B109" s="186"/>
      <c r="C109" s="186"/>
      <c r="D109" s="334"/>
      <c r="G109" s="334"/>
      <c r="H109" s="186"/>
      <c r="I109" s="186"/>
      <c r="J109" s="334"/>
      <c r="M109" s="1137"/>
    </row>
    <row r="110" spans="1:13" ht="15" customHeight="1">
      <c r="G110" s="2"/>
      <c r="M110" s="1137"/>
    </row>
    <row r="111" spans="1:13">
      <c r="G111" s="2"/>
      <c r="M111" s="1137"/>
    </row>
    <row r="112" spans="1:13">
      <c r="G112" s="2"/>
      <c r="M112" s="1137"/>
    </row>
    <row r="113" spans="1:13">
      <c r="G113" s="2"/>
      <c r="M113" s="1137"/>
    </row>
    <row r="114" spans="1:13" ht="17.25">
      <c r="G114" s="838"/>
      <c r="M114" s="1137"/>
    </row>
    <row r="115" spans="1:13">
      <c r="G115" s="2"/>
      <c r="M115" s="1137"/>
    </row>
    <row r="116" spans="1:13">
      <c r="G116" s="2"/>
      <c r="M116" s="1137"/>
    </row>
    <row r="117" spans="1:13">
      <c r="G117" s="2"/>
      <c r="M117" s="1137"/>
    </row>
    <row r="118" spans="1:13">
      <c r="M118" s="1137"/>
    </row>
    <row r="119" spans="1:13">
      <c r="A119" s="334"/>
      <c r="B119" s="186"/>
      <c r="C119" s="186"/>
      <c r="D119" s="334"/>
      <c r="G119" s="334"/>
      <c r="H119" s="186"/>
      <c r="I119" s="186"/>
      <c r="J119" s="334"/>
      <c r="M119" s="1137"/>
    </row>
    <row r="120" spans="1:13">
      <c r="G120" s="2"/>
      <c r="M120" s="1137"/>
    </row>
    <row r="121" spans="1:13" ht="15" customHeight="1">
      <c r="G121" s="2"/>
      <c r="M121" s="1137"/>
    </row>
    <row r="122" spans="1:13">
      <c r="G122" s="2"/>
      <c r="M122" s="1137"/>
    </row>
    <row r="123" spans="1:13">
      <c r="G123" s="2"/>
      <c r="M123" s="1137"/>
    </row>
    <row r="124" spans="1:13" ht="17.25">
      <c r="G124" s="838"/>
      <c r="M124" s="1137"/>
    </row>
    <row r="125" spans="1:13">
      <c r="G125" s="2"/>
      <c r="M125" s="1137"/>
    </row>
    <row r="126" spans="1:13">
      <c r="G126" s="2"/>
      <c r="M126" s="1137"/>
    </row>
    <row r="127" spans="1:13">
      <c r="G127" s="2"/>
      <c r="M127" s="1137"/>
    </row>
    <row r="128" spans="1:13">
      <c r="M128" s="1137"/>
    </row>
    <row r="129" spans="1:13">
      <c r="A129" s="334"/>
      <c r="B129" s="186"/>
      <c r="C129" s="186"/>
      <c r="D129" s="334"/>
      <c r="G129" s="334"/>
      <c r="H129" s="186"/>
      <c r="I129" s="186"/>
      <c r="J129" s="334"/>
      <c r="M129" s="1137"/>
    </row>
    <row r="130" spans="1:13">
      <c r="G130" s="2"/>
      <c r="M130" s="1137"/>
    </row>
    <row r="131" spans="1:13">
      <c r="G131" s="2"/>
      <c r="M131" s="1137"/>
    </row>
    <row r="132" spans="1:13">
      <c r="G132" s="2"/>
      <c r="M132" s="1137"/>
    </row>
    <row r="133" spans="1:13">
      <c r="G133" s="2"/>
      <c r="M133" s="1137"/>
    </row>
    <row r="134" spans="1:13" ht="17.25">
      <c r="G134" s="838"/>
      <c r="M134" s="1137"/>
    </row>
    <row r="135" spans="1:13">
      <c r="G135" s="2"/>
      <c r="M135" s="1137"/>
    </row>
    <row r="136" spans="1:13">
      <c r="G136" s="2"/>
      <c r="M136" s="1137"/>
    </row>
    <row r="137" spans="1:13">
      <c r="G137" s="2"/>
      <c r="M137" s="1137"/>
    </row>
    <row r="138" spans="1:13">
      <c r="M138" s="1137"/>
    </row>
    <row r="139" spans="1:13">
      <c r="A139" s="334"/>
      <c r="B139" s="186"/>
      <c r="C139" s="186"/>
      <c r="D139" s="334"/>
      <c r="G139" s="334"/>
      <c r="H139" s="186"/>
      <c r="I139" s="186"/>
      <c r="J139" s="334"/>
      <c r="M139" s="1137"/>
    </row>
    <row r="140" spans="1:13">
      <c r="G140" s="2"/>
      <c r="M140" s="1137"/>
    </row>
    <row r="141" spans="1:13">
      <c r="G141" s="2"/>
      <c r="M141" s="1137"/>
    </row>
    <row r="142" spans="1:13">
      <c r="G142" s="2"/>
      <c r="M142" s="1137"/>
    </row>
    <row r="143" spans="1:13">
      <c r="G143" s="2"/>
      <c r="M143" s="1137"/>
    </row>
    <row r="144" spans="1:13" ht="17.25">
      <c r="G144" s="838"/>
      <c r="M144" s="1137"/>
    </row>
    <row r="145" spans="1:13">
      <c r="G145" s="2"/>
      <c r="M145" s="1137"/>
    </row>
    <row r="146" spans="1:13">
      <c r="G146" s="2"/>
      <c r="M146" s="1137"/>
    </row>
    <row r="147" spans="1:13">
      <c r="G147" s="2"/>
      <c r="M147" s="1137"/>
    </row>
    <row r="148" spans="1:13">
      <c r="M148" s="1137"/>
    </row>
    <row r="149" spans="1:13">
      <c r="A149" s="334"/>
      <c r="B149" s="186"/>
      <c r="C149" s="186"/>
      <c r="D149" s="334"/>
      <c r="G149" s="334"/>
      <c r="H149" s="186"/>
      <c r="I149" s="186"/>
      <c r="J149" s="334"/>
      <c r="M149" s="1137"/>
    </row>
    <row r="150" spans="1:13">
      <c r="G150" s="2"/>
      <c r="M150" s="1137"/>
    </row>
    <row r="151" spans="1:13">
      <c r="G151" s="2"/>
      <c r="M151" s="1137"/>
    </row>
    <row r="152" spans="1:13">
      <c r="G152" s="2"/>
      <c r="M152" s="1137"/>
    </row>
    <row r="153" spans="1:13">
      <c r="G153" s="2"/>
      <c r="M153" s="1137"/>
    </row>
    <row r="154" spans="1:13" ht="17.25">
      <c r="G154" s="838"/>
      <c r="M154" s="1137"/>
    </row>
    <row r="155" spans="1:13">
      <c r="G155" s="2"/>
      <c r="M155" s="1137"/>
    </row>
    <row r="156" spans="1:13">
      <c r="G156" s="2"/>
      <c r="M156" s="1137"/>
    </row>
    <row r="157" spans="1:13">
      <c r="G157" s="2"/>
      <c r="M157" s="1137"/>
    </row>
    <row r="158" spans="1:13">
      <c r="M158" s="1137"/>
    </row>
    <row r="159" spans="1:13">
      <c r="A159" s="334"/>
      <c r="B159" s="186"/>
      <c r="C159" s="186"/>
      <c r="D159" s="334"/>
      <c r="G159" s="334"/>
      <c r="H159" s="186"/>
      <c r="I159" s="186"/>
      <c r="J159" s="334"/>
      <c r="M159" s="1137"/>
    </row>
    <row r="160" spans="1:13">
      <c r="G160" s="2"/>
      <c r="M160" s="1137"/>
    </row>
    <row r="161" spans="1:13">
      <c r="G161" s="2"/>
      <c r="M161" s="1137"/>
    </row>
    <row r="162" spans="1:13">
      <c r="G162" s="2"/>
      <c r="M162" s="1137"/>
    </row>
    <row r="163" spans="1:13">
      <c r="G163" s="2"/>
      <c r="M163" s="1137"/>
    </row>
    <row r="164" spans="1:13" ht="17.25">
      <c r="G164" s="838"/>
      <c r="M164" s="1137"/>
    </row>
    <row r="165" spans="1:13">
      <c r="G165" s="2"/>
      <c r="M165" s="1137"/>
    </row>
    <row r="166" spans="1:13">
      <c r="G166" s="2"/>
      <c r="M166" s="1137"/>
    </row>
    <row r="167" spans="1:13">
      <c r="G167" s="2"/>
      <c r="M167" s="1137"/>
    </row>
    <row r="168" spans="1:13">
      <c r="G168" s="2"/>
      <c r="M168" s="950"/>
    </row>
    <row r="169" spans="1:13" ht="15" customHeight="1">
      <c r="A169" s="334" t="s">
        <v>834</v>
      </c>
      <c r="B169" s="186" t="s">
        <v>3256</v>
      </c>
      <c r="C169" s="186" t="s">
        <v>3257</v>
      </c>
      <c r="D169" s="334" t="s">
        <v>3263</v>
      </c>
      <c r="G169" s="334" t="s">
        <v>834</v>
      </c>
      <c r="H169" s="186" t="s">
        <v>3256</v>
      </c>
      <c r="I169" s="186" t="s">
        <v>3257</v>
      </c>
      <c r="J169" s="334" t="s">
        <v>3263</v>
      </c>
      <c r="M169" s="1137" t="s">
        <v>3787</v>
      </c>
    </row>
    <row r="170" spans="1:13" ht="30">
      <c r="A170" s="2" t="s">
        <v>3624</v>
      </c>
      <c r="G170" s="2" t="s">
        <v>3630</v>
      </c>
      <c r="J170" s="2"/>
      <c r="M170" s="1137"/>
    </row>
    <row r="171" spans="1:13" ht="30">
      <c r="A171" s="2" t="s">
        <v>3625</v>
      </c>
      <c r="G171" s="2" t="s">
        <v>3631</v>
      </c>
      <c r="J171" s="2"/>
      <c r="M171" s="1137"/>
    </row>
    <row r="172" spans="1:13" ht="30">
      <c r="A172" s="2" t="s">
        <v>3626</v>
      </c>
      <c r="G172" s="2" t="s">
        <v>3632</v>
      </c>
      <c r="J172" s="2"/>
      <c r="M172" s="1137"/>
    </row>
    <row r="173" spans="1:13" ht="30">
      <c r="A173" s="2" t="s">
        <v>3627</v>
      </c>
      <c r="G173" s="2" t="s">
        <v>3633</v>
      </c>
      <c r="J173" s="2"/>
      <c r="M173" s="1137"/>
    </row>
    <row r="174" spans="1:13" ht="30">
      <c r="A174" s="2" t="s">
        <v>3628</v>
      </c>
      <c r="G174" s="2" t="s">
        <v>3634</v>
      </c>
      <c r="J174" s="2"/>
      <c r="M174" s="1137"/>
    </row>
    <row r="175" spans="1:13">
      <c r="A175" s="2" t="s">
        <v>3629</v>
      </c>
      <c r="G175" s="2" t="s">
        <v>3635</v>
      </c>
      <c r="J175" s="2"/>
      <c r="M175" s="1137"/>
    </row>
    <row r="176" spans="1:13" ht="30">
      <c r="A176" s="2" t="s">
        <v>3745</v>
      </c>
      <c r="G176" s="2" t="s">
        <v>3753</v>
      </c>
      <c r="J176" s="2"/>
      <c r="M176" s="1137"/>
    </row>
    <row r="177" spans="1:13" ht="15.75" thickBot="1">
      <c r="A177" s="638"/>
      <c r="G177" s="2"/>
      <c r="J177" s="2"/>
      <c r="M177" s="1137"/>
    </row>
    <row r="178" spans="1:13" ht="30">
      <c r="A178" s="334" t="s">
        <v>3273</v>
      </c>
      <c r="B178" s="186" t="s">
        <v>3256</v>
      </c>
      <c r="C178" s="186" t="s">
        <v>3257</v>
      </c>
      <c r="D178" s="334" t="s">
        <v>3263</v>
      </c>
      <c r="G178" s="334" t="s">
        <v>3273</v>
      </c>
      <c r="H178" s="186" t="s">
        <v>3256</v>
      </c>
      <c r="I178" s="186" t="s">
        <v>3257</v>
      </c>
      <c r="J178" s="334" t="s">
        <v>3263</v>
      </c>
      <c r="M178" s="1137"/>
    </row>
    <row r="179" spans="1:13" ht="30">
      <c r="A179" s="2" t="s">
        <v>3624</v>
      </c>
      <c r="G179" s="2" t="s">
        <v>3630</v>
      </c>
      <c r="M179" s="1137"/>
    </row>
    <row r="180" spans="1:13" ht="30">
      <c r="A180" s="2" t="s">
        <v>3625</v>
      </c>
      <c r="G180" s="2" t="s">
        <v>3631</v>
      </c>
      <c r="M180" s="1137"/>
    </row>
    <row r="181" spans="1:13" ht="30">
      <c r="A181" s="2" t="s">
        <v>3626</v>
      </c>
      <c r="G181" s="2" t="s">
        <v>3632</v>
      </c>
      <c r="M181" s="1137"/>
    </row>
    <row r="182" spans="1:13" ht="30">
      <c r="A182" s="2" t="s">
        <v>3627</v>
      </c>
      <c r="G182" s="2" t="s">
        <v>3633</v>
      </c>
      <c r="M182" s="1137"/>
    </row>
    <row r="183" spans="1:13" ht="30">
      <c r="A183" s="2" t="s">
        <v>3628</v>
      </c>
      <c r="G183" s="2" t="s">
        <v>3634</v>
      </c>
      <c r="M183" s="1137"/>
    </row>
    <row r="184" spans="1:13">
      <c r="A184" s="2" t="s">
        <v>3629</v>
      </c>
      <c r="G184" s="2" t="s">
        <v>3635</v>
      </c>
      <c r="M184" s="1137"/>
    </row>
    <row r="185" spans="1:13" ht="30">
      <c r="A185" s="2" t="s">
        <v>3745</v>
      </c>
      <c r="G185" s="2" t="s">
        <v>3753</v>
      </c>
      <c r="M185" s="1137"/>
    </row>
    <row r="186" spans="1:13">
      <c r="G186" s="2"/>
      <c r="M186" s="1137"/>
    </row>
    <row r="187" spans="1:13">
      <c r="A187" s="334" t="s">
        <v>833</v>
      </c>
      <c r="B187" s="186" t="s">
        <v>3256</v>
      </c>
      <c r="C187" s="186" t="s">
        <v>3257</v>
      </c>
      <c r="D187" s="334" t="s">
        <v>3263</v>
      </c>
      <c r="G187" s="334" t="s">
        <v>833</v>
      </c>
      <c r="H187" s="186" t="s">
        <v>3256</v>
      </c>
      <c r="I187" s="186" t="s">
        <v>3257</v>
      </c>
      <c r="J187" s="334" t="s">
        <v>3263</v>
      </c>
      <c r="M187" s="1137"/>
    </row>
    <row r="188" spans="1:13" ht="30">
      <c r="A188" s="2" t="s">
        <v>3624</v>
      </c>
      <c r="G188" s="2" t="s">
        <v>3630</v>
      </c>
      <c r="M188" s="1137"/>
    </row>
    <row r="189" spans="1:13" ht="30">
      <c r="A189" s="2" t="s">
        <v>3625</v>
      </c>
      <c r="G189" s="2" t="s">
        <v>3631</v>
      </c>
      <c r="M189" s="1137"/>
    </row>
    <row r="190" spans="1:13" ht="15" customHeight="1">
      <c r="A190" s="2" t="s">
        <v>3626</v>
      </c>
      <c r="G190" s="2" t="s">
        <v>3632</v>
      </c>
      <c r="M190" s="1137"/>
    </row>
    <row r="191" spans="1:13" ht="30">
      <c r="A191" s="2" t="s">
        <v>3627</v>
      </c>
      <c r="G191" s="2" t="s">
        <v>3633</v>
      </c>
      <c r="M191" s="1137"/>
    </row>
    <row r="192" spans="1:13" ht="30">
      <c r="A192" s="2" t="s">
        <v>3628</v>
      </c>
      <c r="G192" s="2" t="s">
        <v>3634</v>
      </c>
      <c r="M192" s="1137"/>
    </row>
    <row r="193" spans="1:13">
      <c r="A193" s="2" t="s">
        <v>3629</v>
      </c>
      <c r="G193" s="2" t="s">
        <v>3635</v>
      </c>
      <c r="M193" s="1137"/>
    </row>
    <row r="194" spans="1:13" ht="30">
      <c r="A194" s="2" t="s">
        <v>3745</v>
      </c>
      <c r="G194" s="2" t="s">
        <v>3753</v>
      </c>
      <c r="M194" s="1137"/>
    </row>
    <row r="195" spans="1:13">
      <c r="M195" s="1137"/>
    </row>
    <row r="196" spans="1:13">
      <c r="A196" s="334" t="s">
        <v>830</v>
      </c>
      <c r="B196" s="186" t="s">
        <v>3256</v>
      </c>
      <c r="C196" s="186" t="s">
        <v>3257</v>
      </c>
      <c r="D196" s="334" t="s">
        <v>3263</v>
      </c>
      <c r="G196" s="334" t="s">
        <v>830</v>
      </c>
      <c r="H196" s="186" t="s">
        <v>3256</v>
      </c>
      <c r="I196" s="186" t="s">
        <v>3257</v>
      </c>
      <c r="J196" s="334" t="s">
        <v>3263</v>
      </c>
      <c r="M196" s="1137"/>
    </row>
    <row r="197" spans="1:13" ht="30">
      <c r="A197" s="2" t="s">
        <v>3624</v>
      </c>
      <c r="G197" s="2" t="s">
        <v>3630</v>
      </c>
      <c r="M197" s="1137"/>
    </row>
    <row r="198" spans="1:13" ht="30">
      <c r="A198" s="2" t="s">
        <v>3625</v>
      </c>
      <c r="G198" s="2" t="s">
        <v>3631</v>
      </c>
      <c r="M198" s="1137"/>
    </row>
    <row r="199" spans="1:13" ht="30">
      <c r="A199" s="2" t="s">
        <v>3626</v>
      </c>
      <c r="G199" s="2" t="s">
        <v>3632</v>
      </c>
      <c r="M199" s="1137"/>
    </row>
    <row r="200" spans="1:13" ht="30">
      <c r="A200" s="2" t="s">
        <v>3627</v>
      </c>
      <c r="G200" s="2" t="s">
        <v>3633</v>
      </c>
      <c r="M200" s="1137"/>
    </row>
    <row r="201" spans="1:13" ht="15" customHeight="1">
      <c r="A201" s="2" t="s">
        <v>3628</v>
      </c>
      <c r="G201" s="2" t="s">
        <v>3634</v>
      </c>
      <c r="M201" s="1137"/>
    </row>
    <row r="202" spans="1:13">
      <c r="A202" s="2" t="s">
        <v>3629</v>
      </c>
      <c r="G202" s="2" t="s">
        <v>3635</v>
      </c>
      <c r="M202" s="1137"/>
    </row>
    <row r="203" spans="1:13" ht="30">
      <c r="A203" s="2" t="s">
        <v>3745</v>
      </c>
      <c r="G203" s="2" t="s">
        <v>3753</v>
      </c>
      <c r="M203" s="1137"/>
    </row>
    <row r="204" spans="1:13">
      <c r="M204" s="1137"/>
    </row>
    <row r="205" spans="1:13" ht="30" customHeight="1">
      <c r="A205" s="334" t="s">
        <v>3274</v>
      </c>
      <c r="B205" s="186" t="s">
        <v>3256</v>
      </c>
      <c r="C205" s="186" t="s">
        <v>3257</v>
      </c>
      <c r="D205" s="334" t="s">
        <v>3263</v>
      </c>
      <c r="G205" s="334" t="s">
        <v>3491</v>
      </c>
      <c r="H205" s="186" t="s">
        <v>3256</v>
      </c>
      <c r="I205" s="186" t="s">
        <v>3257</v>
      </c>
      <c r="J205" s="334" t="s">
        <v>3263</v>
      </c>
      <c r="M205" s="1137"/>
    </row>
    <row r="206" spans="1:13" ht="30">
      <c r="A206" s="2" t="s">
        <v>3624</v>
      </c>
      <c r="G206" s="2" t="s">
        <v>3630</v>
      </c>
      <c r="M206" s="1137"/>
    </row>
    <row r="207" spans="1:13" ht="30">
      <c r="A207" s="2" t="s">
        <v>3625</v>
      </c>
      <c r="G207" s="2" t="s">
        <v>3631</v>
      </c>
      <c r="M207" s="1137"/>
    </row>
    <row r="208" spans="1:13" ht="30">
      <c r="A208" s="2" t="s">
        <v>3626</v>
      </c>
      <c r="G208" s="2" t="s">
        <v>3632</v>
      </c>
      <c r="M208" s="1137"/>
    </row>
    <row r="209" spans="1:13" ht="30">
      <c r="A209" s="2" t="s">
        <v>3627</v>
      </c>
      <c r="G209" s="2" t="s">
        <v>3633</v>
      </c>
      <c r="M209" s="1137"/>
    </row>
    <row r="210" spans="1:13" ht="30">
      <c r="A210" s="2" t="s">
        <v>3628</v>
      </c>
      <c r="G210" s="2" t="s">
        <v>3634</v>
      </c>
      <c r="M210" s="1137"/>
    </row>
    <row r="211" spans="1:13">
      <c r="A211" s="2" t="s">
        <v>3629</v>
      </c>
      <c r="G211" s="2" t="s">
        <v>3635</v>
      </c>
      <c r="M211" s="1137"/>
    </row>
    <row r="212" spans="1:13" ht="30">
      <c r="A212" s="2" t="s">
        <v>3745</v>
      </c>
      <c r="G212" s="2" t="s">
        <v>3753</v>
      </c>
      <c r="M212" s="1137"/>
    </row>
    <row r="213" spans="1:13">
      <c r="M213" s="1137"/>
    </row>
    <row r="214" spans="1:13">
      <c r="A214" s="334" t="s">
        <v>791</v>
      </c>
      <c r="B214" s="186" t="s">
        <v>3256</v>
      </c>
      <c r="C214" s="186" t="s">
        <v>3257</v>
      </c>
      <c r="D214" s="334" t="s">
        <v>3263</v>
      </c>
      <c r="G214" s="334" t="s">
        <v>791</v>
      </c>
      <c r="H214" s="186" t="s">
        <v>3256</v>
      </c>
      <c r="I214" s="186" t="s">
        <v>3257</v>
      </c>
      <c r="J214" s="334" t="s">
        <v>3263</v>
      </c>
      <c r="M214" s="1137"/>
    </row>
    <row r="215" spans="1:13" ht="30">
      <c r="A215" s="2" t="s">
        <v>3624</v>
      </c>
      <c r="G215" s="2" t="s">
        <v>3630</v>
      </c>
      <c r="M215" s="1137"/>
    </row>
    <row r="216" spans="1:13" ht="30">
      <c r="A216" s="2" t="s">
        <v>3625</v>
      </c>
      <c r="G216" s="2" t="s">
        <v>3631</v>
      </c>
      <c r="M216" s="1137"/>
    </row>
    <row r="217" spans="1:13" ht="30">
      <c r="A217" s="2" t="s">
        <v>3626</v>
      </c>
      <c r="G217" s="2" t="s">
        <v>3632</v>
      </c>
      <c r="M217" s="1137"/>
    </row>
    <row r="218" spans="1:13" ht="30">
      <c r="A218" s="2" t="s">
        <v>3627</v>
      </c>
      <c r="G218" s="2" t="s">
        <v>3633</v>
      </c>
      <c r="M218" s="1137"/>
    </row>
    <row r="219" spans="1:13" ht="30">
      <c r="A219" s="2" t="s">
        <v>3628</v>
      </c>
      <c r="G219" s="2" t="s">
        <v>3634</v>
      </c>
      <c r="M219" s="1137"/>
    </row>
    <row r="220" spans="1:13">
      <c r="A220" s="2" t="s">
        <v>3629</v>
      </c>
      <c r="G220" s="2" t="s">
        <v>3635</v>
      </c>
      <c r="M220" s="1137"/>
    </row>
    <row r="221" spans="1:13" ht="30">
      <c r="A221" s="2" t="s">
        <v>3745</v>
      </c>
      <c r="G221" s="2" t="s">
        <v>3753</v>
      </c>
      <c r="M221" s="1137"/>
    </row>
    <row r="222" spans="1:13">
      <c r="M222" s="1137"/>
    </row>
    <row r="223" spans="1:13" ht="30">
      <c r="A223" s="334" t="s">
        <v>3275</v>
      </c>
      <c r="B223" s="186" t="s">
        <v>3256</v>
      </c>
      <c r="C223" s="186" t="s">
        <v>3257</v>
      </c>
      <c r="D223" s="334" t="s">
        <v>3263</v>
      </c>
      <c r="G223" s="334" t="s">
        <v>3492</v>
      </c>
      <c r="H223" s="186" t="s">
        <v>3256</v>
      </c>
      <c r="I223" s="186" t="s">
        <v>3257</v>
      </c>
      <c r="J223" s="334" t="s">
        <v>3263</v>
      </c>
      <c r="M223" s="1137"/>
    </row>
    <row r="224" spans="1:13" ht="30">
      <c r="A224" s="2" t="s">
        <v>3624</v>
      </c>
      <c r="G224" s="2" t="s">
        <v>3630</v>
      </c>
      <c r="M224" s="1137"/>
    </row>
    <row r="225" spans="1:13" ht="30">
      <c r="A225" s="2" t="s">
        <v>3625</v>
      </c>
      <c r="G225" s="2" t="s">
        <v>3631</v>
      </c>
      <c r="M225" s="1137"/>
    </row>
    <row r="226" spans="1:13" ht="30">
      <c r="A226" s="2" t="s">
        <v>3626</v>
      </c>
      <c r="G226" s="2" t="s">
        <v>3632</v>
      </c>
      <c r="M226" s="1137"/>
    </row>
    <row r="227" spans="1:13" ht="30">
      <c r="A227" s="2" t="s">
        <v>3627</v>
      </c>
      <c r="G227" s="2" t="s">
        <v>3633</v>
      </c>
      <c r="M227" s="1137"/>
    </row>
    <row r="228" spans="1:13" ht="30">
      <c r="A228" s="2" t="s">
        <v>3628</v>
      </c>
      <c r="G228" s="2" t="s">
        <v>3634</v>
      </c>
      <c r="M228" s="1137"/>
    </row>
    <row r="229" spans="1:13">
      <c r="A229" s="2" t="s">
        <v>3629</v>
      </c>
      <c r="G229" s="2" t="s">
        <v>3635</v>
      </c>
      <c r="M229" s="1137"/>
    </row>
    <row r="230" spans="1:13" ht="30">
      <c r="A230" s="2" t="s">
        <v>3745</v>
      </c>
      <c r="G230" s="2" t="s">
        <v>3753</v>
      </c>
      <c r="M230" s="1137"/>
    </row>
    <row r="231" spans="1:13">
      <c r="M231" s="1137"/>
    </row>
    <row r="232" spans="1:13">
      <c r="A232" s="334" t="s">
        <v>820</v>
      </c>
      <c r="B232" s="186" t="s">
        <v>3256</v>
      </c>
      <c r="C232" s="186" t="s">
        <v>3257</v>
      </c>
      <c r="D232" s="334" t="s">
        <v>3263</v>
      </c>
      <c r="G232" s="334" t="s">
        <v>820</v>
      </c>
      <c r="H232" s="186" t="s">
        <v>3256</v>
      </c>
      <c r="I232" s="186" t="s">
        <v>3257</v>
      </c>
      <c r="J232" s="334" t="s">
        <v>3263</v>
      </c>
      <c r="M232" s="1137"/>
    </row>
    <row r="233" spans="1:13" ht="30">
      <c r="A233" s="2" t="s">
        <v>3624</v>
      </c>
      <c r="G233" s="2" t="s">
        <v>3630</v>
      </c>
      <c r="M233" s="1137"/>
    </row>
    <row r="234" spans="1:13" ht="30">
      <c r="A234" s="2" t="s">
        <v>3625</v>
      </c>
      <c r="G234" s="2" t="s">
        <v>3631</v>
      </c>
      <c r="M234" s="1137"/>
    </row>
    <row r="235" spans="1:13" ht="30">
      <c r="A235" s="2" t="s">
        <v>3626</v>
      </c>
      <c r="G235" s="2" t="s">
        <v>3632</v>
      </c>
      <c r="M235" s="1137"/>
    </row>
    <row r="236" spans="1:13" ht="30">
      <c r="A236" s="2" t="s">
        <v>3627</v>
      </c>
      <c r="G236" s="2" t="s">
        <v>3633</v>
      </c>
      <c r="M236" s="1137"/>
    </row>
    <row r="237" spans="1:13" ht="30">
      <c r="A237" s="2" t="s">
        <v>3628</v>
      </c>
      <c r="G237" s="2" t="s">
        <v>3634</v>
      </c>
      <c r="M237" s="1137"/>
    </row>
    <row r="238" spans="1:13">
      <c r="A238" s="2" t="s">
        <v>3629</v>
      </c>
      <c r="G238" s="2" t="s">
        <v>3635</v>
      </c>
      <c r="M238" s="1137"/>
    </row>
    <row r="239" spans="1:13" ht="30">
      <c r="A239" s="2" t="s">
        <v>3745</v>
      </c>
      <c r="G239" s="2" t="s">
        <v>3753</v>
      </c>
      <c r="M239" s="1137"/>
    </row>
    <row r="240" spans="1:13">
      <c r="M240" s="334"/>
    </row>
    <row r="241" spans="1:13">
      <c r="A241" s="1093"/>
      <c r="B241" s="186" t="s">
        <v>3256</v>
      </c>
      <c r="C241" s="186" t="s">
        <v>3257</v>
      </c>
      <c r="D241" s="334" t="s">
        <v>3263</v>
      </c>
      <c r="G241" s="1093"/>
      <c r="H241" s="186" t="s">
        <v>3256</v>
      </c>
      <c r="I241" s="186" t="s">
        <v>3257</v>
      </c>
      <c r="J241" s="334" t="s">
        <v>3263</v>
      </c>
      <c r="M241" s="1138" t="s">
        <v>3790</v>
      </c>
    </row>
    <row r="242" spans="1:13" ht="15" customHeight="1">
      <c r="A242" s="322" t="s">
        <v>2511</v>
      </c>
      <c r="G242" s="2" t="s">
        <v>2511</v>
      </c>
      <c r="J242" s="2"/>
      <c r="M242" s="1138"/>
    </row>
    <row r="243" spans="1:13">
      <c r="A243" s="322" t="s">
        <v>614</v>
      </c>
      <c r="G243" s="2" t="s">
        <v>614</v>
      </c>
      <c r="J243" s="2"/>
      <c r="M243" s="1138"/>
    </row>
    <row r="244" spans="1:13" ht="30">
      <c r="A244" s="322" t="s">
        <v>3637</v>
      </c>
      <c r="G244" s="2" t="s">
        <v>3637</v>
      </c>
      <c r="J244" s="2"/>
      <c r="M244" s="1138"/>
    </row>
    <row r="245" spans="1:13" ht="30">
      <c r="A245" s="322" t="s">
        <v>3638</v>
      </c>
      <c r="G245" s="2" t="s">
        <v>3638</v>
      </c>
      <c r="J245" s="2"/>
      <c r="M245" s="1138"/>
    </row>
    <row r="246" spans="1:13" ht="45">
      <c r="A246" s="322" t="s">
        <v>2582</v>
      </c>
      <c r="G246" s="2" t="s">
        <v>2582</v>
      </c>
      <c r="J246" s="2"/>
      <c r="M246" s="1138"/>
    </row>
    <row r="247" spans="1:13" ht="30">
      <c r="A247" s="322" t="s">
        <v>2542</v>
      </c>
      <c r="G247" s="2" t="s">
        <v>2542</v>
      </c>
      <c r="J247" s="2"/>
      <c r="M247" s="1138"/>
    </row>
    <row r="248" spans="1:13" ht="45">
      <c r="A248" s="322" t="s">
        <v>3639</v>
      </c>
      <c r="G248" s="2" t="s">
        <v>3639</v>
      </c>
      <c r="J248" s="2"/>
      <c r="M248" s="1138"/>
    </row>
    <row r="249" spans="1:13" ht="30">
      <c r="A249" s="322" t="s">
        <v>3640</v>
      </c>
      <c r="G249" s="2" t="s">
        <v>3640</v>
      </c>
      <c r="J249" s="2"/>
      <c r="M249" s="1138"/>
    </row>
    <row r="250" spans="1:13">
      <c r="A250" s="322" t="s">
        <v>2697</v>
      </c>
      <c r="G250" s="2" t="s">
        <v>2697</v>
      </c>
      <c r="J250" s="2"/>
      <c r="M250" s="1138"/>
    </row>
    <row r="251" spans="1:13" ht="30">
      <c r="A251" s="322" t="s">
        <v>1243</v>
      </c>
      <c r="G251" s="2" t="s">
        <v>1243</v>
      </c>
      <c r="J251" s="2"/>
      <c r="M251" s="1138"/>
    </row>
    <row r="252" spans="1:13">
      <c r="G252" s="334"/>
      <c r="H252" s="186"/>
      <c r="I252" s="186"/>
      <c r="J252" s="334"/>
      <c r="M252" s="1138"/>
    </row>
    <row r="253" spans="1:13">
      <c r="A253" s="334"/>
      <c r="B253" s="186"/>
      <c r="C253" s="186"/>
      <c r="D253" s="334"/>
      <c r="G253" s="2"/>
      <c r="M253" s="1138"/>
    </row>
    <row r="254" spans="1:13">
      <c r="G254" s="2"/>
      <c r="M254" s="1138"/>
    </row>
    <row r="255" spans="1:13">
      <c r="G255" s="2"/>
      <c r="M255" s="1138"/>
    </row>
    <row r="256" spans="1:13">
      <c r="G256" s="2"/>
      <c r="M256" s="1138"/>
    </row>
    <row r="257" spans="1:13">
      <c r="G257" s="948"/>
      <c r="M257" s="1138"/>
    </row>
    <row r="258" spans="1:13">
      <c r="G258" s="948"/>
      <c r="M258" s="1138"/>
    </row>
    <row r="259" spans="1:13">
      <c r="G259" s="484"/>
      <c r="M259" s="1138"/>
    </row>
    <row r="260" spans="1:13">
      <c r="G260" s="484"/>
      <c r="M260" s="1138"/>
    </row>
    <row r="261" spans="1:13">
      <c r="G261" s="942"/>
      <c r="M261" s="1138"/>
    </row>
    <row r="262" spans="1:13">
      <c r="G262" s="942"/>
      <c r="M262" s="1138"/>
    </row>
    <row r="263" spans="1:13" ht="15" customHeight="1">
      <c r="G263" s="334"/>
      <c r="H263" s="186"/>
      <c r="I263" s="186"/>
      <c r="J263" s="334"/>
      <c r="M263" s="1138"/>
    </row>
    <row r="264" spans="1:13">
      <c r="A264" s="334"/>
      <c r="B264" s="186"/>
      <c r="C264" s="186"/>
      <c r="D264" s="334"/>
      <c r="G264" s="2"/>
      <c r="M264" s="1138"/>
    </row>
    <row r="265" spans="1:13">
      <c r="G265" s="2"/>
      <c r="M265" s="1138"/>
    </row>
    <row r="266" spans="1:13">
      <c r="G266" s="2"/>
      <c r="M266" s="1138"/>
    </row>
    <row r="267" spans="1:13">
      <c r="G267" s="2"/>
      <c r="M267" s="1138"/>
    </row>
    <row r="268" spans="1:13">
      <c r="G268" s="948"/>
      <c r="M268" s="1138"/>
    </row>
    <row r="269" spans="1:13">
      <c r="G269" s="948"/>
      <c r="M269" s="1138"/>
    </row>
    <row r="270" spans="1:13">
      <c r="G270" s="484"/>
      <c r="M270" s="1138"/>
    </row>
    <row r="271" spans="1:13">
      <c r="G271" s="484"/>
      <c r="M271" s="1138"/>
    </row>
    <row r="272" spans="1:13">
      <c r="G272" s="942"/>
      <c r="M272" s="1138"/>
    </row>
    <row r="273" spans="1:13">
      <c r="G273" s="942"/>
      <c r="M273" s="1138"/>
    </row>
    <row r="274" spans="1:13" ht="15" customHeight="1">
      <c r="G274" s="334"/>
      <c r="H274" s="186"/>
      <c r="I274" s="186"/>
      <c r="J274" s="334"/>
      <c r="M274" s="1138"/>
    </row>
    <row r="275" spans="1:13">
      <c r="A275" s="334"/>
      <c r="B275" s="186"/>
      <c r="C275" s="186"/>
      <c r="D275" s="334"/>
      <c r="G275" s="2"/>
      <c r="M275" s="1138"/>
    </row>
    <row r="276" spans="1:13">
      <c r="G276" s="2"/>
      <c r="M276" s="1138"/>
    </row>
    <row r="277" spans="1:13">
      <c r="G277" s="2"/>
      <c r="M277" s="1138"/>
    </row>
    <row r="278" spans="1:13">
      <c r="G278" s="2"/>
      <c r="M278" s="1138"/>
    </row>
    <row r="279" spans="1:13">
      <c r="G279" s="948"/>
      <c r="M279" s="1138"/>
    </row>
    <row r="280" spans="1:13">
      <c r="G280" s="948"/>
      <c r="M280" s="1138"/>
    </row>
    <row r="281" spans="1:13">
      <c r="G281" s="484"/>
      <c r="M281" s="1138"/>
    </row>
    <row r="282" spans="1:13">
      <c r="G282" s="484"/>
      <c r="M282" s="1138"/>
    </row>
    <row r="283" spans="1:13">
      <c r="G283" s="942"/>
      <c r="M283" s="1138"/>
    </row>
    <row r="284" spans="1:13">
      <c r="G284" s="942"/>
      <c r="M284" s="1138"/>
    </row>
    <row r="285" spans="1:13">
      <c r="G285" s="334"/>
      <c r="H285" s="186"/>
      <c r="I285" s="186"/>
      <c r="J285" s="334"/>
      <c r="M285" s="1138"/>
    </row>
    <row r="286" spans="1:13">
      <c r="A286" s="334"/>
      <c r="B286" s="186"/>
      <c r="C286" s="186"/>
      <c r="D286" s="334"/>
      <c r="G286" s="2"/>
      <c r="M286" s="1138"/>
    </row>
    <row r="287" spans="1:13">
      <c r="G287" s="2"/>
      <c r="M287" s="1138"/>
    </row>
    <row r="288" spans="1:13">
      <c r="G288" s="2"/>
      <c r="M288" s="1138"/>
    </row>
    <row r="289" spans="1:13">
      <c r="G289" s="2"/>
      <c r="M289" s="1138"/>
    </row>
    <row r="290" spans="1:13">
      <c r="G290" s="948"/>
      <c r="M290" s="1138"/>
    </row>
    <row r="291" spans="1:13">
      <c r="G291" s="948"/>
      <c r="M291" s="1138"/>
    </row>
    <row r="292" spans="1:13">
      <c r="G292" s="484"/>
      <c r="M292" s="1138"/>
    </row>
    <row r="293" spans="1:13">
      <c r="G293" s="484"/>
      <c r="M293" s="1138"/>
    </row>
    <row r="294" spans="1:13">
      <c r="G294" s="942"/>
      <c r="M294" s="1138"/>
    </row>
    <row r="295" spans="1:13">
      <c r="G295" s="942"/>
      <c r="M295" s="1138"/>
    </row>
    <row r="296" spans="1:13">
      <c r="G296" s="2"/>
      <c r="M296" s="334"/>
    </row>
    <row r="297" spans="1:13">
      <c r="M297" s="1138" t="s">
        <v>3791</v>
      </c>
    </row>
    <row r="298" spans="1:13" ht="15" customHeight="1">
      <c r="A298" s="1093"/>
      <c r="B298" s="186" t="s">
        <v>3256</v>
      </c>
      <c r="C298" s="186" t="s">
        <v>3257</v>
      </c>
      <c r="D298" s="334" t="s">
        <v>3263</v>
      </c>
      <c r="G298" s="1093"/>
      <c r="H298" s="186" t="s">
        <v>3256</v>
      </c>
      <c r="I298" s="186" t="s">
        <v>3257</v>
      </c>
      <c r="J298" s="334" t="s">
        <v>3263</v>
      </c>
      <c r="M298" s="1138"/>
    </row>
    <row r="299" spans="1:13" ht="30">
      <c r="A299" s="2" t="s">
        <v>3280</v>
      </c>
      <c r="G299" s="2" t="s">
        <v>3501</v>
      </c>
      <c r="M299" s="1138"/>
    </row>
    <row r="300" spans="1:13" ht="45">
      <c r="A300" s="2" t="s">
        <v>667</v>
      </c>
      <c r="G300" s="2" t="s">
        <v>3502</v>
      </c>
      <c r="M300" s="1138"/>
    </row>
    <row r="301" spans="1:13" ht="30">
      <c r="A301" s="2" t="s">
        <v>3281</v>
      </c>
      <c r="G301" s="2" t="s">
        <v>1307</v>
      </c>
      <c r="M301" s="1138"/>
    </row>
    <row r="302" spans="1:13" ht="45">
      <c r="A302" s="2" t="s">
        <v>669</v>
      </c>
      <c r="G302" s="2" t="s">
        <v>1311</v>
      </c>
      <c r="M302" s="1138"/>
    </row>
    <row r="303" spans="1:13" ht="30">
      <c r="A303" s="2" t="s">
        <v>663</v>
      </c>
      <c r="G303" s="948" t="s">
        <v>3503</v>
      </c>
      <c r="M303" s="1138"/>
    </row>
    <row r="304" spans="1:13" ht="30">
      <c r="A304" s="2" t="s">
        <v>664</v>
      </c>
      <c r="G304" s="948" t="s">
        <v>3504</v>
      </c>
      <c r="M304" s="1138"/>
    </row>
    <row r="305" spans="1:13" ht="60">
      <c r="A305" s="2" t="s">
        <v>670</v>
      </c>
      <c r="G305" s="484" t="s">
        <v>3361</v>
      </c>
      <c r="M305" s="1138"/>
    </row>
    <row r="306" spans="1:13" ht="90">
      <c r="A306" s="2" t="s">
        <v>3282</v>
      </c>
      <c r="G306" s="484" t="s">
        <v>632</v>
      </c>
      <c r="M306" s="1138"/>
    </row>
    <row r="307" spans="1:13" ht="30">
      <c r="A307" s="2" t="s">
        <v>632</v>
      </c>
      <c r="G307" s="942" t="s">
        <v>3505</v>
      </c>
      <c r="M307" s="1138"/>
    </row>
    <row r="308" spans="1:13">
      <c r="G308" s="942"/>
      <c r="M308" s="1138"/>
    </row>
    <row r="309" spans="1:13">
      <c r="G309" s="334"/>
      <c r="H309" s="186"/>
      <c r="I309" s="186"/>
      <c r="J309" s="334"/>
      <c r="M309" s="1138"/>
    </row>
    <row r="310" spans="1:13">
      <c r="A310" s="334"/>
      <c r="B310" s="186"/>
      <c r="C310" s="186"/>
      <c r="D310" s="334"/>
      <c r="G310" s="2"/>
      <c r="M310" s="1138"/>
    </row>
    <row r="311" spans="1:13">
      <c r="G311" s="2"/>
      <c r="M311" s="1138"/>
    </row>
    <row r="312" spans="1:13">
      <c r="G312" s="2"/>
      <c r="M312" s="1138"/>
    </row>
    <row r="313" spans="1:13">
      <c r="G313" s="2"/>
      <c r="M313" s="1138"/>
    </row>
    <row r="314" spans="1:13">
      <c r="G314" s="948"/>
      <c r="M314" s="1138"/>
    </row>
    <row r="315" spans="1:13">
      <c r="G315" s="948"/>
      <c r="M315" s="1138"/>
    </row>
    <row r="316" spans="1:13">
      <c r="G316" s="484"/>
      <c r="M316" s="1138"/>
    </row>
    <row r="317" spans="1:13">
      <c r="G317" s="484"/>
      <c r="M317" s="1138"/>
    </row>
    <row r="318" spans="1:13" ht="15" customHeight="1">
      <c r="G318" s="942"/>
      <c r="M318" s="1138"/>
    </row>
    <row r="319" spans="1:13">
      <c r="G319" s="942"/>
      <c r="M319" s="1138"/>
    </row>
    <row r="320" spans="1:13">
      <c r="G320" s="334"/>
      <c r="H320" s="186"/>
      <c r="I320" s="186"/>
      <c r="J320" s="334"/>
      <c r="M320" s="1138"/>
    </row>
    <row r="321" spans="1:29" ht="30">
      <c r="A321" s="334"/>
      <c r="B321" s="186"/>
      <c r="C321" s="186"/>
      <c r="D321" s="334"/>
      <c r="G321" s="2"/>
      <c r="M321" s="1138"/>
      <c r="AC321" s="334" t="s">
        <v>3263</v>
      </c>
    </row>
    <row r="322" spans="1:29">
      <c r="G322" s="2"/>
      <c r="M322" s="1138"/>
      <c r="AC322" s="2"/>
    </row>
    <row r="323" spans="1:29">
      <c r="G323" s="2"/>
      <c r="M323" s="1138"/>
      <c r="AC323" s="2"/>
    </row>
    <row r="324" spans="1:29">
      <c r="G324" s="2"/>
      <c r="M324" s="1138"/>
      <c r="AC324" s="2"/>
    </row>
    <row r="325" spans="1:29">
      <c r="G325" s="948"/>
      <c r="M325" s="1138"/>
      <c r="AC325" s="2"/>
    </row>
    <row r="326" spans="1:29">
      <c r="G326" s="948"/>
      <c r="M326" s="1138"/>
      <c r="AC326" s="2"/>
    </row>
    <row r="327" spans="1:29">
      <c r="G327" s="484"/>
      <c r="M327" s="1138"/>
      <c r="AC327" s="2"/>
    </row>
    <row r="328" spans="1:29">
      <c r="G328" s="484"/>
      <c r="M328" s="1138"/>
      <c r="AC328" s="2"/>
    </row>
    <row r="329" spans="1:29" ht="30">
      <c r="G329" s="942"/>
      <c r="M329" s="1138"/>
      <c r="AC329" s="334" t="s">
        <v>3263</v>
      </c>
    </row>
    <row r="330" spans="1:29" ht="15" customHeight="1">
      <c r="G330" s="942"/>
      <c r="M330" s="1138"/>
      <c r="AC330" s="2"/>
    </row>
    <row r="331" spans="1:29">
      <c r="G331" s="334"/>
      <c r="H331" s="186"/>
      <c r="I331" s="186"/>
      <c r="J331" s="334"/>
      <c r="M331" s="1138"/>
      <c r="AC331" s="2"/>
    </row>
    <row r="332" spans="1:29">
      <c r="A332" s="334"/>
      <c r="B332" s="186"/>
      <c r="C332" s="186"/>
      <c r="D332" s="334"/>
      <c r="G332" s="2"/>
      <c r="M332" s="1138"/>
      <c r="AC332" s="2"/>
    </row>
    <row r="333" spans="1:29">
      <c r="G333" s="2"/>
      <c r="M333" s="1138"/>
      <c r="AC333" s="2"/>
    </row>
    <row r="334" spans="1:29">
      <c r="G334" s="2"/>
      <c r="M334" s="1138"/>
      <c r="AC334" s="2"/>
    </row>
    <row r="335" spans="1:29">
      <c r="G335" s="2"/>
      <c r="M335" s="1138"/>
      <c r="AC335" s="2"/>
    </row>
    <row r="336" spans="1:29">
      <c r="G336" s="948"/>
      <c r="M336" s="1138"/>
      <c r="AC336" s="2"/>
    </row>
    <row r="337" spans="1:29" ht="30">
      <c r="G337" s="948"/>
      <c r="M337" s="1138"/>
      <c r="AC337" s="334" t="s">
        <v>3263</v>
      </c>
    </row>
    <row r="338" spans="1:29">
      <c r="G338" s="484"/>
      <c r="M338" s="1138"/>
      <c r="AC338" s="2"/>
    </row>
    <row r="339" spans="1:29">
      <c r="G339" s="484"/>
      <c r="M339" s="1138"/>
      <c r="AC339" s="2"/>
    </row>
    <row r="340" spans="1:29">
      <c r="G340" s="942"/>
      <c r="M340" s="1138"/>
      <c r="AC340" s="2"/>
    </row>
    <row r="341" spans="1:29">
      <c r="G341" s="942"/>
      <c r="M341" s="1138"/>
      <c r="AC341" s="2"/>
    </row>
    <row r="342" spans="1:29">
      <c r="G342" s="334"/>
      <c r="H342" s="186"/>
      <c r="I342" s="186"/>
      <c r="J342" s="334"/>
      <c r="M342" s="1138"/>
      <c r="AC342" s="2"/>
    </row>
    <row r="343" spans="1:29">
      <c r="A343" s="334"/>
      <c r="B343" s="186"/>
      <c r="C343" s="186"/>
      <c r="D343" s="334"/>
      <c r="G343" s="2"/>
      <c r="M343" s="1138"/>
      <c r="AC343" s="2"/>
    </row>
    <row r="344" spans="1:29">
      <c r="G344" s="2"/>
      <c r="M344" s="1138"/>
      <c r="AC344" s="2"/>
    </row>
    <row r="345" spans="1:29" ht="30">
      <c r="G345" s="2"/>
      <c r="M345" s="1138"/>
      <c r="AC345" s="334" t="s">
        <v>3263</v>
      </c>
    </row>
    <row r="346" spans="1:29">
      <c r="G346" s="2"/>
      <c r="M346" s="1138"/>
      <c r="AC346" s="2"/>
    </row>
    <row r="347" spans="1:29">
      <c r="G347" s="948"/>
      <c r="M347" s="1138"/>
      <c r="AC347" s="2"/>
    </row>
    <row r="348" spans="1:29">
      <c r="G348" s="948"/>
      <c r="M348" s="1138"/>
      <c r="AC348" s="2"/>
    </row>
    <row r="349" spans="1:29">
      <c r="G349" s="484"/>
      <c r="M349" s="1138"/>
      <c r="AC349" s="2"/>
    </row>
    <row r="350" spans="1:29">
      <c r="G350" s="484"/>
      <c r="M350" s="1138"/>
      <c r="AC350" s="2"/>
    </row>
    <row r="351" spans="1:29">
      <c r="G351" s="942"/>
      <c r="M351" s="1138"/>
      <c r="AC351" s="2"/>
    </row>
    <row r="352" spans="1:29">
      <c r="G352" s="942"/>
      <c r="M352" s="1138"/>
      <c r="AC352" s="2"/>
    </row>
    <row r="353" spans="1:29" ht="30">
      <c r="G353" s="942"/>
      <c r="AC353" s="334" t="s">
        <v>3263</v>
      </c>
    </row>
    <row r="354" spans="1:29">
      <c r="A354" s="1093"/>
      <c r="B354" s="186" t="s">
        <v>3256</v>
      </c>
      <c r="C354" s="186" t="s">
        <v>3257</v>
      </c>
      <c r="D354" s="334" t="s">
        <v>3263</v>
      </c>
      <c r="G354" s="1093"/>
      <c r="H354" s="186" t="s">
        <v>3256</v>
      </c>
      <c r="I354" s="186" t="s">
        <v>3257</v>
      </c>
      <c r="J354" s="334" t="s">
        <v>3263</v>
      </c>
      <c r="M354" s="1139" t="s">
        <v>3789</v>
      </c>
      <c r="AC354" s="2"/>
    </row>
    <row r="355" spans="1:29" ht="30">
      <c r="A355" s="2" t="s">
        <v>686</v>
      </c>
      <c r="G355" s="942" t="s">
        <v>3507</v>
      </c>
      <c r="H355" s="3">
        <v>10</v>
      </c>
      <c r="I355" s="3">
        <v>10</v>
      </c>
      <c r="J355" s="3">
        <v>10</v>
      </c>
      <c r="M355" s="1139"/>
      <c r="AC355" s="2"/>
    </row>
    <row r="356" spans="1:29">
      <c r="A356" s="2" t="s">
        <v>3295</v>
      </c>
      <c r="G356" s="942" t="s">
        <v>2540</v>
      </c>
      <c r="H356" s="3">
        <v>10</v>
      </c>
      <c r="I356" s="3">
        <v>10</v>
      </c>
      <c r="J356" s="3">
        <v>10</v>
      </c>
      <c r="M356" s="1139"/>
      <c r="AC356" s="2"/>
    </row>
    <row r="357" spans="1:29" ht="30">
      <c r="A357" s="2" t="s">
        <v>753</v>
      </c>
      <c r="G357" s="942" t="s">
        <v>1208</v>
      </c>
      <c r="H357" s="3" t="s">
        <v>771</v>
      </c>
      <c r="I357" s="3">
        <v>10</v>
      </c>
      <c r="J357" s="3">
        <v>8</v>
      </c>
      <c r="M357" s="1139"/>
      <c r="AC357" s="2"/>
    </row>
    <row r="358" spans="1:29">
      <c r="A358" s="2" t="s">
        <v>752</v>
      </c>
      <c r="G358" s="942" t="s">
        <v>3508</v>
      </c>
      <c r="H358" s="3">
        <v>8</v>
      </c>
      <c r="I358" s="3">
        <v>8</v>
      </c>
      <c r="J358" s="3">
        <v>8</v>
      </c>
      <c r="M358" s="1139"/>
      <c r="AC358" s="2"/>
    </row>
    <row r="359" spans="1:29">
      <c r="A359" s="2" t="s">
        <v>690</v>
      </c>
      <c r="G359" s="942" t="s">
        <v>1695</v>
      </c>
      <c r="H359" s="3">
        <v>8</v>
      </c>
      <c r="I359" s="3">
        <v>8</v>
      </c>
      <c r="J359" s="3">
        <v>8</v>
      </c>
      <c r="M359" s="1139"/>
      <c r="AC359" s="2"/>
    </row>
    <row r="360" spans="1:29">
      <c r="A360" s="2" t="s">
        <v>754</v>
      </c>
      <c r="G360" s="942" t="s">
        <v>1691</v>
      </c>
      <c r="H360" s="3">
        <v>8</v>
      </c>
      <c r="I360" s="3">
        <v>8</v>
      </c>
      <c r="J360" s="3">
        <v>8</v>
      </c>
      <c r="M360" s="1139"/>
      <c r="AC360" s="2"/>
    </row>
    <row r="361" spans="1:29" ht="30">
      <c r="G361" s="942"/>
      <c r="M361" s="1139"/>
      <c r="AC361" s="334" t="s">
        <v>3263</v>
      </c>
    </row>
    <row r="362" spans="1:29">
      <c r="A362" s="334"/>
      <c r="B362" s="186"/>
      <c r="C362" s="186"/>
      <c r="D362" s="334"/>
      <c r="G362" s="334"/>
      <c r="H362" s="186"/>
      <c r="I362" s="186"/>
      <c r="J362" s="334"/>
      <c r="M362" s="1139"/>
      <c r="AC362" s="2"/>
    </row>
    <row r="363" spans="1:29">
      <c r="G363" s="942"/>
      <c r="M363" s="1139"/>
      <c r="AC363" s="2"/>
    </row>
    <row r="364" spans="1:29">
      <c r="G364" s="942"/>
      <c r="M364" s="1139"/>
      <c r="AC364" s="2"/>
    </row>
    <row r="365" spans="1:29">
      <c r="G365" s="942"/>
      <c r="M365" s="1139"/>
      <c r="AC365" s="2"/>
    </row>
    <row r="366" spans="1:29">
      <c r="G366" s="942"/>
      <c r="M366" s="1139"/>
      <c r="AC366" s="2"/>
    </row>
    <row r="367" spans="1:29">
      <c r="G367" s="942"/>
      <c r="M367" s="1139"/>
      <c r="AC367" s="2"/>
    </row>
    <row r="368" spans="1:29">
      <c r="G368" s="942"/>
      <c r="M368" s="1139"/>
      <c r="AC368" s="2"/>
    </row>
    <row r="369" spans="1:29" ht="30">
      <c r="G369" s="942"/>
      <c r="M369" s="1139"/>
      <c r="AC369" s="334" t="s">
        <v>3263</v>
      </c>
    </row>
    <row r="370" spans="1:29">
      <c r="A370" s="334"/>
      <c r="B370" s="186"/>
      <c r="C370" s="186"/>
      <c r="D370" s="334"/>
      <c r="G370" s="334"/>
      <c r="H370" s="186"/>
      <c r="I370" s="186"/>
      <c r="J370" s="334"/>
      <c r="M370" s="1139"/>
      <c r="AC370" s="2"/>
    </row>
    <row r="371" spans="1:29">
      <c r="G371" s="942"/>
      <c r="M371" s="1139"/>
      <c r="O371" s="942"/>
      <c r="P371" s="3"/>
      <c r="Q371" s="3"/>
      <c r="R371" s="3"/>
      <c r="AC371" s="2"/>
    </row>
    <row r="372" spans="1:29">
      <c r="G372" s="942"/>
      <c r="M372" s="1139"/>
      <c r="AC372" s="2"/>
    </row>
    <row r="373" spans="1:29">
      <c r="G373" s="942"/>
      <c r="M373" s="1139"/>
      <c r="AC373" s="2"/>
    </row>
    <row r="374" spans="1:29">
      <c r="G374" s="942"/>
      <c r="M374" s="1139"/>
      <c r="AC374" s="2"/>
    </row>
    <row r="375" spans="1:29" ht="15" customHeight="1">
      <c r="G375" s="942"/>
      <c r="M375" s="1139"/>
      <c r="AC375" s="2"/>
    </row>
    <row r="376" spans="1:29" ht="15" customHeight="1">
      <c r="G376" s="942"/>
      <c r="M376" s="1139"/>
      <c r="AC376" s="2"/>
    </row>
    <row r="377" spans="1:29" ht="30">
      <c r="G377" s="942"/>
      <c r="M377" s="1139"/>
      <c r="AC377" s="334" t="s">
        <v>3263</v>
      </c>
    </row>
    <row r="378" spans="1:29">
      <c r="A378" s="334"/>
      <c r="B378" s="186"/>
      <c r="C378" s="186"/>
      <c r="D378" s="334"/>
      <c r="G378" s="334"/>
      <c r="H378" s="186"/>
      <c r="I378" s="186"/>
      <c r="J378" s="334"/>
      <c r="M378" s="1139"/>
      <c r="AC378" s="2"/>
    </row>
    <row r="379" spans="1:29">
      <c r="G379" s="942"/>
      <c r="M379" s="1139"/>
      <c r="AC379" s="2"/>
    </row>
    <row r="380" spans="1:29">
      <c r="G380" s="942"/>
      <c r="M380" s="1139"/>
      <c r="AC380" s="2"/>
    </row>
    <row r="381" spans="1:29">
      <c r="G381" s="942"/>
      <c r="M381" s="1139"/>
      <c r="AC381" s="2"/>
    </row>
    <row r="382" spans="1:29">
      <c r="G382" s="942"/>
      <c r="M382" s="1139"/>
      <c r="AC382" s="2"/>
    </row>
    <row r="383" spans="1:29">
      <c r="G383" s="942"/>
      <c r="M383" s="1139"/>
      <c r="AC383" s="2"/>
    </row>
    <row r="384" spans="1:29">
      <c r="G384" s="942"/>
      <c r="M384" s="1139"/>
      <c r="AC384" s="2"/>
    </row>
    <row r="385" spans="1:29" ht="15" customHeight="1">
      <c r="G385" s="942"/>
      <c r="M385" s="1139"/>
      <c r="AC385" s="2"/>
    </row>
    <row r="386" spans="1:29" ht="30" customHeight="1">
      <c r="A386" s="334"/>
      <c r="B386" s="186"/>
      <c r="C386" s="186"/>
      <c r="D386" s="334"/>
      <c r="G386" s="334"/>
      <c r="H386" s="186"/>
      <c r="I386" s="186"/>
      <c r="J386" s="334"/>
      <c r="M386" s="1139"/>
      <c r="AC386" s="2"/>
    </row>
    <row r="387" spans="1:29" ht="30" customHeight="1">
      <c r="G387" s="942"/>
      <c r="M387" s="1139"/>
      <c r="AC387" s="2"/>
    </row>
    <row r="388" spans="1:29">
      <c r="G388" s="942"/>
      <c r="M388" s="1139"/>
      <c r="AC388" s="2"/>
    </row>
    <row r="389" spans="1:29">
      <c r="G389" s="942"/>
      <c r="M389" s="1139"/>
      <c r="AC389" s="2"/>
    </row>
    <row r="390" spans="1:29">
      <c r="G390" s="942"/>
      <c r="M390" s="1139"/>
      <c r="AC390" s="2"/>
    </row>
    <row r="391" spans="1:29" ht="30" customHeight="1">
      <c r="G391" s="942"/>
      <c r="M391" s="1139"/>
      <c r="AC391" s="2"/>
    </row>
    <row r="392" spans="1:29" ht="30">
      <c r="A392" s="334"/>
      <c r="B392" s="186"/>
      <c r="C392" s="186"/>
      <c r="D392" s="334"/>
      <c r="G392" s="334"/>
      <c r="H392" s="186"/>
      <c r="I392" s="186"/>
      <c r="J392" s="334"/>
      <c r="M392" s="1139"/>
      <c r="AC392" s="334" t="s">
        <v>3263</v>
      </c>
    </row>
    <row r="393" spans="1:29" ht="30" customHeight="1">
      <c r="G393" s="942"/>
      <c r="M393" s="1139"/>
      <c r="AC393" s="2"/>
    </row>
    <row r="394" spans="1:29" ht="30" customHeight="1">
      <c r="G394" s="942"/>
      <c r="M394" s="1139"/>
      <c r="AC394" s="2"/>
    </row>
    <row r="395" spans="1:29" ht="30" customHeight="1">
      <c r="G395" s="942"/>
      <c r="M395" s="1139"/>
      <c r="AC395" s="2"/>
    </row>
    <row r="396" spans="1:29">
      <c r="G396" s="942"/>
      <c r="M396" s="1139"/>
      <c r="AC396" s="2"/>
    </row>
    <row r="397" spans="1:29">
      <c r="G397" s="942"/>
      <c r="M397" s="1139"/>
      <c r="AC397" s="2"/>
    </row>
    <row r="398" spans="1:29">
      <c r="G398" s="942"/>
      <c r="M398" s="1139"/>
      <c r="AC398" s="2"/>
    </row>
    <row r="399" spans="1:29" ht="30" customHeight="1">
      <c r="G399" s="942"/>
      <c r="M399" s="1139"/>
      <c r="AC399" s="2"/>
    </row>
    <row r="400" spans="1:29" ht="30">
      <c r="G400" s="334"/>
      <c r="H400" s="186"/>
      <c r="I400" s="186"/>
      <c r="J400" s="334"/>
      <c r="M400" s="1139"/>
      <c r="AC400" s="334" t="s">
        <v>3263</v>
      </c>
    </row>
    <row r="401" spans="1:29" ht="30" customHeight="1">
      <c r="G401" s="942"/>
      <c r="M401" s="1139"/>
      <c r="AC401" s="2"/>
    </row>
    <row r="402" spans="1:29" ht="30" customHeight="1">
      <c r="G402" s="942"/>
      <c r="M402" s="1139"/>
      <c r="AC402" s="2"/>
    </row>
    <row r="403" spans="1:29" ht="30" customHeight="1">
      <c r="G403" s="942"/>
      <c r="M403" s="1139"/>
      <c r="AC403" s="2"/>
    </row>
    <row r="404" spans="1:29">
      <c r="G404" s="942"/>
      <c r="M404" s="1139"/>
      <c r="AC404" s="2"/>
    </row>
    <row r="405" spans="1:29">
      <c r="G405" s="942"/>
      <c r="M405" s="1139"/>
      <c r="AC405" s="2"/>
    </row>
    <row r="406" spans="1:29">
      <c r="G406" s="942"/>
      <c r="M406" s="1139"/>
      <c r="AC406" s="2"/>
    </row>
    <row r="407" spans="1:29" ht="30" customHeight="1">
      <c r="AC407" s="2"/>
    </row>
    <row r="408" spans="1:29" ht="30">
      <c r="A408" s="334" t="s">
        <v>812</v>
      </c>
      <c r="B408" s="186" t="s">
        <v>3256</v>
      </c>
      <c r="C408" s="186" t="s">
        <v>3257</v>
      </c>
      <c r="D408" s="334" t="s">
        <v>3263</v>
      </c>
      <c r="G408" s="334" t="s">
        <v>812</v>
      </c>
      <c r="H408" s="186" t="s">
        <v>3256</v>
      </c>
      <c r="I408" s="186" t="s">
        <v>3257</v>
      </c>
      <c r="J408" s="334" t="s">
        <v>3263</v>
      </c>
      <c r="M408" s="1139" t="s">
        <v>3793</v>
      </c>
      <c r="AC408" s="334" t="s">
        <v>3263</v>
      </c>
    </row>
    <row r="409" spans="1:29" ht="30" customHeight="1">
      <c r="A409" s="2" t="s">
        <v>716</v>
      </c>
      <c r="G409" s="942" t="s">
        <v>1210</v>
      </c>
      <c r="M409" s="1139"/>
      <c r="AC409" s="2"/>
    </row>
    <row r="410" spans="1:29" ht="30" customHeight="1">
      <c r="A410" s="2" t="s">
        <v>3641</v>
      </c>
      <c r="G410" s="942" t="s">
        <v>3647</v>
      </c>
      <c r="M410" s="1139"/>
      <c r="AC410" s="2"/>
    </row>
    <row r="411" spans="1:29" ht="30" customHeight="1">
      <c r="A411" s="2" t="s">
        <v>3642</v>
      </c>
      <c r="G411" s="942" t="s">
        <v>1240</v>
      </c>
      <c r="M411" s="1139"/>
      <c r="AC411" s="2"/>
    </row>
    <row r="412" spans="1:29">
      <c r="A412" s="2" t="s">
        <v>3643</v>
      </c>
      <c r="G412" s="942" t="s">
        <v>3762</v>
      </c>
      <c r="M412" s="1139"/>
      <c r="AC412" s="2"/>
    </row>
    <row r="413" spans="1:29">
      <c r="A413" s="2" t="s">
        <v>3644</v>
      </c>
      <c r="G413" s="942"/>
      <c r="M413" s="1139"/>
      <c r="AC413" s="2"/>
    </row>
    <row r="414" spans="1:29" ht="30">
      <c r="A414" s="2" t="s">
        <v>3645</v>
      </c>
      <c r="M414" s="1139"/>
      <c r="AC414" s="2"/>
    </row>
    <row r="415" spans="1:29" ht="30" customHeight="1">
      <c r="A415" s="2" t="s">
        <v>3745</v>
      </c>
      <c r="M415" s="1139"/>
      <c r="AC415" s="2"/>
    </row>
    <row r="416" spans="1:29" ht="30">
      <c r="M416" s="1139"/>
      <c r="AC416" s="334" t="s">
        <v>3263</v>
      </c>
    </row>
    <row r="417" spans="1:29" ht="30" customHeight="1">
      <c r="A417" s="334" t="s">
        <v>829</v>
      </c>
      <c r="B417" s="186" t="s">
        <v>3256</v>
      </c>
      <c r="C417" s="186" t="s">
        <v>3257</v>
      </c>
      <c r="D417" s="334" t="s">
        <v>3263</v>
      </c>
      <c r="G417" s="334" t="s">
        <v>829</v>
      </c>
      <c r="H417" s="186" t="s">
        <v>3256</v>
      </c>
      <c r="I417" s="186" t="s">
        <v>3257</v>
      </c>
      <c r="J417" s="334" t="s">
        <v>3263</v>
      </c>
      <c r="M417" s="1139"/>
      <c r="AC417" s="2"/>
    </row>
    <row r="418" spans="1:29" ht="30" customHeight="1">
      <c r="A418" s="2" t="s">
        <v>716</v>
      </c>
      <c r="G418" s="942" t="s">
        <v>1210</v>
      </c>
      <c r="M418" s="1139"/>
      <c r="AC418" s="2"/>
    </row>
    <row r="419" spans="1:29" ht="30" customHeight="1">
      <c r="A419" s="2" t="s">
        <v>3641</v>
      </c>
      <c r="G419" s="942" t="s">
        <v>3647</v>
      </c>
      <c r="M419" s="1139"/>
      <c r="AC419" s="2"/>
    </row>
    <row r="420" spans="1:29" ht="60">
      <c r="A420" s="2" t="s">
        <v>3642</v>
      </c>
      <c r="G420" s="942" t="s">
        <v>1240</v>
      </c>
      <c r="M420" s="1139"/>
      <c r="AC420" s="2"/>
    </row>
    <row r="421" spans="1:29">
      <c r="A421" s="2" t="s">
        <v>3643</v>
      </c>
      <c r="G421" s="942" t="s">
        <v>3762</v>
      </c>
      <c r="M421" s="1139"/>
      <c r="AC421" s="2"/>
    </row>
    <row r="422" spans="1:29">
      <c r="A422" s="2" t="s">
        <v>3644</v>
      </c>
      <c r="G422" s="942"/>
      <c r="M422" s="1139"/>
      <c r="AC422" s="2"/>
    </row>
    <row r="423" spans="1:29" ht="30" customHeight="1">
      <c r="A423" s="2" t="s">
        <v>3645</v>
      </c>
      <c r="M423" s="1139"/>
      <c r="AC423" s="2"/>
    </row>
    <row r="424" spans="1:29" ht="30">
      <c r="A424" s="2" t="s">
        <v>3745</v>
      </c>
      <c r="M424" s="1139"/>
      <c r="AC424" s="334" t="s">
        <v>3263</v>
      </c>
    </row>
    <row r="425" spans="1:29" ht="30" customHeight="1">
      <c r="M425" s="1139"/>
      <c r="AC425" s="2"/>
    </row>
    <row r="426" spans="1:29" ht="30" customHeight="1">
      <c r="A426" s="334" t="s">
        <v>3296</v>
      </c>
      <c r="B426" s="186" t="s">
        <v>3256</v>
      </c>
      <c r="C426" s="186" t="s">
        <v>3257</v>
      </c>
      <c r="D426" s="334" t="s">
        <v>3263</v>
      </c>
      <c r="G426" s="334" t="s">
        <v>3296</v>
      </c>
      <c r="H426" s="186" t="s">
        <v>3256</v>
      </c>
      <c r="I426" s="186" t="s">
        <v>3257</v>
      </c>
      <c r="J426" s="334" t="s">
        <v>3263</v>
      </c>
      <c r="M426" s="1139"/>
      <c r="AC426" s="2"/>
    </row>
    <row r="427" spans="1:29" ht="30" customHeight="1">
      <c r="A427" s="2" t="s">
        <v>716</v>
      </c>
      <c r="G427" s="942" t="s">
        <v>1210</v>
      </c>
      <c r="M427" s="1139"/>
      <c r="AC427" s="2"/>
    </row>
    <row r="428" spans="1:29">
      <c r="A428" s="2" t="s">
        <v>3641</v>
      </c>
      <c r="G428" s="942" t="s">
        <v>3647</v>
      </c>
      <c r="M428" s="1139"/>
      <c r="AC428" s="2"/>
    </row>
    <row r="429" spans="1:29" ht="60">
      <c r="A429" s="2" t="s">
        <v>3642</v>
      </c>
      <c r="G429" s="942" t="s">
        <v>1240</v>
      </c>
      <c r="M429" s="1139"/>
      <c r="AC429" s="2"/>
    </row>
    <row r="430" spans="1:29">
      <c r="A430" s="2" t="s">
        <v>3643</v>
      </c>
      <c r="G430" s="942" t="s">
        <v>3762</v>
      </c>
      <c r="M430" s="1139"/>
      <c r="AC430" s="2"/>
    </row>
    <row r="431" spans="1:29" ht="30" customHeight="1">
      <c r="A431" s="2" t="s">
        <v>3644</v>
      </c>
      <c r="G431" s="942"/>
      <c r="M431" s="1139"/>
      <c r="AC431" s="2"/>
    </row>
    <row r="432" spans="1:29" ht="30">
      <c r="A432" s="2" t="s">
        <v>3645</v>
      </c>
      <c r="M432" s="1139"/>
      <c r="AC432" s="334" t="s">
        <v>3263</v>
      </c>
    </row>
    <row r="433" spans="1:29" ht="30" customHeight="1">
      <c r="A433" s="2" t="s">
        <v>3745</v>
      </c>
      <c r="M433" s="1139"/>
      <c r="AC433" s="2"/>
    </row>
    <row r="434" spans="1:29" ht="30" customHeight="1">
      <c r="M434" s="1139"/>
      <c r="AC434" s="2"/>
    </row>
    <row r="435" spans="1:29" ht="30" customHeight="1">
      <c r="A435" s="334" t="s">
        <v>3297</v>
      </c>
      <c r="B435" s="186" t="s">
        <v>3256</v>
      </c>
      <c r="C435" s="186" t="s">
        <v>3257</v>
      </c>
      <c r="D435" s="334" t="s">
        <v>3263</v>
      </c>
      <c r="G435" s="334" t="s">
        <v>2275</v>
      </c>
      <c r="H435" s="186" t="s">
        <v>3256</v>
      </c>
      <c r="I435" s="186" t="s">
        <v>3257</v>
      </c>
      <c r="J435" s="334" t="s">
        <v>3263</v>
      </c>
      <c r="M435" s="1139"/>
      <c r="AC435" s="2"/>
    </row>
    <row r="436" spans="1:29">
      <c r="A436" s="2" t="s">
        <v>716</v>
      </c>
      <c r="G436" s="942" t="s">
        <v>1210</v>
      </c>
      <c r="M436" s="1139"/>
      <c r="AC436" s="2"/>
    </row>
    <row r="437" spans="1:29">
      <c r="A437" s="2" t="s">
        <v>3641</v>
      </c>
      <c r="G437" s="942" t="s">
        <v>3647</v>
      </c>
      <c r="M437" s="1139"/>
      <c r="AC437" s="2"/>
    </row>
    <row r="438" spans="1:29" ht="60">
      <c r="A438" s="2" t="s">
        <v>3642</v>
      </c>
      <c r="G438" s="942" t="s">
        <v>1240</v>
      </c>
      <c r="M438" s="1139"/>
      <c r="AC438" s="2"/>
    </row>
    <row r="439" spans="1:29" ht="30" customHeight="1">
      <c r="A439" s="2" t="s">
        <v>3643</v>
      </c>
      <c r="G439" s="942" t="s">
        <v>3762</v>
      </c>
      <c r="M439" s="1139"/>
      <c r="AC439" s="2"/>
    </row>
    <row r="440" spans="1:29" ht="30">
      <c r="A440" s="2" t="s">
        <v>3644</v>
      </c>
      <c r="G440" s="942"/>
      <c r="M440" s="1139"/>
      <c r="AC440" s="334" t="s">
        <v>3263</v>
      </c>
    </row>
    <row r="441" spans="1:29" ht="30" customHeight="1">
      <c r="A441" s="2" t="s">
        <v>3645</v>
      </c>
      <c r="M441" s="1139"/>
      <c r="AC441" s="2"/>
    </row>
    <row r="442" spans="1:29" ht="30" customHeight="1">
      <c r="A442" s="2" t="s">
        <v>3745</v>
      </c>
      <c r="M442" s="1139"/>
      <c r="AC442" s="2"/>
    </row>
    <row r="443" spans="1:29" ht="30" customHeight="1">
      <c r="M443" s="1139"/>
      <c r="AC443" s="2"/>
    </row>
    <row r="444" spans="1:29">
      <c r="A444" s="334" t="s">
        <v>827</v>
      </c>
      <c r="B444" s="186" t="s">
        <v>3256</v>
      </c>
      <c r="C444" s="186" t="s">
        <v>3257</v>
      </c>
      <c r="D444" s="334" t="s">
        <v>3263</v>
      </c>
      <c r="G444" s="334" t="s">
        <v>3529</v>
      </c>
      <c r="H444" s="186" t="s">
        <v>3256</v>
      </c>
      <c r="I444" s="186" t="s">
        <v>3257</v>
      </c>
      <c r="J444" s="334" t="s">
        <v>3263</v>
      </c>
      <c r="M444" s="1139"/>
      <c r="AC444" s="2"/>
    </row>
    <row r="445" spans="1:29">
      <c r="A445" s="2" t="s">
        <v>716</v>
      </c>
      <c r="G445" s="942" t="s">
        <v>1210</v>
      </c>
      <c r="M445" s="1139"/>
      <c r="AC445" s="2"/>
    </row>
    <row r="446" spans="1:29" ht="15" customHeight="1">
      <c r="A446" s="2" t="s">
        <v>3641</v>
      </c>
      <c r="G446" s="942" t="s">
        <v>3647</v>
      </c>
      <c r="M446" s="1139"/>
      <c r="AC446" s="2"/>
    </row>
    <row r="447" spans="1:29" ht="30" customHeight="1">
      <c r="A447" s="2" t="s">
        <v>3642</v>
      </c>
      <c r="G447" s="942" t="s">
        <v>1240</v>
      </c>
      <c r="M447" s="1139"/>
      <c r="AC447" s="2"/>
    </row>
    <row r="448" spans="1:29" ht="30">
      <c r="A448" s="2" t="s">
        <v>3643</v>
      </c>
      <c r="G448" s="942" t="s">
        <v>3762</v>
      </c>
      <c r="M448" s="1139"/>
      <c r="AC448" s="334" t="s">
        <v>3263</v>
      </c>
    </row>
    <row r="449" spans="1:29" ht="30" customHeight="1">
      <c r="A449" s="2" t="s">
        <v>3644</v>
      </c>
      <c r="G449" s="942"/>
      <c r="M449" s="1139"/>
      <c r="AC449" s="2"/>
    </row>
    <row r="450" spans="1:29" ht="30" customHeight="1">
      <c r="A450" s="2" t="s">
        <v>3645</v>
      </c>
      <c r="M450" s="1139"/>
      <c r="AC450" s="2"/>
    </row>
    <row r="451" spans="1:29" ht="30" customHeight="1">
      <c r="A451" s="2" t="s">
        <v>3745</v>
      </c>
      <c r="M451" s="1139"/>
      <c r="AC451" s="2"/>
    </row>
    <row r="452" spans="1:29">
      <c r="M452" s="1139"/>
      <c r="AC452" s="2"/>
    </row>
    <row r="453" spans="1:29" ht="30" customHeight="1">
      <c r="A453" s="334" t="s">
        <v>810</v>
      </c>
      <c r="B453" s="186" t="s">
        <v>3256</v>
      </c>
      <c r="C453" s="186" t="s">
        <v>3257</v>
      </c>
      <c r="D453" s="334" t="s">
        <v>3263</v>
      </c>
      <c r="G453" s="334" t="s">
        <v>3509</v>
      </c>
      <c r="H453" s="186" t="s">
        <v>3256</v>
      </c>
      <c r="I453" s="186" t="s">
        <v>3257</v>
      </c>
      <c r="J453" s="334" t="s">
        <v>3263</v>
      </c>
      <c r="M453" s="1139"/>
      <c r="AC453" s="2"/>
    </row>
    <row r="454" spans="1:29">
      <c r="A454" s="2" t="s">
        <v>716</v>
      </c>
      <c r="G454" s="942" t="s">
        <v>1210</v>
      </c>
      <c r="M454" s="1139"/>
      <c r="AC454" s="2"/>
    </row>
    <row r="455" spans="1:29" ht="30" customHeight="1">
      <c r="A455" s="2" t="s">
        <v>3641</v>
      </c>
      <c r="G455" s="942" t="s">
        <v>3647</v>
      </c>
      <c r="M455" s="1139"/>
      <c r="AC455" s="2"/>
    </row>
    <row r="456" spans="1:29" ht="60">
      <c r="A456" s="2" t="s">
        <v>3642</v>
      </c>
      <c r="G456" s="942" t="s">
        <v>1240</v>
      </c>
      <c r="M456" s="1139"/>
      <c r="AC456" s="2"/>
    </row>
    <row r="457" spans="1:29" ht="15" customHeight="1">
      <c r="A457" s="2" t="s">
        <v>3643</v>
      </c>
      <c r="G457" s="942" t="s">
        <v>3762</v>
      </c>
      <c r="M457" s="1139"/>
      <c r="AC457" s="2"/>
    </row>
    <row r="458" spans="1:29">
      <c r="A458" s="2" t="s">
        <v>3644</v>
      </c>
      <c r="G458" s="942"/>
      <c r="M458" s="1139"/>
      <c r="AC458" s="2"/>
    </row>
    <row r="459" spans="1:29" ht="30">
      <c r="A459" s="2" t="s">
        <v>3645</v>
      </c>
      <c r="M459" s="1139"/>
      <c r="AC459" s="2"/>
    </row>
    <row r="460" spans="1:29" ht="30">
      <c r="A460" s="2" t="s">
        <v>3745</v>
      </c>
      <c r="M460" s="1139"/>
      <c r="AC460" s="2"/>
    </row>
    <row r="461" spans="1:29" ht="15" customHeight="1">
      <c r="G461"/>
      <c r="H461"/>
      <c r="I461"/>
      <c r="J461"/>
      <c r="M461" s="950"/>
      <c r="AC461" s="2"/>
    </row>
    <row r="462" spans="1:29">
      <c r="A462" s="1093"/>
      <c r="B462" s="186" t="s">
        <v>3256</v>
      </c>
      <c r="C462" s="186" t="s">
        <v>3257</v>
      </c>
      <c r="G462" s="1093"/>
      <c r="H462" s="186" t="s">
        <v>3256</v>
      </c>
      <c r="I462" s="186" t="s">
        <v>3257</v>
      </c>
      <c r="J462" s="334" t="s">
        <v>3263</v>
      </c>
      <c r="M462" s="1140" t="s">
        <v>3513</v>
      </c>
    </row>
    <row r="463" spans="1:29">
      <c r="A463" s="2" t="s">
        <v>686</v>
      </c>
      <c r="G463" s="942" t="s">
        <v>1238</v>
      </c>
      <c r="H463" s="3">
        <v>10</v>
      </c>
      <c r="I463" s="3">
        <v>10</v>
      </c>
      <c r="J463" s="3">
        <v>10</v>
      </c>
      <c r="M463" s="1140"/>
    </row>
    <row r="464" spans="1:29">
      <c r="A464" s="2" t="s">
        <v>3286</v>
      </c>
      <c r="G464" s="942" t="s">
        <v>1208</v>
      </c>
      <c r="H464" s="3">
        <v>10</v>
      </c>
      <c r="I464" s="3">
        <v>10</v>
      </c>
      <c r="J464" s="3">
        <v>10</v>
      </c>
      <c r="M464" s="1140"/>
    </row>
    <row r="465" spans="1:13" ht="30">
      <c r="A465" s="2" t="s">
        <v>632</v>
      </c>
      <c r="G465" s="942" t="s">
        <v>3512</v>
      </c>
      <c r="H465" s="3">
        <v>10</v>
      </c>
      <c r="I465" s="3">
        <v>10</v>
      </c>
      <c r="J465" s="3">
        <v>10</v>
      </c>
      <c r="M465" s="1140"/>
    </row>
    <row r="466" spans="1:13" ht="30">
      <c r="A466" s="2" t="s">
        <v>3287</v>
      </c>
      <c r="G466" s="942" t="s">
        <v>3366</v>
      </c>
      <c r="H466" s="3">
        <v>6</v>
      </c>
      <c r="I466" s="3">
        <v>8</v>
      </c>
      <c r="J466" s="3">
        <v>8</v>
      </c>
      <c r="M466" s="1140"/>
    </row>
    <row r="467" spans="1:13" ht="30">
      <c r="A467" s="2" t="s">
        <v>690</v>
      </c>
      <c r="G467" s="942" t="s">
        <v>632</v>
      </c>
      <c r="H467" s="3">
        <v>10</v>
      </c>
      <c r="I467" s="3">
        <v>10</v>
      </c>
      <c r="J467" s="3">
        <v>10</v>
      </c>
      <c r="M467" s="1140"/>
    </row>
    <row r="468" spans="1:13">
      <c r="A468" s="2" t="s">
        <v>754</v>
      </c>
      <c r="G468" s="942" t="s">
        <v>1230</v>
      </c>
      <c r="H468" s="3">
        <v>8</v>
      </c>
      <c r="I468" s="3">
        <v>8</v>
      </c>
      <c r="J468" s="3">
        <v>8</v>
      </c>
      <c r="M468" s="1140"/>
    </row>
    <row r="469" spans="1:13">
      <c r="G469" s="942"/>
      <c r="M469" s="1140"/>
    </row>
    <row r="470" spans="1:13">
      <c r="A470" s="334"/>
      <c r="B470" s="186"/>
      <c r="C470" s="186"/>
      <c r="G470" s="334"/>
      <c r="H470" s="186"/>
      <c r="I470" s="186"/>
      <c r="J470" s="334"/>
      <c r="M470" s="1140"/>
    </row>
    <row r="471" spans="1:13">
      <c r="G471" s="942"/>
      <c r="M471" s="1140"/>
    </row>
    <row r="472" spans="1:13">
      <c r="G472" s="942"/>
      <c r="M472" s="1140"/>
    </row>
    <row r="473" spans="1:13">
      <c r="G473" s="942"/>
      <c r="M473" s="1140"/>
    </row>
    <row r="474" spans="1:13">
      <c r="G474" s="942"/>
      <c r="M474" s="1140"/>
    </row>
    <row r="475" spans="1:13">
      <c r="G475" s="942"/>
      <c r="M475" s="1140"/>
    </row>
    <row r="476" spans="1:13">
      <c r="G476" s="942"/>
      <c r="M476" s="1140"/>
    </row>
    <row r="477" spans="1:13">
      <c r="G477" s="942"/>
      <c r="M477" s="1140"/>
    </row>
    <row r="478" spans="1:13">
      <c r="A478" s="334"/>
      <c r="B478" s="186"/>
      <c r="C478" s="186"/>
      <c r="G478" s="334"/>
      <c r="H478" s="186"/>
      <c r="I478" s="186"/>
      <c r="J478" s="334"/>
      <c r="M478" s="1140"/>
    </row>
    <row r="479" spans="1:13">
      <c r="G479" s="942"/>
      <c r="M479" s="1140"/>
    </row>
    <row r="480" spans="1:13">
      <c r="G480" s="942"/>
      <c r="M480" s="1140"/>
    </row>
    <row r="481" spans="1:13">
      <c r="G481" s="942"/>
      <c r="M481" s="1140"/>
    </row>
    <row r="482" spans="1:13">
      <c r="G482" s="942"/>
      <c r="M482" s="1140"/>
    </row>
    <row r="483" spans="1:13">
      <c r="G483" s="942"/>
      <c r="M483" s="1140"/>
    </row>
    <row r="484" spans="1:13">
      <c r="G484" s="942"/>
      <c r="M484" s="1140"/>
    </row>
    <row r="485" spans="1:13">
      <c r="G485" s="942"/>
      <c r="M485" s="1140"/>
    </row>
    <row r="486" spans="1:13">
      <c r="A486" s="334"/>
      <c r="B486" s="186"/>
      <c r="C486" s="186"/>
      <c r="G486" s="334"/>
      <c r="H486" s="186"/>
      <c r="I486" s="186"/>
      <c r="J486" s="334"/>
      <c r="M486" s="1140"/>
    </row>
    <row r="487" spans="1:13">
      <c r="G487" s="942"/>
      <c r="M487" s="1140"/>
    </row>
    <row r="488" spans="1:13">
      <c r="G488" s="942"/>
      <c r="M488" s="1140"/>
    </row>
    <row r="489" spans="1:13">
      <c r="G489" s="942"/>
      <c r="M489" s="1140"/>
    </row>
    <row r="490" spans="1:13">
      <c r="G490" s="942"/>
      <c r="M490" s="1140"/>
    </row>
    <row r="491" spans="1:13">
      <c r="G491" s="942"/>
      <c r="M491" s="1140"/>
    </row>
    <row r="492" spans="1:13">
      <c r="G492" s="942"/>
      <c r="M492" s="1140"/>
    </row>
    <row r="493" spans="1:13">
      <c r="G493" s="942"/>
      <c r="M493" s="1140"/>
    </row>
    <row r="494" spans="1:13">
      <c r="A494" s="334"/>
      <c r="B494" s="186"/>
      <c r="C494" s="186"/>
      <c r="G494" s="334"/>
      <c r="H494" s="186"/>
      <c r="I494" s="186"/>
      <c r="J494" s="334"/>
      <c r="M494" s="1140"/>
    </row>
    <row r="495" spans="1:13">
      <c r="G495" s="942"/>
      <c r="M495" s="1140"/>
    </row>
    <row r="496" spans="1:13">
      <c r="G496" s="942"/>
      <c r="M496" s="1140"/>
    </row>
    <row r="497" spans="1:13">
      <c r="G497" s="942"/>
      <c r="M497" s="1140"/>
    </row>
    <row r="498" spans="1:13">
      <c r="G498" s="942"/>
      <c r="M498" s="1140"/>
    </row>
    <row r="499" spans="1:13">
      <c r="G499" s="942"/>
      <c r="M499" s="1140"/>
    </row>
    <row r="500" spans="1:13">
      <c r="G500" s="942"/>
      <c r="M500" s="1140"/>
    </row>
    <row r="501" spans="1:13">
      <c r="G501" s="942"/>
      <c r="M501" s="1140"/>
    </row>
    <row r="502" spans="1:13">
      <c r="A502" s="334"/>
      <c r="B502" s="186"/>
      <c r="C502" s="186"/>
      <c r="G502" s="334"/>
      <c r="H502" s="186"/>
      <c r="I502" s="186"/>
      <c r="J502" s="334"/>
      <c r="M502" s="1140"/>
    </row>
    <row r="503" spans="1:13">
      <c r="G503" s="942"/>
      <c r="M503" s="1140"/>
    </row>
    <row r="504" spans="1:13">
      <c r="G504" s="942"/>
      <c r="M504" s="1140"/>
    </row>
    <row r="505" spans="1:13">
      <c r="G505" s="942"/>
      <c r="M505" s="1140"/>
    </row>
    <row r="506" spans="1:13">
      <c r="G506" s="942"/>
      <c r="M506" s="1140"/>
    </row>
    <row r="507" spans="1:13">
      <c r="G507" s="942"/>
      <c r="M507" s="1140"/>
    </row>
    <row r="508" spans="1:13">
      <c r="G508" s="942"/>
      <c r="M508" s="1140"/>
    </row>
    <row r="509" spans="1:13">
      <c r="G509" s="942"/>
      <c r="M509" s="1140"/>
    </row>
    <row r="510" spans="1:13">
      <c r="A510" s="334"/>
      <c r="B510" s="186"/>
      <c r="C510" s="186"/>
      <c r="G510" s="334"/>
      <c r="H510" s="186"/>
      <c r="I510" s="186"/>
      <c r="J510" s="334"/>
      <c r="M510" s="1140"/>
    </row>
    <row r="511" spans="1:13">
      <c r="G511" s="942"/>
      <c r="M511" s="1140"/>
    </row>
    <row r="512" spans="1:13">
      <c r="G512" s="942"/>
      <c r="M512" s="1140"/>
    </row>
    <row r="513" spans="1:13">
      <c r="G513" s="942"/>
      <c r="M513" s="1140"/>
    </row>
    <row r="514" spans="1:13">
      <c r="G514" s="942"/>
      <c r="M514" s="1140"/>
    </row>
    <row r="515" spans="1:13">
      <c r="G515" s="942"/>
      <c r="M515" s="1140"/>
    </row>
    <row r="516" spans="1:13">
      <c r="G516" s="942"/>
      <c r="M516" s="1140"/>
    </row>
    <row r="517" spans="1:13">
      <c r="G517" s="942"/>
      <c r="M517" s="1140"/>
    </row>
    <row r="518" spans="1:13">
      <c r="A518" s="334"/>
      <c r="B518" s="186"/>
      <c r="C518" s="186"/>
      <c r="G518" s="334"/>
      <c r="H518" s="186"/>
      <c r="I518" s="186"/>
      <c r="J518" s="334"/>
      <c r="M518" s="1140"/>
    </row>
    <row r="519" spans="1:13">
      <c r="G519" s="942"/>
      <c r="M519" s="1140"/>
    </row>
    <row r="520" spans="1:13">
      <c r="G520" s="942"/>
      <c r="M520" s="1140"/>
    </row>
    <row r="521" spans="1:13">
      <c r="G521" s="942"/>
      <c r="M521" s="1140"/>
    </row>
    <row r="522" spans="1:13">
      <c r="G522" s="942"/>
      <c r="M522" s="1140"/>
    </row>
    <row r="523" spans="1:13">
      <c r="G523" s="942"/>
      <c r="M523" s="1140"/>
    </row>
    <row r="524" spans="1:13">
      <c r="G524" s="942"/>
      <c r="M524" s="1140"/>
    </row>
    <row r="525" spans="1:13">
      <c r="G525" s="942"/>
      <c r="M525" s="1140"/>
    </row>
    <row r="526" spans="1:13">
      <c r="G526" s="334"/>
      <c r="H526" s="186"/>
      <c r="I526" s="186"/>
      <c r="J526" s="334"/>
      <c r="M526" s="1140"/>
    </row>
    <row r="527" spans="1:13">
      <c r="G527" s="942"/>
      <c r="M527" s="1140"/>
    </row>
    <row r="528" spans="1:13">
      <c r="G528" s="942"/>
      <c r="M528" s="1140"/>
    </row>
    <row r="529" spans="1:13">
      <c r="G529" s="942"/>
      <c r="M529" s="1140"/>
    </row>
    <row r="530" spans="1:13">
      <c r="G530" s="942"/>
      <c r="M530" s="1140"/>
    </row>
    <row r="531" spans="1:13">
      <c r="G531" s="942"/>
      <c r="M531" s="1140"/>
    </row>
    <row r="532" spans="1:13">
      <c r="G532" s="942"/>
    </row>
    <row r="533" spans="1:13">
      <c r="G533" s="942"/>
      <c r="M533" s="1134" t="s">
        <v>3516</v>
      </c>
    </row>
    <row r="534" spans="1:13" ht="15" customHeight="1">
      <c r="A534" s="334" t="s">
        <v>840</v>
      </c>
      <c r="B534" s="186" t="s">
        <v>3256</v>
      </c>
      <c r="C534" s="186" t="s">
        <v>3257</v>
      </c>
      <c r="G534" s="334" t="s">
        <v>840</v>
      </c>
      <c r="H534" s="186" t="s">
        <v>3256</v>
      </c>
      <c r="I534" s="186" t="s">
        <v>3257</v>
      </c>
      <c r="J534" s="334" t="s">
        <v>3263</v>
      </c>
      <c r="M534" s="1134"/>
    </row>
    <row r="535" spans="1:13">
      <c r="A535" s="2" t="s">
        <v>716</v>
      </c>
      <c r="G535" s="942" t="s">
        <v>1210</v>
      </c>
      <c r="M535" s="1134"/>
    </row>
    <row r="536" spans="1:13">
      <c r="A536" s="2" t="s">
        <v>719</v>
      </c>
      <c r="G536" s="942" t="s">
        <v>1232</v>
      </c>
      <c r="M536" s="1134"/>
    </row>
    <row r="537" spans="1:13" ht="60">
      <c r="A537" s="2" t="s">
        <v>3289</v>
      </c>
      <c r="G537" s="942" t="s">
        <v>1240</v>
      </c>
      <c r="M537" s="1134"/>
    </row>
    <row r="538" spans="1:13">
      <c r="A538" s="2" t="s">
        <v>717</v>
      </c>
      <c r="G538" s="942" t="s">
        <v>3368</v>
      </c>
      <c r="M538" s="1134"/>
    </row>
    <row r="539" spans="1:13" ht="30">
      <c r="A539" s="2" t="s">
        <v>720</v>
      </c>
      <c r="G539" s="942" t="s">
        <v>632</v>
      </c>
      <c r="M539" s="1134"/>
    </row>
    <row r="540" spans="1:13" ht="30">
      <c r="A540" s="2" t="s">
        <v>632</v>
      </c>
      <c r="G540" s="942"/>
      <c r="M540" s="1134"/>
    </row>
    <row r="541" spans="1:13">
      <c r="M541" s="1134"/>
    </row>
    <row r="542" spans="1:13">
      <c r="A542" s="334" t="s">
        <v>844</v>
      </c>
      <c r="B542" s="186" t="s">
        <v>3256</v>
      </c>
      <c r="C542" s="186" t="s">
        <v>3257</v>
      </c>
      <c r="G542" s="334" t="s">
        <v>844</v>
      </c>
      <c r="H542" s="186" t="s">
        <v>3256</v>
      </c>
      <c r="I542" s="186" t="s">
        <v>3257</v>
      </c>
      <c r="J542" s="334" t="s">
        <v>3263</v>
      </c>
      <c r="M542" s="1134"/>
    </row>
    <row r="543" spans="1:13">
      <c r="A543" s="2" t="s">
        <v>716</v>
      </c>
      <c r="G543" s="942" t="s">
        <v>1210</v>
      </c>
      <c r="M543" s="1134"/>
    </row>
    <row r="544" spans="1:13">
      <c r="A544" s="2" t="s">
        <v>719</v>
      </c>
      <c r="G544" s="942" t="s">
        <v>1232</v>
      </c>
      <c r="M544" s="1134"/>
    </row>
    <row r="545" spans="1:13" ht="60">
      <c r="A545" s="2" t="s">
        <v>3289</v>
      </c>
      <c r="G545" s="942" t="s">
        <v>1240</v>
      </c>
      <c r="M545" s="1134"/>
    </row>
    <row r="546" spans="1:13">
      <c r="A546" s="2" t="s">
        <v>717</v>
      </c>
      <c r="G546" s="942" t="s">
        <v>3368</v>
      </c>
      <c r="M546" s="1134"/>
    </row>
    <row r="547" spans="1:13" ht="30">
      <c r="A547" s="2" t="s">
        <v>720</v>
      </c>
      <c r="G547" s="942" t="s">
        <v>632</v>
      </c>
      <c r="M547" s="1134"/>
    </row>
    <row r="548" spans="1:13" ht="30">
      <c r="A548" s="2" t="s">
        <v>632</v>
      </c>
      <c r="M548" s="1134"/>
    </row>
    <row r="549" spans="1:13">
      <c r="M549" s="1134"/>
    </row>
    <row r="550" spans="1:13">
      <c r="A550" s="334" t="s">
        <v>3288</v>
      </c>
      <c r="B550" s="186" t="s">
        <v>3256</v>
      </c>
      <c r="C550" s="186" t="s">
        <v>3257</v>
      </c>
      <c r="G550" s="334" t="s">
        <v>3288</v>
      </c>
      <c r="H550" s="186" t="s">
        <v>3256</v>
      </c>
      <c r="I550" s="186" t="s">
        <v>3257</v>
      </c>
      <c r="J550" s="334" t="s">
        <v>3263</v>
      </c>
      <c r="M550" s="1134"/>
    </row>
    <row r="551" spans="1:13">
      <c r="A551" s="2" t="s">
        <v>716</v>
      </c>
      <c r="G551" s="942" t="s">
        <v>1210</v>
      </c>
      <c r="M551" s="1134"/>
    </row>
    <row r="552" spans="1:13">
      <c r="A552" s="2" t="s">
        <v>719</v>
      </c>
      <c r="G552" s="942" t="s">
        <v>1232</v>
      </c>
      <c r="M552" s="1134"/>
    </row>
    <row r="553" spans="1:13" ht="60">
      <c r="A553" s="2" t="s">
        <v>3289</v>
      </c>
      <c r="G553" s="942" t="s">
        <v>1240</v>
      </c>
      <c r="M553" s="1134"/>
    </row>
    <row r="554" spans="1:13">
      <c r="A554" s="2" t="s">
        <v>717</v>
      </c>
      <c r="G554" s="942" t="s">
        <v>3368</v>
      </c>
      <c r="M554" s="1134"/>
    </row>
    <row r="555" spans="1:13" ht="30">
      <c r="A555" s="2" t="s">
        <v>720</v>
      </c>
      <c r="G555" s="942" t="s">
        <v>632</v>
      </c>
      <c r="M555" s="1134"/>
    </row>
    <row r="556" spans="1:13" ht="30">
      <c r="A556" s="2" t="s">
        <v>632</v>
      </c>
      <c r="M556" s="1134"/>
    </row>
    <row r="557" spans="1:13">
      <c r="M557" s="1134"/>
    </row>
    <row r="558" spans="1:13">
      <c r="A558" s="334" t="s">
        <v>805</v>
      </c>
      <c r="B558" s="186" t="s">
        <v>3256</v>
      </c>
      <c r="C558" s="186" t="s">
        <v>3257</v>
      </c>
      <c r="G558" s="334" t="s">
        <v>805</v>
      </c>
      <c r="H558" s="186" t="s">
        <v>3256</v>
      </c>
      <c r="I558" s="186" t="s">
        <v>3257</v>
      </c>
      <c r="J558" s="334" t="s">
        <v>3263</v>
      </c>
      <c r="M558" s="1134"/>
    </row>
    <row r="559" spans="1:13">
      <c r="A559" s="2" t="s">
        <v>716</v>
      </c>
      <c r="G559" s="942" t="s">
        <v>1210</v>
      </c>
      <c r="M559" s="1134"/>
    </row>
    <row r="560" spans="1:13">
      <c r="A560" s="2" t="s">
        <v>719</v>
      </c>
      <c r="G560" s="942" t="s">
        <v>1232</v>
      </c>
      <c r="M560" s="1134"/>
    </row>
    <row r="561" spans="1:13" ht="60">
      <c r="A561" s="2" t="s">
        <v>3289</v>
      </c>
      <c r="G561" s="942" t="s">
        <v>1240</v>
      </c>
      <c r="M561" s="1134"/>
    </row>
    <row r="562" spans="1:13">
      <c r="A562" s="2" t="s">
        <v>717</v>
      </c>
      <c r="G562" s="942" t="s">
        <v>3368</v>
      </c>
      <c r="M562" s="1134"/>
    </row>
    <row r="563" spans="1:13" ht="30">
      <c r="A563" s="2" t="s">
        <v>720</v>
      </c>
      <c r="G563" s="942" t="s">
        <v>632</v>
      </c>
      <c r="M563" s="1134"/>
    </row>
    <row r="564" spans="1:13" ht="30">
      <c r="A564" s="2" t="s">
        <v>632</v>
      </c>
      <c r="M564" s="1134"/>
    </row>
    <row r="565" spans="1:13">
      <c r="M565" s="1134"/>
    </row>
    <row r="566" spans="1:13">
      <c r="A566" s="334" t="s">
        <v>801</v>
      </c>
      <c r="B566" s="186" t="s">
        <v>3256</v>
      </c>
      <c r="C566" s="186" t="s">
        <v>3257</v>
      </c>
      <c r="G566" s="334" t="s">
        <v>801</v>
      </c>
      <c r="H566" s="186" t="s">
        <v>3256</v>
      </c>
      <c r="I566" s="186" t="s">
        <v>3257</v>
      </c>
      <c r="J566" s="334" t="s">
        <v>3263</v>
      </c>
      <c r="M566" s="1134"/>
    </row>
    <row r="567" spans="1:13">
      <c r="A567" s="2" t="s">
        <v>716</v>
      </c>
      <c r="G567" s="942" t="s">
        <v>1210</v>
      </c>
      <c r="M567" s="1134"/>
    </row>
    <row r="568" spans="1:13">
      <c r="A568" s="2" t="s">
        <v>719</v>
      </c>
      <c r="G568" s="942" t="s">
        <v>1232</v>
      </c>
      <c r="M568" s="1134"/>
    </row>
    <row r="569" spans="1:13" ht="60">
      <c r="A569" s="2" t="s">
        <v>3289</v>
      </c>
      <c r="G569" s="942" t="s">
        <v>1240</v>
      </c>
      <c r="M569" s="1134"/>
    </row>
    <row r="570" spans="1:13">
      <c r="A570" s="2" t="s">
        <v>717</v>
      </c>
      <c r="G570" s="942" t="s">
        <v>3368</v>
      </c>
      <c r="M570" s="1134"/>
    </row>
    <row r="571" spans="1:13" ht="30">
      <c r="A571" s="2" t="s">
        <v>720</v>
      </c>
      <c r="G571" s="942" t="s">
        <v>632</v>
      </c>
      <c r="M571" s="1134"/>
    </row>
    <row r="572" spans="1:13" ht="30">
      <c r="A572" s="2" t="s">
        <v>632</v>
      </c>
      <c r="M572" s="1134"/>
    </row>
    <row r="573" spans="1:13">
      <c r="M573" s="1134"/>
    </row>
    <row r="574" spans="1:13">
      <c r="A574" s="334" t="s">
        <v>794</v>
      </c>
      <c r="B574" s="186" t="s">
        <v>3256</v>
      </c>
      <c r="C574" s="186" t="s">
        <v>3257</v>
      </c>
      <c r="G574" s="334" t="s">
        <v>794</v>
      </c>
      <c r="H574" s="186" t="s">
        <v>3256</v>
      </c>
      <c r="I574" s="186" t="s">
        <v>3257</v>
      </c>
      <c r="J574" s="334" t="s">
        <v>3263</v>
      </c>
      <c r="M574" s="1134"/>
    </row>
    <row r="575" spans="1:13">
      <c r="A575" s="2" t="s">
        <v>716</v>
      </c>
      <c r="G575" s="942" t="s">
        <v>1210</v>
      </c>
      <c r="M575" s="1134"/>
    </row>
    <row r="576" spans="1:13">
      <c r="A576" s="2" t="s">
        <v>719</v>
      </c>
      <c r="G576" s="942" t="s">
        <v>1232</v>
      </c>
      <c r="M576" s="1134"/>
    </row>
    <row r="577" spans="1:13" ht="60">
      <c r="A577" s="2" t="s">
        <v>3289</v>
      </c>
      <c r="G577" s="942" t="s">
        <v>1240</v>
      </c>
      <c r="M577" s="1134"/>
    </row>
    <row r="578" spans="1:13">
      <c r="A578" s="2" t="s">
        <v>717</v>
      </c>
      <c r="G578" s="942" t="s">
        <v>3368</v>
      </c>
      <c r="M578" s="1134"/>
    </row>
    <row r="579" spans="1:13" ht="30">
      <c r="A579" s="2" t="s">
        <v>720</v>
      </c>
      <c r="G579" s="942" t="s">
        <v>632</v>
      </c>
      <c r="M579" s="1134"/>
    </row>
    <row r="580" spans="1:13" ht="30">
      <c r="A580" s="2" t="s">
        <v>632</v>
      </c>
      <c r="M580" s="1134"/>
    </row>
    <row r="581" spans="1:13">
      <c r="M581" s="1134"/>
    </row>
    <row r="582" spans="1:13">
      <c r="A582" s="334" t="s">
        <v>826</v>
      </c>
      <c r="B582" s="186" t="s">
        <v>3256</v>
      </c>
      <c r="C582" s="186" t="s">
        <v>3257</v>
      </c>
      <c r="G582" s="334" t="s">
        <v>826</v>
      </c>
      <c r="H582" s="186" t="s">
        <v>3256</v>
      </c>
      <c r="I582" s="186" t="s">
        <v>3257</v>
      </c>
      <c r="J582" s="334" t="s">
        <v>3263</v>
      </c>
      <c r="M582" s="1134"/>
    </row>
    <row r="583" spans="1:13">
      <c r="A583" s="2" t="s">
        <v>716</v>
      </c>
      <c r="G583" s="942" t="s">
        <v>1210</v>
      </c>
      <c r="M583" s="1134"/>
    </row>
    <row r="584" spans="1:13">
      <c r="A584" s="2" t="s">
        <v>719</v>
      </c>
      <c r="G584" s="942" t="s">
        <v>1232</v>
      </c>
      <c r="M584" s="1134"/>
    </row>
    <row r="585" spans="1:13" ht="60">
      <c r="A585" s="2" t="s">
        <v>3289</v>
      </c>
      <c r="G585" s="942" t="s">
        <v>1240</v>
      </c>
      <c r="M585" s="1134"/>
    </row>
    <row r="586" spans="1:13">
      <c r="A586" s="2" t="s">
        <v>717</v>
      </c>
      <c r="G586" s="942" t="s">
        <v>3368</v>
      </c>
      <c r="M586" s="1134"/>
    </row>
    <row r="587" spans="1:13" ht="30">
      <c r="A587" s="2" t="s">
        <v>720</v>
      </c>
      <c r="G587" s="942" t="s">
        <v>632</v>
      </c>
      <c r="M587" s="1134"/>
    </row>
    <row r="588" spans="1:13" ht="30">
      <c r="A588" s="2" t="s">
        <v>632</v>
      </c>
      <c r="M588" s="1134"/>
    </row>
    <row r="589" spans="1:13">
      <c r="G589" s="942"/>
      <c r="M589" s="1134"/>
    </row>
    <row r="590" spans="1:13">
      <c r="A590" s="334" t="s">
        <v>787</v>
      </c>
      <c r="B590" s="186" t="s">
        <v>3256</v>
      </c>
      <c r="C590" s="186" t="s">
        <v>3257</v>
      </c>
      <c r="G590" s="334" t="s">
        <v>787</v>
      </c>
      <c r="H590" s="186" t="s">
        <v>3256</v>
      </c>
      <c r="I590" s="186" t="s">
        <v>3257</v>
      </c>
      <c r="J590" s="334" t="s">
        <v>3263</v>
      </c>
      <c r="M590" s="1134"/>
    </row>
    <row r="591" spans="1:13">
      <c r="A591" s="2" t="s">
        <v>716</v>
      </c>
      <c r="G591" s="942" t="s">
        <v>1210</v>
      </c>
      <c r="M591" s="1134"/>
    </row>
    <row r="592" spans="1:13">
      <c r="A592" s="2" t="s">
        <v>719</v>
      </c>
      <c r="G592" s="942" t="s">
        <v>1232</v>
      </c>
      <c r="M592" s="1134"/>
    </row>
    <row r="593" spans="1:13" ht="60">
      <c r="A593" s="2" t="s">
        <v>3289</v>
      </c>
      <c r="G593" s="942" t="s">
        <v>1240</v>
      </c>
      <c r="M593" s="1134"/>
    </row>
    <row r="594" spans="1:13">
      <c r="A594" s="2" t="s">
        <v>717</v>
      </c>
      <c r="G594" s="942" t="s">
        <v>3368</v>
      </c>
      <c r="M594" s="1134"/>
    </row>
    <row r="595" spans="1:13" ht="30">
      <c r="A595" s="2" t="s">
        <v>720</v>
      </c>
      <c r="G595" s="942" t="s">
        <v>632</v>
      </c>
      <c r="M595" s="1134"/>
    </row>
    <row r="596" spans="1:13" ht="30">
      <c r="A596" s="2" t="s">
        <v>632</v>
      </c>
      <c r="M596" s="1134"/>
    </row>
    <row r="597" spans="1:13">
      <c r="M597" s="1134"/>
    </row>
    <row r="598" spans="1:13" ht="30" customHeight="1">
      <c r="A598" s="334" t="s">
        <v>3530</v>
      </c>
      <c r="B598" s="186" t="s">
        <v>3256</v>
      </c>
      <c r="C598" s="186" t="s">
        <v>3257</v>
      </c>
      <c r="G598" s="334" t="s">
        <v>3530</v>
      </c>
      <c r="H598" s="186" t="s">
        <v>3256</v>
      </c>
      <c r="I598" s="186" t="s">
        <v>3257</v>
      </c>
      <c r="J598" s="334" t="s">
        <v>3263</v>
      </c>
      <c r="M598" s="1134"/>
    </row>
    <row r="599" spans="1:13">
      <c r="A599" s="2" t="s">
        <v>716</v>
      </c>
      <c r="G599" s="942" t="s">
        <v>1210</v>
      </c>
      <c r="M599" s="1134"/>
    </row>
    <row r="600" spans="1:13">
      <c r="A600" s="2" t="s">
        <v>719</v>
      </c>
      <c r="G600" s="942" t="s">
        <v>1232</v>
      </c>
      <c r="M600" s="1134"/>
    </row>
    <row r="601" spans="1:13" ht="60">
      <c r="A601" s="2" t="s">
        <v>3289</v>
      </c>
      <c r="G601" s="942" t="s">
        <v>1240</v>
      </c>
      <c r="M601" s="1134"/>
    </row>
    <row r="602" spans="1:13">
      <c r="A602" s="2" t="s">
        <v>717</v>
      </c>
      <c r="G602" s="942" t="s">
        <v>3368</v>
      </c>
      <c r="M602" s="1134"/>
    </row>
    <row r="603" spans="1:13" ht="30">
      <c r="A603" s="2" t="s">
        <v>720</v>
      </c>
      <c r="G603" s="942" t="s">
        <v>632</v>
      </c>
      <c r="M603" s="1134"/>
    </row>
    <row r="604" spans="1:13" ht="30">
      <c r="A604" s="2" t="s">
        <v>632</v>
      </c>
      <c r="G604" s="942"/>
      <c r="M604" s="1099"/>
    </row>
    <row r="605" spans="1:13">
      <c r="G605" s="942"/>
      <c r="M605" s="1099"/>
    </row>
    <row r="606" spans="1:13">
      <c r="G606" s="942"/>
      <c r="M606" s="1099"/>
    </row>
    <row r="607" spans="1:13">
      <c r="G607" s="942"/>
      <c r="M607" s="1099"/>
    </row>
    <row r="608" spans="1:13">
      <c r="G608" s="942"/>
      <c r="M608" s="1099"/>
    </row>
    <row r="609" spans="7:13">
      <c r="G609" s="942"/>
      <c r="M609" s="1099"/>
    </row>
    <row r="610" spans="7:13">
      <c r="G610" s="942"/>
      <c r="M610" s="1099"/>
    </row>
    <row r="611" spans="7:13">
      <c r="G611" s="942"/>
      <c r="M611" s="1099"/>
    </row>
    <row r="612" spans="7:13">
      <c r="G612" s="942"/>
      <c r="M612" s="1099"/>
    </row>
    <row r="613" spans="7:13">
      <c r="G613" s="942"/>
      <c r="M613" s="1099"/>
    </row>
    <row r="614" spans="7:13">
      <c r="G614" s="942"/>
      <c r="M614" s="1099"/>
    </row>
    <row r="615" spans="7:13">
      <c r="G615" s="942"/>
    </row>
    <row r="616" spans="7:13">
      <c r="G616" s="942"/>
    </row>
    <row r="617" spans="7:13">
      <c r="G617" s="942"/>
    </row>
    <row r="618" spans="7:13">
      <c r="G618" s="942"/>
    </row>
    <row r="619" spans="7:13">
      <c r="G619" s="942"/>
    </row>
    <row r="620" spans="7:13">
      <c r="G620" s="942"/>
    </row>
    <row r="621" spans="7:13">
      <c r="G621" s="942"/>
    </row>
    <row r="622" spans="7:13">
      <c r="G622" s="942"/>
    </row>
    <row r="623" spans="7:13">
      <c r="G623" s="942"/>
    </row>
    <row r="624" spans="7:13">
      <c r="G624" s="942"/>
    </row>
    <row r="625" spans="7:7">
      <c r="G625" s="942"/>
    </row>
    <row r="626" spans="7:7">
      <c r="G626" s="942"/>
    </row>
    <row r="627" spans="7:7">
      <c r="G627" s="942"/>
    </row>
    <row r="628" spans="7:7">
      <c r="G628" s="942"/>
    </row>
    <row r="629" spans="7:7">
      <c r="G629" s="942"/>
    </row>
    <row r="630" spans="7:7">
      <c r="G630" s="942"/>
    </row>
    <row r="631" spans="7:7">
      <c r="G631" s="942"/>
    </row>
    <row r="632" spans="7:7">
      <c r="G632" s="942"/>
    </row>
    <row r="633" spans="7:7">
      <c r="G633" s="942"/>
    </row>
    <row r="634" spans="7:7">
      <c r="G634" s="942"/>
    </row>
    <row r="635" spans="7:7">
      <c r="G635" s="942"/>
    </row>
    <row r="636" spans="7:7">
      <c r="G636" s="942"/>
    </row>
    <row r="637" spans="7:7">
      <c r="G637" s="942"/>
    </row>
    <row r="638" spans="7:7">
      <c r="G638" s="942"/>
    </row>
    <row r="639" spans="7:7">
      <c r="G639" s="942"/>
    </row>
    <row r="640" spans="7:7">
      <c r="G640" s="942"/>
    </row>
    <row r="641" spans="7:7">
      <c r="G641" s="942"/>
    </row>
    <row r="642" spans="7:7">
      <c r="G642" s="942"/>
    </row>
    <row r="643" spans="7:7">
      <c r="G643" s="942"/>
    </row>
    <row r="644" spans="7:7">
      <c r="G644" s="942"/>
    </row>
    <row r="645" spans="7:7">
      <c r="G645" s="942"/>
    </row>
    <row r="646" spans="7:7">
      <c r="G646" s="942"/>
    </row>
    <row r="647" spans="7:7">
      <c r="G647" s="942"/>
    </row>
    <row r="648" spans="7:7">
      <c r="G648" s="942"/>
    </row>
    <row r="649" spans="7:7">
      <c r="G649" s="942"/>
    </row>
    <row r="650" spans="7:7">
      <c r="G650" s="942"/>
    </row>
    <row r="651" spans="7:7">
      <c r="G651" s="942"/>
    </row>
    <row r="652" spans="7:7">
      <c r="G652" s="942"/>
    </row>
    <row r="653" spans="7:7">
      <c r="G653" s="942"/>
    </row>
    <row r="654" spans="7:7">
      <c r="G654" s="942"/>
    </row>
    <row r="655" spans="7:7">
      <c r="G655" s="942"/>
    </row>
    <row r="656" spans="7:7">
      <c r="G656" s="942"/>
    </row>
    <row r="657" spans="7:7">
      <c r="G657" s="942"/>
    </row>
    <row r="658" spans="7:7">
      <c r="G658" s="942"/>
    </row>
    <row r="659" spans="7:7">
      <c r="G659" s="942"/>
    </row>
    <row r="660" spans="7:7">
      <c r="G660" s="942"/>
    </row>
    <row r="661" spans="7:7">
      <c r="G661" s="942"/>
    </row>
    <row r="662" spans="7:7">
      <c r="G662" s="942"/>
    </row>
    <row r="663" spans="7:7">
      <c r="G663" s="942"/>
    </row>
    <row r="664" spans="7:7">
      <c r="G664" s="942"/>
    </row>
    <row r="665" spans="7:7">
      <c r="G665" s="942"/>
    </row>
    <row r="666" spans="7:7">
      <c r="G666" s="942"/>
    </row>
    <row r="667" spans="7:7">
      <c r="G667" s="942"/>
    </row>
    <row r="668" spans="7:7">
      <c r="G668" s="942"/>
    </row>
    <row r="669" spans="7:7">
      <c r="G669" s="942"/>
    </row>
    <row r="670" spans="7:7">
      <c r="G670" s="942"/>
    </row>
    <row r="671" spans="7:7">
      <c r="G671" s="942"/>
    </row>
    <row r="672" spans="7:7">
      <c r="G672" s="942"/>
    </row>
    <row r="673" spans="7:7">
      <c r="G673" s="942"/>
    </row>
    <row r="674" spans="7:7">
      <c r="G674" s="942"/>
    </row>
    <row r="675" spans="7:7">
      <c r="G675" s="942"/>
    </row>
    <row r="676" spans="7:7">
      <c r="G676" s="942"/>
    </row>
    <row r="677" spans="7:7">
      <c r="G677" s="942"/>
    </row>
    <row r="678" spans="7:7">
      <c r="G678" s="942"/>
    </row>
    <row r="679" spans="7:7">
      <c r="G679" s="942"/>
    </row>
    <row r="680" spans="7:7">
      <c r="G680" s="942"/>
    </row>
    <row r="681" spans="7:7">
      <c r="G681" s="942"/>
    </row>
    <row r="682" spans="7:7">
      <c r="G682" s="942"/>
    </row>
    <row r="683" spans="7:7">
      <c r="G683" s="942"/>
    </row>
    <row r="684" spans="7:7">
      <c r="G684" s="942"/>
    </row>
    <row r="685" spans="7:7">
      <c r="G685" s="942"/>
    </row>
    <row r="686" spans="7:7">
      <c r="G686" s="942"/>
    </row>
    <row r="687" spans="7:7">
      <c r="G687" s="942"/>
    </row>
    <row r="688" spans="7:7">
      <c r="G688" s="942"/>
    </row>
    <row r="689" spans="7:7">
      <c r="G689" s="942"/>
    </row>
    <row r="690" spans="7:7">
      <c r="G690" s="942"/>
    </row>
    <row r="691" spans="7:7">
      <c r="G691" s="942"/>
    </row>
    <row r="692" spans="7:7">
      <c r="G692" s="942"/>
    </row>
    <row r="693" spans="7:7">
      <c r="G693" s="942"/>
    </row>
    <row r="694" spans="7:7">
      <c r="G694" s="942"/>
    </row>
    <row r="695" spans="7:7">
      <c r="G695" s="942"/>
    </row>
    <row r="696" spans="7:7">
      <c r="G696" s="942"/>
    </row>
    <row r="697" spans="7:7">
      <c r="G697" s="942"/>
    </row>
    <row r="698" spans="7:7">
      <c r="G698" s="942"/>
    </row>
    <row r="699" spans="7:7">
      <c r="G699" s="942"/>
    </row>
    <row r="700" spans="7:7">
      <c r="G700" s="942"/>
    </row>
    <row r="701" spans="7:7">
      <c r="G701" s="942"/>
    </row>
    <row r="702" spans="7:7">
      <c r="G702" s="942"/>
    </row>
    <row r="703" spans="7:7">
      <c r="G703" s="942"/>
    </row>
    <row r="704" spans="7:7">
      <c r="G704" s="942"/>
    </row>
    <row r="705" spans="7:7">
      <c r="G705" s="942"/>
    </row>
    <row r="706" spans="7:7">
      <c r="G706" s="942"/>
    </row>
    <row r="707" spans="7:7">
      <c r="G707" s="942"/>
    </row>
    <row r="708" spans="7:7">
      <c r="G708" s="942"/>
    </row>
    <row r="709" spans="7:7">
      <c r="G709" s="942"/>
    </row>
    <row r="710" spans="7:7">
      <c r="G710" s="942"/>
    </row>
    <row r="711" spans="7:7">
      <c r="G711" s="942"/>
    </row>
    <row r="719" spans="7:7">
      <c r="G719" s="942"/>
    </row>
    <row r="720" spans="7:7">
      <c r="G720" s="942"/>
    </row>
    <row r="721" spans="7:7">
      <c r="G721" s="942"/>
    </row>
    <row r="722" spans="7:7">
      <c r="G722" s="942"/>
    </row>
    <row r="723" spans="7:7">
      <c r="G723" s="942"/>
    </row>
    <row r="724" spans="7:7">
      <c r="G724" s="942"/>
    </row>
    <row r="725" spans="7:7">
      <c r="G725" s="942"/>
    </row>
    <row r="726" spans="7:7">
      <c r="G726" s="942"/>
    </row>
    <row r="727" spans="7:7">
      <c r="G727" s="942"/>
    </row>
    <row r="728" spans="7:7">
      <c r="G728" s="942"/>
    </row>
    <row r="729" spans="7:7">
      <c r="G729" s="942"/>
    </row>
    <row r="730" spans="7:7">
      <c r="G730" s="942"/>
    </row>
    <row r="731" spans="7:7">
      <c r="G731" s="942"/>
    </row>
    <row r="732" spans="7:7">
      <c r="G732" s="942"/>
    </row>
    <row r="733" spans="7:7">
      <c r="G733" s="942"/>
    </row>
    <row r="734" spans="7:7">
      <c r="G734" s="942"/>
    </row>
    <row r="735" spans="7:7">
      <c r="G735" s="942"/>
    </row>
    <row r="736" spans="7:7">
      <c r="G736" s="942"/>
    </row>
    <row r="737" spans="7:7">
      <c r="G737" s="942"/>
    </row>
    <row r="738" spans="7:7">
      <c r="G738" s="942"/>
    </row>
    <row r="739" spans="7:7">
      <c r="G739" s="942"/>
    </row>
    <row r="740" spans="7:7">
      <c r="G740" s="942"/>
    </row>
    <row r="741" spans="7:7">
      <c r="G741" s="942"/>
    </row>
    <row r="742" spans="7:7">
      <c r="G742" s="942"/>
    </row>
    <row r="743" spans="7:7">
      <c r="G743" s="942"/>
    </row>
    <row r="744" spans="7:7">
      <c r="G744" s="942"/>
    </row>
    <row r="745" spans="7:7">
      <c r="G745" s="942"/>
    </row>
    <row r="746" spans="7:7">
      <c r="G746" s="942"/>
    </row>
    <row r="747" spans="7:7">
      <c r="G747" s="942"/>
    </row>
    <row r="748" spans="7:7">
      <c r="G748" s="942"/>
    </row>
    <row r="749" spans="7:7">
      <c r="G749" s="942"/>
    </row>
    <row r="750" spans="7:7">
      <c r="G750" s="942"/>
    </row>
    <row r="751" spans="7:7">
      <c r="G751" s="942"/>
    </row>
    <row r="752" spans="7:7">
      <c r="G752" s="942"/>
    </row>
    <row r="753" spans="7:7">
      <c r="G753" s="942"/>
    </row>
    <row r="754" spans="7:7">
      <c r="G754" s="942"/>
    </row>
    <row r="755" spans="7:7">
      <c r="G755" s="942"/>
    </row>
    <row r="756" spans="7:7">
      <c r="G756" s="942"/>
    </row>
    <row r="757" spans="7:7">
      <c r="G757" s="942"/>
    </row>
    <row r="758" spans="7:7">
      <c r="G758" s="942"/>
    </row>
    <row r="759" spans="7:7">
      <c r="G759" s="942"/>
    </row>
    <row r="760" spans="7:7">
      <c r="G760" s="942"/>
    </row>
    <row r="761" spans="7:7">
      <c r="G761" s="942"/>
    </row>
    <row r="762" spans="7:7">
      <c r="G762" s="942"/>
    </row>
    <row r="763" spans="7:7">
      <c r="G763" s="942"/>
    </row>
    <row r="764" spans="7:7">
      <c r="G764" s="942"/>
    </row>
    <row r="765" spans="7:7">
      <c r="G765" s="942"/>
    </row>
    <row r="766" spans="7:7">
      <c r="G766" s="942"/>
    </row>
    <row r="767" spans="7:7">
      <c r="G767" s="942"/>
    </row>
    <row r="768" spans="7:7">
      <c r="G768" s="942"/>
    </row>
    <row r="769" spans="7:7">
      <c r="G769" s="942"/>
    </row>
    <row r="770" spans="7:7">
      <c r="G770" s="942"/>
    </row>
    <row r="771" spans="7:7">
      <c r="G771" s="942"/>
    </row>
    <row r="772" spans="7:7">
      <c r="G772" s="942"/>
    </row>
    <row r="773" spans="7:7">
      <c r="G773" s="942"/>
    </row>
    <row r="774" spans="7:7">
      <c r="G774" s="942"/>
    </row>
    <row r="775" spans="7:7">
      <c r="G775" s="942"/>
    </row>
    <row r="776" spans="7:7">
      <c r="G776" s="942"/>
    </row>
    <row r="777" spans="7:7">
      <c r="G777" s="942"/>
    </row>
    <row r="778" spans="7:7">
      <c r="G778" s="942"/>
    </row>
    <row r="779" spans="7:7">
      <c r="G779" s="942"/>
    </row>
    <row r="780" spans="7:7">
      <c r="G780" s="942"/>
    </row>
    <row r="781" spans="7:7">
      <c r="G781" s="942"/>
    </row>
    <row r="782" spans="7:7">
      <c r="G782" s="942"/>
    </row>
    <row r="783" spans="7:7">
      <c r="G783" s="942"/>
    </row>
    <row r="784" spans="7:7">
      <c r="G784" s="942"/>
    </row>
    <row r="785" spans="7:7">
      <c r="G785" s="942"/>
    </row>
    <row r="786" spans="7:7">
      <c r="G786" s="942"/>
    </row>
    <row r="787" spans="7:7">
      <c r="G787" s="942"/>
    </row>
    <row r="788" spans="7:7">
      <c r="G788" s="942"/>
    </row>
    <row r="789" spans="7:7">
      <c r="G789" s="942"/>
    </row>
    <row r="790" spans="7:7">
      <c r="G790" s="942"/>
    </row>
    <row r="791" spans="7:7">
      <c r="G791" s="942"/>
    </row>
    <row r="792" spans="7:7">
      <c r="G792" s="942"/>
    </row>
    <row r="793" spans="7:7">
      <c r="G793" s="942"/>
    </row>
    <row r="794" spans="7:7">
      <c r="G794" s="942"/>
    </row>
    <row r="795" spans="7:7">
      <c r="G795" s="942"/>
    </row>
    <row r="796" spans="7:7">
      <c r="G796" s="942"/>
    </row>
    <row r="797" spans="7:7">
      <c r="G797" s="942"/>
    </row>
    <row r="798" spans="7:7">
      <c r="G798" s="942"/>
    </row>
    <row r="799" spans="7:7">
      <c r="G799" s="942"/>
    </row>
    <row r="800" spans="7:7">
      <c r="G800" s="942"/>
    </row>
    <row r="801" spans="7:7">
      <c r="G801" s="942"/>
    </row>
    <row r="802" spans="7:7">
      <c r="G802" s="942"/>
    </row>
    <row r="803" spans="7:7">
      <c r="G803" s="942"/>
    </row>
    <row r="804" spans="7:7">
      <c r="G804" s="942"/>
    </row>
    <row r="805" spans="7:7">
      <c r="G805" s="942"/>
    </row>
    <row r="806" spans="7:7">
      <c r="G806" s="942"/>
    </row>
    <row r="807" spans="7:7">
      <c r="G807" s="942"/>
    </row>
    <row r="808" spans="7:7">
      <c r="G808" s="942"/>
    </row>
    <row r="809" spans="7:7">
      <c r="G809" s="942"/>
    </row>
    <row r="810" spans="7:7">
      <c r="G810" s="942"/>
    </row>
    <row r="811" spans="7:7">
      <c r="G811" s="942"/>
    </row>
    <row r="812" spans="7:7">
      <c r="G812" s="942"/>
    </row>
    <row r="813" spans="7:7">
      <c r="G813" s="942"/>
    </row>
    <row r="814" spans="7:7">
      <c r="G814" s="942"/>
    </row>
    <row r="815" spans="7:7">
      <c r="G815" s="942"/>
    </row>
    <row r="816" spans="7:7">
      <c r="G816" s="942"/>
    </row>
    <row r="817" spans="7:7">
      <c r="G817" s="942"/>
    </row>
    <row r="818" spans="7:7">
      <c r="G818" s="942"/>
    </row>
    <row r="819" spans="7:7">
      <c r="G819" s="942"/>
    </row>
    <row r="820" spans="7:7">
      <c r="G820" s="942"/>
    </row>
    <row r="821" spans="7:7">
      <c r="G821" s="942"/>
    </row>
    <row r="822" spans="7:7">
      <c r="G822" s="942"/>
    </row>
    <row r="823" spans="7:7">
      <c r="G823" s="942"/>
    </row>
    <row r="824" spans="7:7">
      <c r="G824" s="942"/>
    </row>
    <row r="825" spans="7:7">
      <c r="G825" s="942"/>
    </row>
    <row r="826" spans="7:7">
      <c r="G826" s="942"/>
    </row>
    <row r="827" spans="7:7">
      <c r="G827" s="942"/>
    </row>
    <row r="828" spans="7:7">
      <c r="G828" s="942"/>
    </row>
    <row r="829" spans="7:7">
      <c r="G829" s="942"/>
    </row>
    <row r="830" spans="7:7">
      <c r="G830" s="942"/>
    </row>
    <row r="831" spans="7:7">
      <c r="G831" s="942"/>
    </row>
    <row r="832" spans="7:7">
      <c r="G832" s="942"/>
    </row>
    <row r="833" spans="7:7">
      <c r="G833" s="942"/>
    </row>
    <row r="834" spans="7:7">
      <c r="G834" s="942"/>
    </row>
    <row r="835" spans="7:7">
      <c r="G835" s="942"/>
    </row>
    <row r="836" spans="7:7">
      <c r="G836" s="942"/>
    </row>
    <row r="837" spans="7:7">
      <c r="G837" s="942"/>
    </row>
    <row r="838" spans="7:7">
      <c r="G838" s="942"/>
    </row>
    <row r="839" spans="7:7">
      <c r="G839" s="942"/>
    </row>
    <row r="840" spans="7:7">
      <c r="G840" s="942"/>
    </row>
    <row r="841" spans="7:7">
      <c r="G841" s="942"/>
    </row>
    <row r="842" spans="7:7">
      <c r="G842" s="942"/>
    </row>
    <row r="843" spans="7:7">
      <c r="G843" s="942"/>
    </row>
    <row r="844" spans="7:7">
      <c r="G844" s="942"/>
    </row>
    <row r="845" spans="7:7">
      <c r="G845" s="942"/>
    </row>
    <row r="846" spans="7:7">
      <c r="G846" s="942"/>
    </row>
    <row r="847" spans="7:7">
      <c r="G847" s="942"/>
    </row>
    <row r="848" spans="7:7">
      <c r="G848" s="942"/>
    </row>
    <row r="849" spans="7:7">
      <c r="G849" s="942"/>
    </row>
    <row r="850" spans="7:7">
      <c r="G850" s="942"/>
    </row>
    <row r="851" spans="7:7">
      <c r="G851" s="942"/>
    </row>
    <row r="852" spans="7:7">
      <c r="G852" s="942"/>
    </row>
    <row r="853" spans="7:7">
      <c r="G853" s="942"/>
    </row>
    <row r="854" spans="7:7">
      <c r="G854" s="942"/>
    </row>
    <row r="855" spans="7:7">
      <c r="G855" s="942"/>
    </row>
    <row r="856" spans="7:7">
      <c r="G856" s="942"/>
    </row>
    <row r="857" spans="7:7">
      <c r="G857" s="942"/>
    </row>
    <row r="858" spans="7:7">
      <c r="G858" s="942"/>
    </row>
    <row r="859" spans="7:7">
      <c r="G859" s="942"/>
    </row>
    <row r="860" spans="7:7">
      <c r="G860" s="942"/>
    </row>
    <row r="861" spans="7:7">
      <c r="G861" s="942"/>
    </row>
    <row r="862" spans="7:7">
      <c r="G862" s="942"/>
    </row>
    <row r="863" spans="7:7">
      <c r="G863" s="942"/>
    </row>
    <row r="864" spans="7:7">
      <c r="G864" s="942"/>
    </row>
    <row r="865" spans="7:7">
      <c r="G865" s="942"/>
    </row>
    <row r="866" spans="7:7">
      <c r="G866" s="942"/>
    </row>
    <row r="867" spans="7:7">
      <c r="G867" s="942"/>
    </row>
    <row r="868" spans="7:7">
      <c r="G868" s="942"/>
    </row>
    <row r="869" spans="7:7">
      <c r="G869" s="942"/>
    </row>
    <row r="870" spans="7:7">
      <c r="G870" s="942"/>
    </row>
    <row r="871" spans="7:7">
      <c r="G871" s="942"/>
    </row>
    <row r="872" spans="7:7">
      <c r="G872" s="942"/>
    </row>
    <row r="873" spans="7:7">
      <c r="G873" s="942"/>
    </row>
    <row r="874" spans="7:7">
      <c r="G874" s="942"/>
    </row>
    <row r="875" spans="7:7">
      <c r="G875" s="942"/>
    </row>
    <row r="876" spans="7:7">
      <c r="G876" s="942"/>
    </row>
    <row r="877" spans="7:7">
      <c r="G877" s="942"/>
    </row>
    <row r="878" spans="7:7">
      <c r="G878" s="942"/>
    </row>
    <row r="879" spans="7:7">
      <c r="G879" s="942"/>
    </row>
    <row r="880" spans="7:7">
      <c r="G880" s="942"/>
    </row>
    <row r="881" spans="7:7">
      <c r="G881" s="942"/>
    </row>
    <row r="882" spans="7:7">
      <c r="G882" s="942"/>
    </row>
  </sheetData>
  <mergeCells count="12">
    <mergeCell ref="M408:M460"/>
    <mergeCell ref="M462:M531"/>
    <mergeCell ref="M169:M239"/>
    <mergeCell ref="M533:M603"/>
    <mergeCell ref="A1:D1"/>
    <mergeCell ref="G1:J1"/>
    <mergeCell ref="M2:M46"/>
    <mergeCell ref="M48:M87"/>
    <mergeCell ref="M89:M167"/>
    <mergeCell ref="M297:M352"/>
    <mergeCell ref="M241:M295"/>
    <mergeCell ref="M354:M4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21</vt:i4>
      </vt:variant>
    </vt:vector>
  </HeadingPairs>
  <TitlesOfParts>
    <vt:vector size="21" baseType="lpstr">
      <vt:lpstr>(ΒΑΘΜΟΛΟΓΙΕΣ 2026Α)</vt:lpstr>
      <vt:lpstr>ΠΕΡΙΕΧΟΜΕΝΑ - ΕΞΗΓΗΣΗ EXCEL </vt:lpstr>
      <vt:lpstr>ΟΔΗΓΙΕΣ ΕΡΓΑΣΙΑΣ</vt:lpstr>
      <vt:lpstr>ΘΕΜΑΤΑ ΠΡΟΣ ΕΠΙΛΥΣΗ</vt:lpstr>
      <vt:lpstr>ΕΝΗΜΕΡΩΣΗ ΚΑΤΑΣΤΑΣΗΣ Κ.ΚΑΘΑΡΑΚΗ</vt:lpstr>
      <vt:lpstr>ΕΚΔΗΛΩΣΕΙΣ ΕΝΔΙΑΦΕΡΟΝΤΟΣ</vt:lpstr>
      <vt:lpstr>ΚΑΤΑΣΤΑΣΗ ΣΠΟΥΔΑ ΚΑΙ ΕΚΠΑΙΔ</vt:lpstr>
      <vt:lpstr>ECLASS</vt:lpstr>
      <vt:lpstr>ΠΡΟΤΥΠΟ ΕΓΓΡΑΦΗΣ USER ECLASS </vt:lpstr>
      <vt:lpstr>AMADEUS</vt:lpstr>
      <vt:lpstr>ΧΡΗΣΙΜΑ ΤΗΛΕΦΩΝΑ</vt:lpstr>
      <vt:lpstr>ΜΑΘΗΜΑΤΑ ΕΞΑΜΗΝΩΝ</vt:lpstr>
      <vt:lpstr>ΑΠΟΥΣΙΕΣ ΕΞΑΜΗΝΩΝ</vt:lpstr>
      <vt:lpstr>ΠΛΗΡΟΦΟΡΙΕΣ ΓΙΑ ΕΝΗΜΕΡΩΣΗ</vt:lpstr>
      <vt:lpstr>ΠΡΟΩΘΗΣΗ</vt:lpstr>
      <vt:lpstr>ΒΙΒΛΙΟ ΩΡΕΣ ΕΚΠΑΙΔΕΥΤΩΝ ΓΙΑ ΑΝΤ</vt:lpstr>
      <vt:lpstr>ΠΗΓΑΣΟΣ - ΕΠΙΚΟΙΝΩΝΙΑ</vt:lpstr>
      <vt:lpstr>ΠΡΟΧΕΙΡΟ</vt:lpstr>
      <vt:lpstr>2025Α</vt:lpstr>
      <vt:lpstr>2025Β-2026Α</vt:lpstr>
      <vt:lpstr>ΒΑΘΜΟΛΟΓΙΕΣ ΠΡΟΧΕΙΡΟ</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Γραμματεία - Τεχνικές Σχολές Επιμελητηρίου Ηρακλείου</dc:creator>
  <cp:keywords/>
  <dc:description/>
  <cp:lastModifiedBy>Γραμματεία - Τεχνικές Σχολές Επιμελητηρίου Ηρακλείου</cp:lastModifiedBy>
  <cp:revision/>
  <cp:lastPrinted>2026-06-12T04:58:12Z</cp:lastPrinted>
  <dcterms:created xsi:type="dcterms:W3CDTF">2025-04-14T08:05:37Z</dcterms:created>
  <dcterms:modified xsi:type="dcterms:W3CDTF">2026-06-23T12:50:15Z</dcterms:modified>
  <cp:category/>
  <cp:contentStatus/>
</cp:coreProperties>
</file>